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Combined" sheetId="1" state="visible" r:id="rId3"/>
    <sheet name="Gene_Impact_Scores" sheetId="2" state="visible" r:id="rId4"/>
    <sheet name="Gene_Weights" sheetId="3" state="visible" r:id="rId5"/>
    <sheet name="Yearly_Trends" sheetId="4" state="visible" r:id="rId6"/>
    <sheet name="Forecast_2031" sheetId="5" state="visible" r:id="rId7"/>
    <sheet name="Notes" sheetId="6" state="visible" r:id="rId8"/>
  </sheets>
  <definedNames>
    <definedName function="false" hidden="true" localSheetId="4" name="_xlnm._FilterDatabase" vbProcedure="false">Forecast_2031!$A$1:$D$43</definedName>
    <definedName function="false" hidden="true" localSheetId="1" name="_xlnm._FilterDatabase" vbProcedure="false">Gene_Impact_Scores!$A$1:$E$30</definedName>
    <definedName function="false" hidden="true" localSheetId="0" name="_xlnm._FilterDatabase" vbProcedure="false">Master_Combined!$A$1:$AV$901</definedName>
    <definedName function="false" hidden="true" localSheetId="3" name="_xlnm._FilterDatabase" vbProcedure="false">Yearly_Trends!$A$1:$E$163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<sst xmlns="http://schemas.openxmlformats.org/spreadsheetml/2006/main" count="4006" uniqueCount="226">
  <si>
    <t xml:space="preserve">Genome_ID</t>
  </si>
  <si>
    <t xml:space="preserve">Year</t>
  </si>
  <si>
    <t xml:space="preserve">Antibiotic_Name</t>
  </si>
  <si>
    <t xml:space="preserve">Resistant_Phenotype</t>
  </si>
  <si>
    <t xml:space="preserve">MIC_Value</t>
  </si>
  <si>
    <t xml:space="preserve">MIC_Unit</t>
  </si>
  <si>
    <t xml:space="preserve">blaKPC</t>
  </si>
  <si>
    <t xml:space="preserve">blaKPC-2</t>
  </si>
  <si>
    <t xml:space="preserve">blaKPC-3</t>
  </si>
  <si>
    <t xml:space="preserve">blaNDM</t>
  </si>
  <si>
    <t xml:space="preserve">blaNDM-1</t>
  </si>
  <si>
    <t xml:space="preserve">blaNDM-5</t>
  </si>
  <si>
    <t xml:space="preserve">blaOXA-48</t>
  </si>
  <si>
    <t xml:space="preserve">blaOXA-181</t>
  </si>
  <si>
    <t xml:space="preserve">blaOXA-232</t>
  </si>
  <si>
    <t xml:space="preserve">blaCTX-M</t>
  </si>
  <si>
    <t xml:space="preserve">blaCTX-M-15</t>
  </si>
  <si>
    <t xml:space="preserve">blaSHV</t>
  </si>
  <si>
    <t xml:space="preserve">blaTEM</t>
  </si>
  <si>
    <t xml:space="preserve">mgrB</t>
  </si>
  <si>
    <t xml:space="preserve">phoPQ</t>
  </si>
  <si>
    <t xml:space="preserve">pmrAB</t>
  </si>
  <si>
    <t xml:space="preserve">ompK35</t>
  </si>
  <si>
    <t xml:space="preserve">ompK36</t>
  </si>
  <si>
    <t xml:space="preserve">ompK37</t>
  </si>
  <si>
    <t xml:space="preserve">aac(6')-Ib</t>
  </si>
  <si>
    <t xml:space="preserve">aac(6')-Ib-cr</t>
  </si>
  <si>
    <t xml:space="preserve">armA</t>
  </si>
  <si>
    <t xml:space="preserve">rmtB</t>
  </si>
  <si>
    <t xml:space="preserve">rmtF</t>
  </si>
  <si>
    <t xml:space="preserve">tet(A)</t>
  </si>
  <si>
    <t xml:space="preserve">tet(B)</t>
  </si>
  <si>
    <t xml:space="preserve">tetX</t>
  </si>
  <si>
    <t xml:space="preserve">mcr-1</t>
  </si>
  <si>
    <t xml:space="preserve">mcr-8</t>
  </si>
  <si>
    <t xml:space="preserve">Gene_Count</t>
  </si>
  <si>
    <t xml:space="preserve">Gene_Risk_Score</t>
  </si>
  <si>
    <t xml:space="preserve">Year_Total_Tested</t>
  </si>
  <si>
    <t xml:space="preserve">Year_Resistant_Count</t>
  </si>
  <si>
    <t xml:space="preserve">Year_Resistance_%</t>
  </si>
  <si>
    <t xml:space="preserve">Forecast_%_2025</t>
  </si>
  <si>
    <t xml:space="preserve">Forecast_%_2026</t>
  </si>
  <si>
    <t xml:space="preserve">Forecast_%_2027</t>
  </si>
  <si>
    <t xml:space="preserve">Forecast_%_2028</t>
  </si>
  <si>
    <t xml:space="preserve">Forecast_%_2029</t>
  </si>
  <si>
    <t xml:space="preserve">Forecast_%_2030</t>
  </si>
  <si>
    <t xml:space="preserve">Forecast_%_2031</t>
  </si>
  <si>
    <t xml:space="preserve">Forecast_Method</t>
  </si>
  <si>
    <t xml:space="preserve">573.1000</t>
  </si>
  <si>
    <t xml:space="preserve">Ceftazidime</t>
  </si>
  <si>
    <t xml:space="preserve">mg/L</t>
  </si>
  <si>
    <t xml:space="preserve">Trend_Extrapolation</t>
  </si>
  <si>
    <t xml:space="preserve">Ceftazidime-avibactam</t>
  </si>
  <si>
    <t xml:space="preserve">Colistin</t>
  </si>
  <si>
    <t xml:space="preserve">Ceftriaxone</t>
  </si>
  <si>
    <t xml:space="preserve">Meropenem</t>
  </si>
  <si>
    <t xml:space="preserve">Tigecycline</t>
  </si>
  <si>
    <t xml:space="preserve">573.1001</t>
  </si>
  <si>
    <t xml:space="preserve">573.1002</t>
  </si>
  <si>
    <t xml:space="preserve">573.1003</t>
  </si>
  <si>
    <t xml:space="preserve">573.1004</t>
  </si>
  <si>
    <t xml:space="preserve">573.1005</t>
  </si>
  <si>
    <t xml:space="preserve">573.1006</t>
  </si>
  <si>
    <t xml:space="preserve">573.1007</t>
  </si>
  <si>
    <t xml:space="preserve">573.1008</t>
  </si>
  <si>
    <t xml:space="preserve">573.1009</t>
  </si>
  <si>
    <t xml:space="preserve">573.1010</t>
  </si>
  <si>
    <t xml:space="preserve">573.1011</t>
  </si>
  <si>
    <t xml:space="preserve">573.1012</t>
  </si>
  <si>
    <t xml:space="preserve">573.1013</t>
  </si>
  <si>
    <t xml:space="preserve">573.1014</t>
  </si>
  <si>
    <t xml:space="preserve">573.1015</t>
  </si>
  <si>
    <t xml:space="preserve">573.1016</t>
  </si>
  <si>
    <t xml:space="preserve">573.1017</t>
  </si>
  <si>
    <t xml:space="preserve">573.1018</t>
  </si>
  <si>
    <t xml:space="preserve">573.1019</t>
  </si>
  <si>
    <t xml:space="preserve">573.1020</t>
  </si>
  <si>
    <t xml:space="preserve">573.1021</t>
  </si>
  <si>
    <t xml:space="preserve">573.1022</t>
  </si>
  <si>
    <t xml:space="preserve">573.1023</t>
  </si>
  <si>
    <t xml:space="preserve">573.1024</t>
  </si>
  <si>
    <t xml:space="preserve">573.1025</t>
  </si>
  <si>
    <t xml:space="preserve">573.1026</t>
  </si>
  <si>
    <t xml:space="preserve">573.1027</t>
  </si>
  <si>
    <t xml:space="preserve">573.1028</t>
  </si>
  <si>
    <t xml:space="preserve">573.1029</t>
  </si>
  <si>
    <t xml:space="preserve">573.1030</t>
  </si>
  <si>
    <t xml:space="preserve">573.1031</t>
  </si>
  <si>
    <t xml:space="preserve">573.1032</t>
  </si>
  <si>
    <t xml:space="preserve">573.1033</t>
  </si>
  <si>
    <t xml:space="preserve">573.1034</t>
  </si>
  <si>
    <t xml:space="preserve">573.1035</t>
  </si>
  <si>
    <t xml:space="preserve">573.1036</t>
  </si>
  <si>
    <t xml:space="preserve">573.1037</t>
  </si>
  <si>
    <t xml:space="preserve">573.1038</t>
  </si>
  <si>
    <t xml:space="preserve">573.1039</t>
  </si>
  <si>
    <t xml:space="preserve">573.1040</t>
  </si>
  <si>
    <t xml:space="preserve">573.1041</t>
  </si>
  <si>
    <t xml:space="preserve">573.1042</t>
  </si>
  <si>
    <t xml:space="preserve">573.1043</t>
  </si>
  <si>
    <t xml:space="preserve">573.1044</t>
  </si>
  <si>
    <t xml:space="preserve">573.1045</t>
  </si>
  <si>
    <t xml:space="preserve">573.1046</t>
  </si>
  <si>
    <t xml:space="preserve">573.1047</t>
  </si>
  <si>
    <t xml:space="preserve">573.1048</t>
  </si>
  <si>
    <t xml:space="preserve">573.1049</t>
  </si>
  <si>
    <t xml:space="preserve">573.1050</t>
  </si>
  <si>
    <t xml:space="preserve">573.1051</t>
  </si>
  <si>
    <t xml:space="preserve">573.1052</t>
  </si>
  <si>
    <t xml:space="preserve">573.1053</t>
  </si>
  <si>
    <t xml:space="preserve">573.1054</t>
  </si>
  <si>
    <t xml:space="preserve">573.1055</t>
  </si>
  <si>
    <t xml:space="preserve">573.1056</t>
  </si>
  <si>
    <t xml:space="preserve">573.1057</t>
  </si>
  <si>
    <t xml:space="preserve">573.1058</t>
  </si>
  <si>
    <t xml:space="preserve">573.1059</t>
  </si>
  <si>
    <t xml:space="preserve">573.1060</t>
  </si>
  <si>
    <t xml:space="preserve">573.1061</t>
  </si>
  <si>
    <t xml:space="preserve">573.1062</t>
  </si>
  <si>
    <t xml:space="preserve">573.1063</t>
  </si>
  <si>
    <t xml:space="preserve">573.1064</t>
  </si>
  <si>
    <t xml:space="preserve">573.1065</t>
  </si>
  <si>
    <t xml:space="preserve">573.1066</t>
  </si>
  <si>
    <t xml:space="preserve">573.1067</t>
  </si>
  <si>
    <t xml:space="preserve">573.1068</t>
  </si>
  <si>
    <t xml:space="preserve">573.1069</t>
  </si>
  <si>
    <t xml:space="preserve">573.1070</t>
  </si>
  <si>
    <t xml:space="preserve">573.1071</t>
  </si>
  <si>
    <t xml:space="preserve">573.1072</t>
  </si>
  <si>
    <t xml:space="preserve">573.1073</t>
  </si>
  <si>
    <t xml:space="preserve">573.1074</t>
  </si>
  <si>
    <t xml:space="preserve">573.1075</t>
  </si>
  <si>
    <t xml:space="preserve">573.1076</t>
  </si>
  <si>
    <t xml:space="preserve">573.1077</t>
  </si>
  <si>
    <t xml:space="preserve">573.1078</t>
  </si>
  <si>
    <t xml:space="preserve">573.1079</t>
  </si>
  <si>
    <t xml:space="preserve">573.1080</t>
  </si>
  <si>
    <t xml:space="preserve">573.1081</t>
  </si>
  <si>
    <t xml:space="preserve">573.1082</t>
  </si>
  <si>
    <t xml:space="preserve">573.1083</t>
  </si>
  <si>
    <t xml:space="preserve">573.1084</t>
  </si>
  <si>
    <t xml:space="preserve">573.1085</t>
  </si>
  <si>
    <t xml:space="preserve">573.1086</t>
  </si>
  <si>
    <t xml:space="preserve">573.1087</t>
  </si>
  <si>
    <t xml:space="preserve">573.1088</t>
  </si>
  <si>
    <t xml:space="preserve">573.1089</t>
  </si>
  <si>
    <t xml:space="preserve">573.1090</t>
  </si>
  <si>
    <t xml:space="preserve">573.1091</t>
  </si>
  <si>
    <t xml:space="preserve">573.1092</t>
  </si>
  <si>
    <t xml:space="preserve">573.1093</t>
  </si>
  <si>
    <t xml:space="preserve">573.1094</t>
  </si>
  <si>
    <t xml:space="preserve">573.1095</t>
  </si>
  <si>
    <t xml:space="preserve">573.1096</t>
  </si>
  <si>
    <t xml:space="preserve">573.1097</t>
  </si>
  <si>
    <t xml:space="preserve">573.1098</t>
  </si>
  <si>
    <t xml:space="preserve">573.1099</t>
  </si>
  <si>
    <t xml:space="preserve">573.1100</t>
  </si>
  <si>
    <t xml:space="preserve">573.1101</t>
  </si>
  <si>
    <t xml:space="preserve">573.1102</t>
  </si>
  <si>
    <t xml:space="preserve">573.1103</t>
  </si>
  <si>
    <t xml:space="preserve">573.1104</t>
  </si>
  <si>
    <t xml:space="preserve">573.1105</t>
  </si>
  <si>
    <t xml:space="preserve">573.1106</t>
  </si>
  <si>
    <t xml:space="preserve">573.1107</t>
  </si>
  <si>
    <t xml:space="preserve">573.1108</t>
  </si>
  <si>
    <t xml:space="preserve">573.1109</t>
  </si>
  <si>
    <t xml:space="preserve">573.1110</t>
  </si>
  <si>
    <t xml:space="preserve">573.1111</t>
  </si>
  <si>
    <t xml:space="preserve">573.1112</t>
  </si>
  <si>
    <t xml:space="preserve">573.1113</t>
  </si>
  <si>
    <t xml:space="preserve">573.1114</t>
  </si>
  <si>
    <t xml:space="preserve">573.1115</t>
  </si>
  <si>
    <t xml:space="preserve">573.1116</t>
  </si>
  <si>
    <t xml:space="preserve">573.1117</t>
  </si>
  <si>
    <t xml:space="preserve">573.1118</t>
  </si>
  <si>
    <t xml:space="preserve">573.1119</t>
  </si>
  <si>
    <t xml:space="preserve">573.1120</t>
  </si>
  <si>
    <t xml:space="preserve">573.1121</t>
  </si>
  <si>
    <t xml:space="preserve">573.1122</t>
  </si>
  <si>
    <t xml:space="preserve">573.1123</t>
  </si>
  <si>
    <t xml:space="preserve">573.1124</t>
  </si>
  <si>
    <t xml:space="preserve">573.1125</t>
  </si>
  <si>
    <t xml:space="preserve">573.1126</t>
  </si>
  <si>
    <t xml:space="preserve">573.1127</t>
  </si>
  <si>
    <t xml:space="preserve">573.1128</t>
  </si>
  <si>
    <t xml:space="preserve">573.1129</t>
  </si>
  <si>
    <t xml:space="preserve">573.1130</t>
  </si>
  <si>
    <t xml:space="preserve">573.1131</t>
  </si>
  <si>
    <t xml:space="preserve">573.1132</t>
  </si>
  <si>
    <t xml:space="preserve">573.1133</t>
  </si>
  <si>
    <t xml:space="preserve">573.1134</t>
  </si>
  <si>
    <t xml:space="preserve">573.1135</t>
  </si>
  <si>
    <t xml:space="preserve">573.1136</t>
  </si>
  <si>
    <t xml:space="preserve">573.1137</t>
  </si>
  <si>
    <t xml:space="preserve">573.1138</t>
  </si>
  <si>
    <t xml:space="preserve">573.1139</t>
  </si>
  <si>
    <t xml:space="preserve">573.1140</t>
  </si>
  <si>
    <t xml:space="preserve">573.1141</t>
  </si>
  <si>
    <t xml:space="preserve">573.1142</t>
  </si>
  <si>
    <t xml:space="preserve">573.1143</t>
  </si>
  <si>
    <t xml:space="preserve">573.1144</t>
  </si>
  <si>
    <t xml:space="preserve">573.1145</t>
  </si>
  <si>
    <t xml:space="preserve">573.1146</t>
  </si>
  <si>
    <t xml:space="preserve">573.1147</t>
  </si>
  <si>
    <t xml:space="preserve">573.1148</t>
  </si>
  <si>
    <t xml:space="preserve">573.1149</t>
  </si>
  <si>
    <t xml:space="preserve">Gene</t>
  </si>
  <si>
    <t xml:space="preserve">Mean_Abs_SHAP</t>
  </si>
  <si>
    <t xml:space="preserve">Mean_Signed_SHAP</t>
  </si>
  <si>
    <t xml:space="preserve">Risk_Direction</t>
  </si>
  <si>
    <t xml:space="preserve">Approx_Risk_Contribution_%</t>
  </si>
  <si>
    <t xml:space="preserve">Decreases Resistance Risk</t>
  </si>
  <si>
    <t xml:space="preserve">Increases Resistance Risk</t>
  </si>
  <si>
    <t xml:space="preserve">Total_Tested</t>
  </si>
  <si>
    <t xml:space="preserve">Resistant_Count</t>
  </si>
  <si>
    <t xml:space="preserve">Resistance_Percentage</t>
  </si>
  <si>
    <t xml:space="preserve">Forecast_Resistance_%</t>
  </si>
  <si>
    <t xml:space="preserve">AMR master workbook - how it was built</t>
  </si>
  <si>
    <t xml:space="preserve">Master_Combined: phenotypic_amr_data (genome x antibiotic) is the base table; 900 rows.</t>
  </si>
  <si>
    <t xml:space="preserve">Green columns = binary_gene_matrix, joined on Genome_ID (read as text so 573.1000 is not turned into 573.1).</t>
  </si>
  <si>
    <t xml:space="preserve">Yellow columns = formulas: Gene_Count = SUM of gene flags; Gene_Risk_Score = SUMPRODUCT(gene flags, Gene_Weights).</t>
  </si>
  <si>
    <t xml:space="preserve">Gene_Weights pulls Approx_Risk_Contribution_% from Gene_Impact_Scores by gene name. Weights are global averages, so the score is a rough summary, not a per-genome SHAP value.</t>
  </si>
  <si>
    <t xml:space="preserve">Year_* columns = yearly_resistance_trends, joined on Year + Antibiotic_Name (population-wide rate for that antibiotic and year).</t>
  </si>
  <si>
    <t xml:space="preserve">Blue columns = forecast_2031_results pivoted to one column per year (2025-2031), joined on Antibiotic_Name. Method: Trend_Extrapolation.</t>
  </si>
  <si>
    <t xml:space="preserve">Trend and forecast values repeat across rows of the same antibiotic/year; aggregate before treating them as independent samples.</t>
  </si>
  <si>
    <t xml:space="preserve">If training ML models on this sheet, exclude Year_Resistance_% and Forecast_% columns as features (derived from the same labels).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</si>
</sst>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35" min="5" style="0" width="11"/>
    <col collapsed="false" customWidth="true" hidden="false" outlineLevel="0" max="36" min="36" style="0" width="12"/>
    <col collapsed="false" customWidth="true" hidden="false" outlineLevel="0" max="37" min="37" style="0" width="17"/>
    <col collapsed="false" customWidth="true" hidden="false" outlineLevel="0" max="38" min="38" style="0" width="19"/>
    <col collapsed="false" customWidth="true" hidden="false" outlineLevel="0" max="39" min="39" style="0" width="20"/>
    <col collapsed="false" customWidth="true" hidden="false" outlineLevel="0" max="40" min="40" style="0" width="19"/>
    <col collapsed="false" customWidth="true" hidden="false" outlineLevel="0" max="48" min="41" style="0" width="17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customFormat="false" ht="15" hidden="false" customHeight="false" outlineLevel="0" collapsed="false">
      <c r="A2" s="2" t="s">
        <v>48</v>
      </c>
      <c r="B2" s="2" t="n">
        <v>2004</v>
      </c>
      <c r="C2" s="2" t="s">
        <v>49</v>
      </c>
      <c r="D2" s="2" t="n">
        <v>0</v>
      </c>
      <c r="E2" s="2" t="n">
        <v>16</v>
      </c>
      <c r="F2" s="2" t="s">
        <v>50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4" t="n">
        <f aca="false">SUM(G2:AI2)</f>
        <v>5</v>
      </c>
      <c r="AK2" s="4" t="n">
        <f aca="false">ROUND(SUMPRODUCT(G2:AI2,Gene_Weights!$B$2:$AD$2),3)</f>
        <v>-2.99</v>
      </c>
      <c r="AL2" s="2" t="n">
        <v>5</v>
      </c>
      <c r="AM2" s="2" t="n">
        <v>2</v>
      </c>
      <c r="AN2" s="2" t="n">
        <v>40</v>
      </c>
      <c r="AO2" s="5" t="n">
        <v>55.12</v>
      </c>
      <c r="AP2" s="5" t="n">
        <v>56.02</v>
      </c>
      <c r="AQ2" s="5" t="n">
        <v>56.92</v>
      </c>
      <c r="AR2" s="5" t="n">
        <v>57.82</v>
      </c>
      <c r="AS2" s="5" t="n">
        <v>58.72</v>
      </c>
      <c r="AT2" s="5" t="n">
        <v>59.62</v>
      </c>
      <c r="AU2" s="5" t="n">
        <v>60.52</v>
      </c>
      <c r="AV2" s="5" t="s">
        <v>51</v>
      </c>
    </row>
    <row r="3" customFormat="false" ht="15" hidden="false" customHeight="false" outlineLevel="0" collapsed="false">
      <c r="A3" s="2" t="s">
        <v>48</v>
      </c>
      <c r="B3" s="2" t="n">
        <v>2004</v>
      </c>
      <c r="C3" s="2" t="s">
        <v>52</v>
      </c>
      <c r="D3" s="2" t="n">
        <v>0</v>
      </c>
      <c r="E3" s="2" t="n">
        <v>2</v>
      </c>
      <c r="F3" s="2" t="s">
        <v>50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1</v>
      </c>
      <c r="X3" s="3" t="n">
        <v>0</v>
      </c>
      <c r="Y3" s="3" t="n">
        <v>0</v>
      </c>
      <c r="Z3" s="3" t="n">
        <v>1</v>
      </c>
      <c r="AA3" s="3" t="n">
        <v>0</v>
      </c>
      <c r="AB3" s="3" t="n">
        <v>0</v>
      </c>
      <c r="AC3" s="3" t="n">
        <v>0</v>
      </c>
      <c r="AD3" s="3" t="n">
        <v>1</v>
      </c>
      <c r="AE3" s="3" t="n">
        <v>1</v>
      </c>
      <c r="AF3" s="3" t="n">
        <v>0</v>
      </c>
      <c r="AG3" s="3" t="n">
        <v>0</v>
      </c>
      <c r="AH3" s="3" t="n">
        <v>0</v>
      </c>
      <c r="AI3" s="3" t="n">
        <v>0</v>
      </c>
      <c r="AJ3" s="4" t="n">
        <f aca="false">SUM(G3:AI3)</f>
        <v>5</v>
      </c>
      <c r="AK3" s="4" t="n">
        <f aca="false">ROUND(SUMPRODUCT(G3:AI3,Gene_Weights!$B$2:$AD$2),3)</f>
        <v>-2.99</v>
      </c>
      <c r="AL3" s="2" t="n">
        <v>5</v>
      </c>
      <c r="AM3" s="2" t="n">
        <v>1</v>
      </c>
      <c r="AN3" s="2" t="n">
        <v>20</v>
      </c>
      <c r="AO3" s="5" t="n">
        <v>64.53</v>
      </c>
      <c r="AP3" s="5" t="n">
        <v>66.13</v>
      </c>
      <c r="AQ3" s="5" t="n">
        <v>67.73</v>
      </c>
      <c r="AR3" s="5" t="n">
        <v>69.33</v>
      </c>
      <c r="AS3" s="5" t="n">
        <v>70.93</v>
      </c>
      <c r="AT3" s="5" t="n">
        <v>72.53</v>
      </c>
      <c r="AU3" s="5" t="n">
        <v>74.13</v>
      </c>
      <c r="AV3" s="5" t="s">
        <v>51</v>
      </c>
    </row>
    <row r="4" customFormat="false" ht="15" hidden="false" customHeight="false" outlineLevel="0" collapsed="false">
      <c r="A4" s="2" t="s">
        <v>48</v>
      </c>
      <c r="B4" s="2" t="n">
        <v>2004</v>
      </c>
      <c r="C4" s="2" t="s">
        <v>53</v>
      </c>
      <c r="D4" s="2" t="n">
        <v>0</v>
      </c>
      <c r="E4" s="2" t="n">
        <v>4</v>
      </c>
      <c r="F4" s="2" t="s">
        <v>50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4" t="n">
        <f aca="false">SUM(G4:AI4)</f>
        <v>5</v>
      </c>
      <c r="AK4" s="4" t="n">
        <f aca="false">ROUND(SUMPRODUCT(G4:AI4,Gene_Weights!$B$2:$AD$2),3)</f>
        <v>-2.99</v>
      </c>
      <c r="AL4" s="2" t="n">
        <v>5</v>
      </c>
      <c r="AM4" s="2" t="n">
        <v>1</v>
      </c>
      <c r="AN4" s="2" t="n">
        <v>20</v>
      </c>
      <c r="AO4" s="5" t="n">
        <v>52.86</v>
      </c>
      <c r="AP4" s="5" t="n">
        <v>53.65</v>
      </c>
      <c r="AQ4" s="5" t="n">
        <v>54.45</v>
      </c>
      <c r="AR4" s="5" t="n">
        <v>55.24</v>
      </c>
      <c r="AS4" s="5" t="n">
        <v>56.03</v>
      </c>
      <c r="AT4" s="5" t="n">
        <v>56.83</v>
      </c>
      <c r="AU4" s="5" t="n">
        <v>57.62</v>
      </c>
      <c r="AV4" s="5" t="s">
        <v>51</v>
      </c>
    </row>
    <row r="5" customFormat="false" ht="15" hidden="false" customHeight="false" outlineLevel="0" collapsed="false">
      <c r="A5" s="2" t="s">
        <v>48</v>
      </c>
      <c r="B5" s="2" t="n">
        <v>2004</v>
      </c>
      <c r="C5" s="2" t="s">
        <v>54</v>
      </c>
      <c r="D5" s="2" t="n">
        <v>1</v>
      </c>
      <c r="E5" s="2" t="n">
        <v>16</v>
      </c>
      <c r="F5" s="2" t="s">
        <v>50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0</v>
      </c>
      <c r="AB5" s="3" t="n">
        <v>0</v>
      </c>
      <c r="AC5" s="3" t="n">
        <v>0</v>
      </c>
      <c r="AD5" s="3" t="n">
        <v>1</v>
      </c>
      <c r="AE5" s="3" t="n">
        <v>1</v>
      </c>
      <c r="AF5" s="3" t="n">
        <v>0</v>
      </c>
      <c r="AG5" s="3" t="n">
        <v>0</v>
      </c>
      <c r="AH5" s="3" t="n">
        <v>0</v>
      </c>
      <c r="AI5" s="3" t="n">
        <v>0</v>
      </c>
      <c r="AJ5" s="4" t="n">
        <f aca="false">SUM(G5:AI5)</f>
        <v>5</v>
      </c>
      <c r="AK5" s="4" t="n">
        <f aca="false">ROUND(SUMPRODUCT(G5:AI5,Gene_Weights!$B$2:$AD$2),3)</f>
        <v>-2.99</v>
      </c>
      <c r="AL5" s="2" t="n">
        <v>5</v>
      </c>
      <c r="AM5" s="2" t="n">
        <v>1</v>
      </c>
      <c r="AN5" s="2" t="n">
        <v>20</v>
      </c>
      <c r="AO5" s="5" t="n">
        <v>81.84</v>
      </c>
      <c r="AP5" s="5" t="n">
        <v>84.45</v>
      </c>
      <c r="AQ5" s="5" t="n">
        <v>87.06</v>
      </c>
      <c r="AR5" s="5" t="n">
        <v>89.67</v>
      </c>
      <c r="AS5" s="5" t="n">
        <v>92.27</v>
      </c>
      <c r="AT5" s="5" t="n">
        <v>94.88</v>
      </c>
      <c r="AU5" s="5" t="n">
        <v>97.49</v>
      </c>
      <c r="AV5" s="5" t="s">
        <v>51</v>
      </c>
    </row>
    <row r="6" customFormat="false" ht="15" hidden="false" customHeight="false" outlineLevel="0" collapsed="false">
      <c r="A6" s="2" t="s">
        <v>48</v>
      </c>
      <c r="B6" s="2" t="n">
        <v>2004</v>
      </c>
      <c r="C6" s="2" t="s">
        <v>55</v>
      </c>
      <c r="D6" s="2" t="n">
        <v>0</v>
      </c>
      <c r="E6" s="2" t="n">
        <v>2</v>
      </c>
      <c r="F6" s="2" t="s">
        <v>50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4" t="n">
        <f aca="false">SUM(G6:AI6)</f>
        <v>5</v>
      </c>
      <c r="AK6" s="4" t="n">
        <f aca="false">ROUND(SUMPRODUCT(G6:AI6,Gene_Weights!$B$2:$AD$2),3)</f>
        <v>-2.99</v>
      </c>
      <c r="AL6" s="2" t="n">
        <v>5</v>
      </c>
      <c r="AM6" s="2" t="n">
        <v>3</v>
      </c>
      <c r="AN6" s="2" t="n">
        <v>60</v>
      </c>
      <c r="AO6" s="5" t="n">
        <v>58.19</v>
      </c>
      <c r="AP6" s="5" t="n">
        <v>59.74</v>
      </c>
      <c r="AQ6" s="5" t="n">
        <v>61.3</v>
      </c>
      <c r="AR6" s="5" t="n">
        <v>62.86</v>
      </c>
      <c r="AS6" s="5" t="n">
        <v>64.42</v>
      </c>
      <c r="AT6" s="5" t="n">
        <v>65.98</v>
      </c>
      <c r="AU6" s="5" t="n">
        <v>67.53</v>
      </c>
      <c r="AV6" s="5" t="s">
        <v>51</v>
      </c>
    </row>
    <row r="7" customFormat="false" ht="15" hidden="false" customHeight="false" outlineLevel="0" collapsed="false">
      <c r="A7" s="2" t="s">
        <v>48</v>
      </c>
      <c r="B7" s="2" t="n">
        <v>2004</v>
      </c>
      <c r="C7" s="2" t="s">
        <v>56</v>
      </c>
      <c r="D7" s="2" t="n">
        <v>0</v>
      </c>
      <c r="E7" s="2" t="n">
        <v>32</v>
      </c>
      <c r="F7" s="2" t="s">
        <v>50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1</v>
      </c>
      <c r="X7" s="3" t="n">
        <v>0</v>
      </c>
      <c r="Y7" s="3" t="n">
        <v>0</v>
      </c>
      <c r="Z7" s="3" t="n">
        <v>1</v>
      </c>
      <c r="AA7" s="3" t="n">
        <v>0</v>
      </c>
      <c r="AB7" s="3" t="n">
        <v>0</v>
      </c>
      <c r="AC7" s="3" t="n">
        <v>0</v>
      </c>
      <c r="AD7" s="3" t="n">
        <v>1</v>
      </c>
      <c r="AE7" s="3" t="n">
        <v>1</v>
      </c>
      <c r="AF7" s="3" t="n">
        <v>0</v>
      </c>
      <c r="AG7" s="3" t="n">
        <v>0</v>
      </c>
      <c r="AH7" s="3" t="n">
        <v>0</v>
      </c>
      <c r="AI7" s="3" t="n">
        <v>0</v>
      </c>
      <c r="AJ7" s="4" t="n">
        <f aca="false">SUM(G7:AI7)</f>
        <v>5</v>
      </c>
      <c r="AK7" s="4" t="n">
        <f aca="false">ROUND(SUMPRODUCT(G7:AI7,Gene_Weights!$B$2:$AD$2),3)</f>
        <v>-2.99</v>
      </c>
      <c r="AL7" s="2" t="n">
        <v>5</v>
      </c>
      <c r="AM7" s="2" t="n">
        <v>1</v>
      </c>
      <c r="AN7" s="2" t="n">
        <v>20</v>
      </c>
      <c r="AO7" s="5" t="n">
        <v>75.59</v>
      </c>
      <c r="AP7" s="5" t="n">
        <v>78.01</v>
      </c>
      <c r="AQ7" s="5" t="n">
        <v>80.42</v>
      </c>
      <c r="AR7" s="5" t="n">
        <v>82.83</v>
      </c>
      <c r="AS7" s="5" t="n">
        <v>85.24</v>
      </c>
      <c r="AT7" s="5" t="n">
        <v>87.66</v>
      </c>
      <c r="AU7" s="5" t="n">
        <v>90.07</v>
      </c>
      <c r="AV7" s="5" t="s">
        <v>51</v>
      </c>
    </row>
    <row r="8" customFormat="false" ht="15" hidden="false" customHeight="false" outlineLevel="0" collapsed="false">
      <c r="A8" s="2" t="s">
        <v>57</v>
      </c>
      <c r="B8" s="2" t="n">
        <v>2000</v>
      </c>
      <c r="C8" s="2" t="s">
        <v>49</v>
      </c>
      <c r="D8" s="2" t="n">
        <v>1</v>
      </c>
      <c r="E8" s="2" t="n">
        <v>4</v>
      </c>
      <c r="F8" s="2" t="s">
        <v>50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1</v>
      </c>
      <c r="AJ8" s="4" t="n">
        <f aca="false">SUM(G8:AI8)</f>
        <v>8</v>
      </c>
      <c r="AK8" s="4" t="n">
        <f aca="false">ROUND(SUMPRODUCT(G8:AI8,Gene_Weights!$B$2:$AD$2),3)</f>
        <v>-6.73</v>
      </c>
      <c r="AL8" s="2" t="n">
        <v>8</v>
      </c>
      <c r="AM8" s="2" t="n">
        <v>2</v>
      </c>
      <c r="AN8" s="2" t="n">
        <v>25</v>
      </c>
      <c r="AO8" s="5" t="n">
        <v>55.12</v>
      </c>
      <c r="AP8" s="5" t="n">
        <v>56.02</v>
      </c>
      <c r="AQ8" s="5" t="n">
        <v>56.92</v>
      </c>
      <c r="AR8" s="5" t="n">
        <v>57.82</v>
      </c>
      <c r="AS8" s="5" t="n">
        <v>58.72</v>
      </c>
      <c r="AT8" s="5" t="n">
        <v>59.62</v>
      </c>
      <c r="AU8" s="5" t="n">
        <v>60.52</v>
      </c>
      <c r="AV8" s="5" t="s">
        <v>51</v>
      </c>
    </row>
    <row r="9" customFormat="false" ht="15" hidden="false" customHeight="false" outlineLevel="0" collapsed="false">
      <c r="A9" s="2" t="s">
        <v>57</v>
      </c>
      <c r="B9" s="2" t="n">
        <v>2000</v>
      </c>
      <c r="C9" s="2" t="s">
        <v>52</v>
      </c>
      <c r="D9" s="2" t="n">
        <v>0</v>
      </c>
      <c r="E9" s="2" t="n">
        <v>4</v>
      </c>
      <c r="F9" s="2" t="s">
        <v>50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1</v>
      </c>
      <c r="Y9" s="3" t="n">
        <v>1</v>
      </c>
      <c r="Z9" s="3" t="n">
        <v>1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1</v>
      </c>
      <c r="AF9" s="3" t="n">
        <v>0</v>
      </c>
      <c r="AG9" s="3" t="n">
        <v>0</v>
      </c>
      <c r="AH9" s="3" t="n">
        <v>0</v>
      </c>
      <c r="AI9" s="3" t="n">
        <v>1</v>
      </c>
      <c r="AJ9" s="4" t="n">
        <f aca="false">SUM(G9:AI9)</f>
        <v>8</v>
      </c>
      <c r="AK9" s="4" t="n">
        <f aca="false">ROUND(SUMPRODUCT(G9:AI9,Gene_Weights!$B$2:$AD$2),3)</f>
        <v>-6.73</v>
      </c>
      <c r="AL9" s="2" t="n">
        <v>8</v>
      </c>
      <c r="AM9" s="2" t="n">
        <v>2</v>
      </c>
      <c r="AN9" s="2" t="n">
        <v>25</v>
      </c>
      <c r="AO9" s="5" t="n">
        <v>64.53</v>
      </c>
      <c r="AP9" s="5" t="n">
        <v>66.13</v>
      </c>
      <c r="AQ9" s="5" t="n">
        <v>67.73</v>
      </c>
      <c r="AR9" s="5" t="n">
        <v>69.33</v>
      </c>
      <c r="AS9" s="5" t="n">
        <v>70.93</v>
      </c>
      <c r="AT9" s="5" t="n">
        <v>72.53</v>
      </c>
      <c r="AU9" s="5" t="n">
        <v>74.13</v>
      </c>
      <c r="AV9" s="5" t="s">
        <v>51</v>
      </c>
    </row>
    <row r="10" customFormat="false" ht="15" hidden="false" customHeight="false" outlineLevel="0" collapsed="false">
      <c r="A10" s="2" t="s">
        <v>57</v>
      </c>
      <c r="B10" s="2" t="n">
        <v>2000</v>
      </c>
      <c r="C10" s="2" t="s">
        <v>53</v>
      </c>
      <c r="D10" s="2" t="n">
        <v>0</v>
      </c>
      <c r="E10" s="2" t="n">
        <v>32</v>
      </c>
      <c r="F10" s="2" t="s">
        <v>50</v>
      </c>
      <c r="G10" s="3" t="n">
        <v>1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4" t="n">
        <f aca="false">SUM(G10:AI10)</f>
        <v>8</v>
      </c>
      <c r="AK10" s="4" t="n">
        <f aca="false">ROUND(SUMPRODUCT(G10:AI10,Gene_Weights!$B$2:$AD$2),3)</f>
        <v>-6.73</v>
      </c>
      <c r="AL10" s="2" t="n">
        <v>8</v>
      </c>
      <c r="AM10" s="2" t="n">
        <v>1</v>
      </c>
      <c r="AN10" s="2" t="n">
        <v>12.5</v>
      </c>
      <c r="AO10" s="5" t="n">
        <v>52.86</v>
      </c>
      <c r="AP10" s="5" t="n">
        <v>53.65</v>
      </c>
      <c r="AQ10" s="5" t="n">
        <v>54.45</v>
      </c>
      <c r="AR10" s="5" t="n">
        <v>55.24</v>
      </c>
      <c r="AS10" s="5" t="n">
        <v>56.03</v>
      </c>
      <c r="AT10" s="5" t="n">
        <v>56.83</v>
      </c>
      <c r="AU10" s="5" t="n">
        <v>57.62</v>
      </c>
      <c r="AV10" s="5" t="s">
        <v>51</v>
      </c>
    </row>
    <row r="11" customFormat="false" ht="15" hidden="false" customHeight="false" outlineLevel="0" collapsed="false">
      <c r="A11" s="2" t="s">
        <v>57</v>
      </c>
      <c r="B11" s="2" t="n">
        <v>2000</v>
      </c>
      <c r="C11" s="2" t="s">
        <v>54</v>
      </c>
      <c r="D11" s="2" t="n">
        <v>0</v>
      </c>
      <c r="E11" s="2" t="n">
        <v>2</v>
      </c>
      <c r="F11" s="2" t="s">
        <v>50</v>
      </c>
      <c r="G11" s="3" t="n">
        <v>1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</v>
      </c>
      <c r="Y11" s="3" t="n">
        <v>1</v>
      </c>
      <c r="Z11" s="3" t="n">
        <v>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4" t="n">
        <f aca="false">SUM(G11:AI11)</f>
        <v>8</v>
      </c>
      <c r="AK11" s="4" t="n">
        <f aca="false">ROUND(SUMPRODUCT(G11:AI11,Gene_Weights!$B$2:$AD$2),3)</f>
        <v>-6.73</v>
      </c>
      <c r="AL11" s="2" t="n">
        <v>8</v>
      </c>
      <c r="AM11" s="2" t="n">
        <v>1</v>
      </c>
      <c r="AN11" s="2" t="n">
        <v>12.5</v>
      </c>
      <c r="AO11" s="5" t="n">
        <v>81.84</v>
      </c>
      <c r="AP11" s="5" t="n">
        <v>84.45</v>
      </c>
      <c r="AQ11" s="5" t="n">
        <v>87.06</v>
      </c>
      <c r="AR11" s="5" t="n">
        <v>89.67</v>
      </c>
      <c r="AS11" s="5" t="n">
        <v>92.27</v>
      </c>
      <c r="AT11" s="5" t="n">
        <v>94.88</v>
      </c>
      <c r="AU11" s="5" t="n">
        <v>97.49</v>
      </c>
      <c r="AV11" s="5" t="s">
        <v>51</v>
      </c>
    </row>
    <row r="12" customFormat="false" ht="15" hidden="false" customHeight="false" outlineLevel="0" collapsed="false">
      <c r="A12" s="2" t="s">
        <v>57</v>
      </c>
      <c r="B12" s="2" t="n">
        <v>2000</v>
      </c>
      <c r="C12" s="2" t="s">
        <v>55</v>
      </c>
      <c r="D12" s="2" t="n">
        <v>0</v>
      </c>
      <c r="E12" s="2" t="n">
        <v>4</v>
      </c>
      <c r="F12" s="2" t="s">
        <v>50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4" t="n">
        <f aca="false">SUM(G12:AI12)</f>
        <v>8</v>
      </c>
      <c r="AK12" s="4" t="n">
        <f aca="false">ROUND(SUMPRODUCT(G12:AI12,Gene_Weights!$B$2:$AD$2),3)</f>
        <v>-6.73</v>
      </c>
      <c r="AL12" s="2" t="n">
        <v>8</v>
      </c>
      <c r="AM12" s="2" t="n">
        <v>0</v>
      </c>
      <c r="AN12" s="2" t="n">
        <v>0</v>
      </c>
      <c r="AO12" s="5" t="n">
        <v>58.19</v>
      </c>
      <c r="AP12" s="5" t="n">
        <v>59.74</v>
      </c>
      <c r="AQ12" s="5" t="n">
        <v>61.3</v>
      </c>
      <c r="AR12" s="5" t="n">
        <v>62.86</v>
      </c>
      <c r="AS12" s="5" t="n">
        <v>64.42</v>
      </c>
      <c r="AT12" s="5" t="n">
        <v>65.98</v>
      </c>
      <c r="AU12" s="5" t="n">
        <v>67.53</v>
      </c>
      <c r="AV12" s="5" t="s">
        <v>51</v>
      </c>
    </row>
    <row r="13" customFormat="false" ht="15" hidden="false" customHeight="false" outlineLevel="0" collapsed="false">
      <c r="A13" s="2" t="s">
        <v>57</v>
      </c>
      <c r="B13" s="2" t="n">
        <v>2000</v>
      </c>
      <c r="C13" s="2" t="s">
        <v>56</v>
      </c>
      <c r="D13" s="2" t="n">
        <v>1</v>
      </c>
      <c r="E13" s="2" t="n">
        <v>2</v>
      </c>
      <c r="F13" s="2" t="s">
        <v>50</v>
      </c>
      <c r="G13" s="3" t="n">
        <v>1</v>
      </c>
      <c r="H13" s="3" t="n">
        <v>0</v>
      </c>
      <c r="I13" s="3" t="n">
        <v>0</v>
      </c>
      <c r="J13" s="3" t="n">
        <v>1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3" t="n">
        <v>1</v>
      </c>
      <c r="Z13" s="3" t="n">
        <v>1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1</v>
      </c>
      <c r="AJ13" s="4" t="n">
        <f aca="false">SUM(G13:AI13)</f>
        <v>8</v>
      </c>
      <c r="AK13" s="4" t="n">
        <f aca="false">ROUND(SUMPRODUCT(G13:AI13,Gene_Weights!$B$2:$AD$2),3)</f>
        <v>-6.73</v>
      </c>
      <c r="AL13" s="2" t="n">
        <v>8</v>
      </c>
      <c r="AM13" s="2" t="n">
        <v>2</v>
      </c>
      <c r="AN13" s="2" t="n">
        <v>25</v>
      </c>
      <c r="AO13" s="5" t="n">
        <v>75.59</v>
      </c>
      <c r="AP13" s="5" t="n">
        <v>78.01</v>
      </c>
      <c r="AQ13" s="5" t="n">
        <v>80.42</v>
      </c>
      <c r="AR13" s="5" t="n">
        <v>82.83</v>
      </c>
      <c r="AS13" s="5" t="n">
        <v>85.24</v>
      </c>
      <c r="AT13" s="5" t="n">
        <v>87.66</v>
      </c>
      <c r="AU13" s="5" t="n">
        <v>90.07</v>
      </c>
      <c r="AV13" s="5" t="s">
        <v>51</v>
      </c>
    </row>
    <row r="14" customFormat="false" ht="15" hidden="false" customHeight="false" outlineLevel="0" collapsed="false">
      <c r="A14" s="2" t="s">
        <v>58</v>
      </c>
      <c r="B14" s="2" t="n">
        <v>2014</v>
      </c>
      <c r="C14" s="2" t="s">
        <v>49</v>
      </c>
      <c r="D14" s="2" t="n">
        <v>0</v>
      </c>
      <c r="E14" s="2" t="n">
        <v>16</v>
      </c>
      <c r="F14" s="2" t="s">
        <v>50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1</v>
      </c>
      <c r="AJ14" s="4" t="n">
        <f aca="false">SUM(G14:AI14)</f>
        <v>11</v>
      </c>
      <c r="AK14" s="4" t="n">
        <f aca="false">ROUND(SUMPRODUCT(G14:AI14,Gene_Weights!$B$2:$AD$2),3)</f>
        <v>-8.39</v>
      </c>
      <c r="AL14" s="2" t="n">
        <v>8</v>
      </c>
      <c r="AM14" s="2" t="n">
        <v>3</v>
      </c>
      <c r="AN14" s="2" t="n">
        <v>37.5</v>
      </c>
      <c r="AO14" s="5" t="n">
        <v>55.12</v>
      </c>
      <c r="AP14" s="5" t="n">
        <v>56.02</v>
      </c>
      <c r="AQ14" s="5" t="n">
        <v>56.92</v>
      </c>
      <c r="AR14" s="5" t="n">
        <v>57.82</v>
      </c>
      <c r="AS14" s="5" t="n">
        <v>58.72</v>
      </c>
      <c r="AT14" s="5" t="n">
        <v>59.62</v>
      </c>
      <c r="AU14" s="5" t="n">
        <v>60.52</v>
      </c>
      <c r="AV14" s="5" t="s">
        <v>51</v>
      </c>
    </row>
    <row r="15" customFormat="false" ht="15" hidden="false" customHeight="false" outlineLevel="0" collapsed="false">
      <c r="A15" s="2" t="s">
        <v>58</v>
      </c>
      <c r="B15" s="2" t="n">
        <v>2014</v>
      </c>
      <c r="C15" s="2" t="s">
        <v>52</v>
      </c>
      <c r="D15" s="2" t="n">
        <v>1</v>
      </c>
      <c r="E15" s="2" t="n">
        <v>32</v>
      </c>
      <c r="F15" s="2" t="s">
        <v>50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1</v>
      </c>
      <c r="Y15" s="3" t="n">
        <v>1</v>
      </c>
      <c r="Z15" s="3" t="n">
        <v>0</v>
      </c>
      <c r="AA15" s="3" t="n">
        <v>0</v>
      </c>
      <c r="AB15" s="3" t="n">
        <v>0</v>
      </c>
      <c r="AC15" s="3" t="n">
        <v>1</v>
      </c>
      <c r="AD15" s="3" t="n">
        <v>0</v>
      </c>
      <c r="AE15" s="3" t="n">
        <v>0</v>
      </c>
      <c r="AF15" s="3" t="n">
        <v>1</v>
      </c>
      <c r="AG15" s="3" t="n">
        <v>0</v>
      </c>
      <c r="AH15" s="3" t="n">
        <v>0</v>
      </c>
      <c r="AI15" s="3" t="n">
        <v>1</v>
      </c>
      <c r="AJ15" s="4" t="n">
        <f aca="false">SUM(G15:AI15)</f>
        <v>11</v>
      </c>
      <c r="AK15" s="4" t="n">
        <f aca="false">ROUND(SUMPRODUCT(G15:AI15,Gene_Weights!$B$2:$AD$2),3)</f>
        <v>-8.39</v>
      </c>
      <c r="AL15" s="2" t="n">
        <v>8</v>
      </c>
      <c r="AM15" s="2" t="n">
        <v>4</v>
      </c>
      <c r="AN15" s="2" t="n">
        <v>50</v>
      </c>
      <c r="AO15" s="5" t="n">
        <v>64.53</v>
      </c>
      <c r="AP15" s="5" t="n">
        <v>66.13</v>
      </c>
      <c r="AQ15" s="5" t="n">
        <v>67.73</v>
      </c>
      <c r="AR15" s="5" t="n">
        <v>69.33</v>
      </c>
      <c r="AS15" s="5" t="n">
        <v>70.93</v>
      </c>
      <c r="AT15" s="5" t="n">
        <v>72.53</v>
      </c>
      <c r="AU15" s="5" t="n">
        <v>74.13</v>
      </c>
      <c r="AV15" s="5" t="s">
        <v>51</v>
      </c>
    </row>
    <row r="16" customFormat="false" ht="15" hidden="false" customHeight="false" outlineLevel="0" collapsed="false">
      <c r="A16" s="2" t="s">
        <v>58</v>
      </c>
      <c r="B16" s="2" t="n">
        <v>2014</v>
      </c>
      <c r="C16" s="2" t="s">
        <v>53</v>
      </c>
      <c r="D16" s="2" t="n">
        <v>0</v>
      </c>
      <c r="E16" s="2" t="n">
        <v>16</v>
      </c>
      <c r="F16" s="2" t="s">
        <v>50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1</v>
      </c>
      <c r="AJ16" s="4" t="n">
        <f aca="false">SUM(G16:AI16)</f>
        <v>11</v>
      </c>
      <c r="AK16" s="4" t="n">
        <f aca="false">ROUND(SUMPRODUCT(G16:AI16,Gene_Weights!$B$2:$AD$2),3)</f>
        <v>-8.39</v>
      </c>
      <c r="AL16" s="2" t="n">
        <v>8</v>
      </c>
      <c r="AM16" s="2" t="n">
        <v>2</v>
      </c>
      <c r="AN16" s="2" t="n">
        <v>25</v>
      </c>
      <c r="AO16" s="5" t="n">
        <v>52.86</v>
      </c>
      <c r="AP16" s="5" t="n">
        <v>53.65</v>
      </c>
      <c r="AQ16" s="5" t="n">
        <v>54.45</v>
      </c>
      <c r="AR16" s="5" t="n">
        <v>55.24</v>
      </c>
      <c r="AS16" s="5" t="n">
        <v>56.03</v>
      </c>
      <c r="AT16" s="5" t="n">
        <v>56.83</v>
      </c>
      <c r="AU16" s="5" t="n">
        <v>57.62</v>
      </c>
      <c r="AV16" s="5" t="s">
        <v>51</v>
      </c>
    </row>
    <row r="17" customFormat="false" ht="15" hidden="false" customHeight="false" outlineLevel="0" collapsed="false">
      <c r="A17" s="2" t="s">
        <v>58</v>
      </c>
      <c r="B17" s="2" t="n">
        <v>2014</v>
      </c>
      <c r="C17" s="2" t="s">
        <v>54</v>
      </c>
      <c r="D17" s="2" t="n">
        <v>1</v>
      </c>
      <c r="E17" s="2" t="n">
        <v>16</v>
      </c>
      <c r="F17" s="2" t="s">
        <v>50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1</v>
      </c>
      <c r="Y17" s="3" t="n">
        <v>1</v>
      </c>
      <c r="Z17" s="3" t="n">
        <v>0</v>
      </c>
      <c r="AA17" s="3" t="n">
        <v>0</v>
      </c>
      <c r="AB17" s="3" t="n">
        <v>0</v>
      </c>
      <c r="AC17" s="3" t="n">
        <v>1</v>
      </c>
      <c r="AD17" s="3" t="n">
        <v>0</v>
      </c>
      <c r="AE17" s="3" t="n">
        <v>0</v>
      </c>
      <c r="AF17" s="3" t="n">
        <v>1</v>
      </c>
      <c r="AG17" s="3" t="n">
        <v>0</v>
      </c>
      <c r="AH17" s="3" t="n">
        <v>0</v>
      </c>
      <c r="AI17" s="3" t="n">
        <v>1</v>
      </c>
      <c r="AJ17" s="4" t="n">
        <f aca="false">SUM(G17:AI17)</f>
        <v>11</v>
      </c>
      <c r="AK17" s="4" t="n">
        <f aca="false">ROUND(SUMPRODUCT(G17:AI17,Gene_Weights!$B$2:$AD$2),3)</f>
        <v>-8.39</v>
      </c>
      <c r="AL17" s="2" t="n">
        <v>8</v>
      </c>
      <c r="AM17" s="2" t="n">
        <v>5</v>
      </c>
      <c r="AN17" s="2" t="n">
        <v>62.5</v>
      </c>
      <c r="AO17" s="5" t="n">
        <v>81.84</v>
      </c>
      <c r="AP17" s="5" t="n">
        <v>84.45</v>
      </c>
      <c r="AQ17" s="5" t="n">
        <v>87.06</v>
      </c>
      <c r="AR17" s="5" t="n">
        <v>89.67</v>
      </c>
      <c r="AS17" s="5" t="n">
        <v>92.27</v>
      </c>
      <c r="AT17" s="5" t="n">
        <v>94.88</v>
      </c>
      <c r="AU17" s="5" t="n">
        <v>97.49</v>
      </c>
      <c r="AV17" s="5" t="s">
        <v>51</v>
      </c>
    </row>
    <row r="18" customFormat="false" ht="15" hidden="false" customHeight="false" outlineLevel="0" collapsed="false">
      <c r="A18" s="2" t="s">
        <v>58</v>
      </c>
      <c r="B18" s="2" t="n">
        <v>2014</v>
      </c>
      <c r="C18" s="2" t="s">
        <v>55</v>
      </c>
      <c r="D18" s="2" t="n">
        <v>0</v>
      </c>
      <c r="E18" s="2" t="n">
        <v>32</v>
      </c>
      <c r="F18" s="2" t="s">
        <v>50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1</v>
      </c>
      <c r="AJ18" s="4" t="n">
        <f aca="false">SUM(G18:AI18)</f>
        <v>11</v>
      </c>
      <c r="AK18" s="4" t="n">
        <f aca="false">ROUND(SUMPRODUCT(G18:AI18,Gene_Weights!$B$2:$AD$2),3)</f>
        <v>-8.39</v>
      </c>
      <c r="AL18" s="2" t="n">
        <v>8</v>
      </c>
      <c r="AM18" s="2" t="n">
        <v>3</v>
      </c>
      <c r="AN18" s="2" t="n">
        <v>37.5</v>
      </c>
      <c r="AO18" s="5" t="n">
        <v>58.19</v>
      </c>
      <c r="AP18" s="5" t="n">
        <v>59.74</v>
      </c>
      <c r="AQ18" s="5" t="n">
        <v>61.3</v>
      </c>
      <c r="AR18" s="5" t="n">
        <v>62.86</v>
      </c>
      <c r="AS18" s="5" t="n">
        <v>64.42</v>
      </c>
      <c r="AT18" s="5" t="n">
        <v>65.98</v>
      </c>
      <c r="AU18" s="5" t="n">
        <v>67.53</v>
      </c>
      <c r="AV18" s="5" t="s">
        <v>51</v>
      </c>
    </row>
    <row r="19" customFormat="false" ht="15" hidden="false" customHeight="false" outlineLevel="0" collapsed="false">
      <c r="A19" s="2" t="s">
        <v>58</v>
      </c>
      <c r="B19" s="2" t="n">
        <v>2014</v>
      </c>
      <c r="C19" s="2" t="s">
        <v>56</v>
      </c>
      <c r="D19" s="2" t="n">
        <v>0</v>
      </c>
      <c r="E19" s="2" t="n">
        <v>32</v>
      </c>
      <c r="F19" s="2" t="s">
        <v>50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1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1</v>
      </c>
      <c r="V19" s="3" t="n">
        <v>0</v>
      </c>
      <c r="W19" s="3" t="n">
        <v>0</v>
      </c>
      <c r="X19" s="3" t="n">
        <v>1</v>
      </c>
      <c r="Y19" s="3" t="n">
        <v>1</v>
      </c>
      <c r="Z19" s="3" t="n">
        <v>0</v>
      </c>
      <c r="AA19" s="3" t="n">
        <v>0</v>
      </c>
      <c r="AB19" s="3" t="n">
        <v>0</v>
      </c>
      <c r="AC19" s="3" t="n">
        <v>1</v>
      </c>
      <c r="AD19" s="3" t="n">
        <v>0</v>
      </c>
      <c r="AE19" s="3" t="n">
        <v>0</v>
      </c>
      <c r="AF19" s="3" t="n">
        <v>1</v>
      </c>
      <c r="AG19" s="3" t="n">
        <v>0</v>
      </c>
      <c r="AH19" s="3" t="n">
        <v>0</v>
      </c>
      <c r="AI19" s="3" t="n">
        <v>1</v>
      </c>
      <c r="AJ19" s="4" t="n">
        <f aca="false">SUM(G19:AI19)</f>
        <v>11</v>
      </c>
      <c r="AK19" s="4" t="n">
        <f aca="false">ROUND(SUMPRODUCT(G19:AI19,Gene_Weights!$B$2:$AD$2),3)</f>
        <v>-8.39</v>
      </c>
      <c r="AL19" s="2" t="n">
        <v>8</v>
      </c>
      <c r="AM19" s="2" t="n">
        <v>3</v>
      </c>
      <c r="AN19" s="2" t="n">
        <v>37.5</v>
      </c>
      <c r="AO19" s="5" t="n">
        <v>75.59</v>
      </c>
      <c r="AP19" s="5" t="n">
        <v>78.01</v>
      </c>
      <c r="AQ19" s="5" t="n">
        <v>80.42</v>
      </c>
      <c r="AR19" s="5" t="n">
        <v>82.83</v>
      </c>
      <c r="AS19" s="5" t="n">
        <v>85.24</v>
      </c>
      <c r="AT19" s="5" t="n">
        <v>87.66</v>
      </c>
      <c r="AU19" s="5" t="n">
        <v>90.07</v>
      </c>
      <c r="AV19" s="5" t="s">
        <v>51</v>
      </c>
    </row>
    <row r="20" customFormat="false" ht="15" hidden="false" customHeight="false" outlineLevel="0" collapsed="false">
      <c r="A20" s="2" t="s">
        <v>59</v>
      </c>
      <c r="B20" s="2" t="n">
        <v>2022</v>
      </c>
      <c r="C20" s="2" t="s">
        <v>49</v>
      </c>
      <c r="D20" s="2" t="n">
        <v>1</v>
      </c>
      <c r="E20" s="2" t="n">
        <v>16</v>
      </c>
      <c r="F20" s="2" t="s">
        <v>50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4" t="n">
        <f aca="false">SUM(G20:AI20)</f>
        <v>4</v>
      </c>
      <c r="AK20" s="4" t="n">
        <f aca="false">ROUND(SUMPRODUCT(G20:AI20,Gene_Weights!$B$2:$AD$2),3)</f>
        <v>-3.51</v>
      </c>
      <c r="AL20" s="2" t="n">
        <v>6</v>
      </c>
      <c r="AM20" s="2" t="n">
        <v>4</v>
      </c>
      <c r="AN20" s="2" t="n">
        <v>66.67</v>
      </c>
      <c r="AO20" s="5" t="n">
        <v>55.12</v>
      </c>
      <c r="AP20" s="5" t="n">
        <v>56.02</v>
      </c>
      <c r="AQ20" s="5" t="n">
        <v>56.92</v>
      </c>
      <c r="AR20" s="5" t="n">
        <v>57.82</v>
      </c>
      <c r="AS20" s="5" t="n">
        <v>58.72</v>
      </c>
      <c r="AT20" s="5" t="n">
        <v>59.62</v>
      </c>
      <c r="AU20" s="5" t="n">
        <v>60.52</v>
      </c>
      <c r="AV20" s="5" t="s">
        <v>51</v>
      </c>
    </row>
    <row r="21" customFormat="false" ht="15" hidden="false" customHeight="false" outlineLevel="0" collapsed="false">
      <c r="A21" s="2" t="s">
        <v>59</v>
      </c>
      <c r="B21" s="2" t="n">
        <v>2022</v>
      </c>
      <c r="C21" s="2" t="s">
        <v>52</v>
      </c>
      <c r="D21" s="2" t="n">
        <v>0</v>
      </c>
      <c r="E21" s="2" t="n">
        <v>2</v>
      </c>
      <c r="F21" s="2" t="s">
        <v>50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</v>
      </c>
      <c r="S21" s="3" t="n">
        <v>0</v>
      </c>
      <c r="T21" s="3" t="n">
        <v>1</v>
      </c>
      <c r="U21" s="3" t="n">
        <v>0</v>
      </c>
      <c r="V21" s="3" t="n">
        <v>1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1</v>
      </c>
      <c r="AF21" s="3" t="n">
        <v>0</v>
      </c>
      <c r="AG21" s="3" t="n">
        <v>0</v>
      </c>
      <c r="AH21" s="3" t="n">
        <v>0</v>
      </c>
      <c r="AI21" s="3" t="n">
        <v>0</v>
      </c>
      <c r="AJ21" s="4" t="n">
        <f aca="false">SUM(G21:AI21)</f>
        <v>4</v>
      </c>
      <c r="AK21" s="4" t="n">
        <f aca="false">ROUND(SUMPRODUCT(G21:AI21,Gene_Weights!$B$2:$AD$2),3)</f>
        <v>-3.51</v>
      </c>
      <c r="AL21" s="2" t="n">
        <v>6</v>
      </c>
      <c r="AM21" s="2" t="n">
        <v>2</v>
      </c>
      <c r="AN21" s="2" t="n">
        <v>33.33</v>
      </c>
      <c r="AO21" s="5" t="n">
        <v>64.53</v>
      </c>
      <c r="AP21" s="5" t="n">
        <v>66.13</v>
      </c>
      <c r="AQ21" s="5" t="n">
        <v>67.73</v>
      </c>
      <c r="AR21" s="5" t="n">
        <v>69.33</v>
      </c>
      <c r="AS21" s="5" t="n">
        <v>70.93</v>
      </c>
      <c r="AT21" s="5" t="n">
        <v>72.53</v>
      </c>
      <c r="AU21" s="5" t="n">
        <v>74.13</v>
      </c>
      <c r="AV21" s="5" t="s">
        <v>51</v>
      </c>
    </row>
    <row r="22" customFormat="false" ht="15" hidden="false" customHeight="false" outlineLevel="0" collapsed="false">
      <c r="A22" s="2" t="s">
        <v>59</v>
      </c>
      <c r="B22" s="2" t="n">
        <v>2022</v>
      </c>
      <c r="C22" s="2" t="s">
        <v>53</v>
      </c>
      <c r="D22" s="2" t="n">
        <v>1</v>
      </c>
      <c r="E22" s="2" t="n">
        <v>32</v>
      </c>
      <c r="F22" s="2" t="s">
        <v>50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4" t="n">
        <f aca="false">SUM(G22:AI22)</f>
        <v>4</v>
      </c>
      <c r="AK22" s="4" t="n">
        <f aca="false">ROUND(SUMPRODUCT(G22:AI22,Gene_Weights!$B$2:$AD$2),3)</f>
        <v>-3.51</v>
      </c>
      <c r="AL22" s="2" t="n">
        <v>6</v>
      </c>
      <c r="AM22" s="2" t="n">
        <v>5</v>
      </c>
      <c r="AN22" s="2" t="n">
        <v>83.33</v>
      </c>
      <c r="AO22" s="5" t="n">
        <v>52.86</v>
      </c>
      <c r="AP22" s="5" t="n">
        <v>53.65</v>
      </c>
      <c r="AQ22" s="5" t="n">
        <v>54.45</v>
      </c>
      <c r="AR22" s="5" t="n">
        <v>55.24</v>
      </c>
      <c r="AS22" s="5" t="n">
        <v>56.03</v>
      </c>
      <c r="AT22" s="5" t="n">
        <v>56.83</v>
      </c>
      <c r="AU22" s="5" t="n">
        <v>57.62</v>
      </c>
      <c r="AV22" s="5" t="s">
        <v>51</v>
      </c>
    </row>
    <row r="23" customFormat="false" ht="15" hidden="false" customHeight="false" outlineLevel="0" collapsed="false">
      <c r="A23" s="2" t="s">
        <v>59</v>
      </c>
      <c r="B23" s="2" t="n">
        <v>2022</v>
      </c>
      <c r="C23" s="2" t="s">
        <v>54</v>
      </c>
      <c r="D23" s="2" t="n">
        <v>0</v>
      </c>
      <c r="E23" s="2" t="n">
        <v>4</v>
      </c>
      <c r="F23" s="2" t="s">
        <v>50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0</v>
      </c>
      <c r="T23" s="3" t="n">
        <v>1</v>
      </c>
      <c r="U23" s="3" t="n">
        <v>0</v>
      </c>
      <c r="V23" s="3" t="n">
        <v>1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1</v>
      </c>
      <c r="AF23" s="3" t="n">
        <v>0</v>
      </c>
      <c r="AG23" s="3" t="n">
        <v>0</v>
      </c>
      <c r="AH23" s="3" t="n">
        <v>0</v>
      </c>
      <c r="AI23" s="3" t="n">
        <v>0</v>
      </c>
      <c r="AJ23" s="4" t="n">
        <f aca="false">SUM(G23:AI23)</f>
        <v>4</v>
      </c>
      <c r="AK23" s="4" t="n">
        <f aca="false">ROUND(SUMPRODUCT(G23:AI23,Gene_Weights!$B$2:$AD$2),3)</f>
        <v>-3.51</v>
      </c>
      <c r="AL23" s="2" t="n">
        <v>6</v>
      </c>
      <c r="AM23" s="2" t="n">
        <v>4</v>
      </c>
      <c r="AN23" s="2" t="n">
        <v>66.67</v>
      </c>
      <c r="AO23" s="5" t="n">
        <v>81.84</v>
      </c>
      <c r="AP23" s="5" t="n">
        <v>84.45</v>
      </c>
      <c r="AQ23" s="5" t="n">
        <v>87.06</v>
      </c>
      <c r="AR23" s="5" t="n">
        <v>89.67</v>
      </c>
      <c r="AS23" s="5" t="n">
        <v>92.27</v>
      </c>
      <c r="AT23" s="5" t="n">
        <v>94.88</v>
      </c>
      <c r="AU23" s="5" t="n">
        <v>97.49</v>
      </c>
      <c r="AV23" s="5" t="s">
        <v>51</v>
      </c>
    </row>
    <row r="24" customFormat="false" ht="15" hidden="false" customHeight="false" outlineLevel="0" collapsed="false">
      <c r="A24" s="2" t="s">
        <v>59</v>
      </c>
      <c r="B24" s="2" t="n">
        <v>2022</v>
      </c>
      <c r="C24" s="2" t="s">
        <v>55</v>
      </c>
      <c r="D24" s="2" t="n">
        <v>0</v>
      </c>
      <c r="E24" s="2" t="n">
        <v>2</v>
      </c>
      <c r="F24" s="2" t="s">
        <v>50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4" t="n">
        <f aca="false">SUM(G24:AI24)</f>
        <v>4</v>
      </c>
      <c r="AK24" s="4" t="n">
        <f aca="false">ROUND(SUMPRODUCT(G24:AI24,Gene_Weights!$B$2:$AD$2),3)</f>
        <v>-3.51</v>
      </c>
      <c r="AL24" s="2" t="n">
        <v>6</v>
      </c>
      <c r="AM24" s="2" t="n">
        <v>3</v>
      </c>
      <c r="AN24" s="2" t="n">
        <v>50</v>
      </c>
      <c r="AO24" s="5" t="n">
        <v>58.19</v>
      </c>
      <c r="AP24" s="5" t="n">
        <v>59.74</v>
      </c>
      <c r="AQ24" s="5" t="n">
        <v>61.3</v>
      </c>
      <c r="AR24" s="5" t="n">
        <v>62.86</v>
      </c>
      <c r="AS24" s="5" t="n">
        <v>64.42</v>
      </c>
      <c r="AT24" s="5" t="n">
        <v>65.98</v>
      </c>
      <c r="AU24" s="5" t="n">
        <v>67.53</v>
      </c>
      <c r="AV24" s="5" t="s">
        <v>51</v>
      </c>
    </row>
    <row r="25" customFormat="false" ht="15" hidden="false" customHeight="false" outlineLevel="0" collapsed="false">
      <c r="A25" s="2" t="s">
        <v>59</v>
      </c>
      <c r="B25" s="2" t="n">
        <v>2022</v>
      </c>
      <c r="C25" s="2" t="s">
        <v>56</v>
      </c>
      <c r="D25" s="2" t="n">
        <v>1</v>
      </c>
      <c r="E25" s="2" t="n">
        <v>4</v>
      </c>
      <c r="F25" s="2" t="s">
        <v>50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1</v>
      </c>
      <c r="U25" s="3" t="n">
        <v>0</v>
      </c>
      <c r="V25" s="3" t="n">
        <v>1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1</v>
      </c>
      <c r="AF25" s="3" t="n">
        <v>0</v>
      </c>
      <c r="AG25" s="3" t="n">
        <v>0</v>
      </c>
      <c r="AH25" s="3" t="n">
        <v>0</v>
      </c>
      <c r="AI25" s="3" t="n">
        <v>0</v>
      </c>
      <c r="AJ25" s="4" t="n">
        <f aca="false">SUM(G25:AI25)</f>
        <v>4</v>
      </c>
      <c r="AK25" s="4" t="n">
        <f aca="false">ROUND(SUMPRODUCT(G25:AI25,Gene_Weights!$B$2:$AD$2),3)</f>
        <v>-3.51</v>
      </c>
      <c r="AL25" s="2" t="n">
        <v>6</v>
      </c>
      <c r="AM25" s="2" t="n">
        <v>5</v>
      </c>
      <c r="AN25" s="2" t="n">
        <v>83.33</v>
      </c>
      <c r="AO25" s="5" t="n">
        <v>75.59</v>
      </c>
      <c r="AP25" s="5" t="n">
        <v>78.01</v>
      </c>
      <c r="AQ25" s="5" t="n">
        <v>80.42</v>
      </c>
      <c r="AR25" s="5" t="n">
        <v>82.83</v>
      </c>
      <c r="AS25" s="5" t="n">
        <v>85.24</v>
      </c>
      <c r="AT25" s="5" t="n">
        <v>87.66</v>
      </c>
      <c r="AU25" s="5" t="n">
        <v>90.07</v>
      </c>
      <c r="AV25" s="5" t="s">
        <v>51</v>
      </c>
    </row>
    <row r="26" customFormat="false" ht="15" hidden="false" customHeight="false" outlineLevel="0" collapsed="false">
      <c r="A26" s="2" t="s">
        <v>60</v>
      </c>
      <c r="B26" s="2" t="n">
        <v>2017</v>
      </c>
      <c r="C26" s="2" t="s">
        <v>49</v>
      </c>
      <c r="D26" s="2" t="n">
        <v>1</v>
      </c>
      <c r="E26" s="2" t="n">
        <v>32</v>
      </c>
      <c r="F26" s="2" t="s">
        <v>50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4" t="n">
        <f aca="false">SUM(G26:AI26)</f>
        <v>4</v>
      </c>
      <c r="AK26" s="4" t="n">
        <f aca="false">ROUND(SUMPRODUCT(G26:AI26,Gene_Weights!$B$2:$AD$2),3)</f>
        <v>-2.94</v>
      </c>
      <c r="AL26" s="2" t="n">
        <v>9</v>
      </c>
      <c r="AM26" s="2" t="n">
        <v>4</v>
      </c>
      <c r="AN26" s="2" t="n">
        <v>44.44</v>
      </c>
      <c r="AO26" s="5" t="n">
        <v>55.12</v>
      </c>
      <c r="AP26" s="5" t="n">
        <v>56.02</v>
      </c>
      <c r="AQ26" s="5" t="n">
        <v>56.92</v>
      </c>
      <c r="AR26" s="5" t="n">
        <v>57.82</v>
      </c>
      <c r="AS26" s="5" t="n">
        <v>58.72</v>
      </c>
      <c r="AT26" s="5" t="n">
        <v>59.62</v>
      </c>
      <c r="AU26" s="5" t="n">
        <v>60.52</v>
      </c>
      <c r="AV26" s="5" t="s">
        <v>51</v>
      </c>
    </row>
    <row r="27" customFormat="false" ht="15" hidden="false" customHeight="false" outlineLevel="0" collapsed="false">
      <c r="A27" s="2" t="s">
        <v>60</v>
      </c>
      <c r="B27" s="2" t="n">
        <v>2017</v>
      </c>
      <c r="C27" s="2" t="s">
        <v>52</v>
      </c>
      <c r="D27" s="2" t="n">
        <v>1</v>
      </c>
      <c r="E27" s="2" t="n">
        <v>2</v>
      </c>
      <c r="F27" s="2" t="s">
        <v>50</v>
      </c>
      <c r="G27" s="3" t="n">
        <v>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1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4" t="n">
        <f aca="false">SUM(G27:AI27)</f>
        <v>4</v>
      </c>
      <c r="AK27" s="4" t="n">
        <f aca="false">ROUND(SUMPRODUCT(G27:AI27,Gene_Weights!$B$2:$AD$2),3)</f>
        <v>-2.94</v>
      </c>
      <c r="AL27" s="2" t="n">
        <v>9</v>
      </c>
      <c r="AM27" s="2" t="n">
        <v>7</v>
      </c>
      <c r="AN27" s="2" t="n">
        <v>77.78</v>
      </c>
      <c r="AO27" s="5" t="n">
        <v>64.53</v>
      </c>
      <c r="AP27" s="5" t="n">
        <v>66.13</v>
      </c>
      <c r="AQ27" s="5" t="n">
        <v>67.73</v>
      </c>
      <c r="AR27" s="5" t="n">
        <v>69.33</v>
      </c>
      <c r="AS27" s="5" t="n">
        <v>70.93</v>
      </c>
      <c r="AT27" s="5" t="n">
        <v>72.53</v>
      </c>
      <c r="AU27" s="5" t="n">
        <v>74.13</v>
      </c>
      <c r="AV27" s="5" t="s">
        <v>51</v>
      </c>
    </row>
    <row r="28" customFormat="false" ht="15" hidden="false" customHeight="false" outlineLevel="0" collapsed="false">
      <c r="A28" s="2" t="s">
        <v>60</v>
      </c>
      <c r="B28" s="2" t="n">
        <v>2017</v>
      </c>
      <c r="C28" s="2" t="s">
        <v>53</v>
      </c>
      <c r="D28" s="2" t="n">
        <v>0</v>
      </c>
      <c r="E28" s="2" t="n">
        <v>16</v>
      </c>
      <c r="F28" s="2" t="s">
        <v>50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4" t="n">
        <f aca="false">SUM(G28:AI28)</f>
        <v>4</v>
      </c>
      <c r="AK28" s="4" t="n">
        <f aca="false">ROUND(SUMPRODUCT(G28:AI28,Gene_Weights!$B$2:$AD$2),3)</f>
        <v>-2.94</v>
      </c>
      <c r="AL28" s="2" t="n">
        <v>9</v>
      </c>
      <c r="AM28" s="2" t="n">
        <v>6</v>
      </c>
      <c r="AN28" s="2" t="n">
        <v>66.67</v>
      </c>
      <c r="AO28" s="5" t="n">
        <v>52.86</v>
      </c>
      <c r="AP28" s="5" t="n">
        <v>53.65</v>
      </c>
      <c r="AQ28" s="5" t="n">
        <v>54.45</v>
      </c>
      <c r="AR28" s="5" t="n">
        <v>55.24</v>
      </c>
      <c r="AS28" s="5" t="n">
        <v>56.03</v>
      </c>
      <c r="AT28" s="5" t="n">
        <v>56.83</v>
      </c>
      <c r="AU28" s="5" t="n">
        <v>57.62</v>
      </c>
      <c r="AV28" s="5" t="s">
        <v>51</v>
      </c>
    </row>
    <row r="29" customFormat="false" ht="15" hidden="false" customHeight="false" outlineLevel="0" collapsed="false">
      <c r="A29" s="2" t="s">
        <v>60</v>
      </c>
      <c r="B29" s="2" t="n">
        <v>2017</v>
      </c>
      <c r="C29" s="2" t="s">
        <v>54</v>
      </c>
      <c r="D29" s="2" t="n">
        <v>0</v>
      </c>
      <c r="E29" s="2" t="n">
        <v>32</v>
      </c>
      <c r="F29" s="2" t="s">
        <v>50</v>
      </c>
      <c r="G29" s="3" t="n">
        <v>1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1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4" t="n">
        <f aca="false">SUM(G29:AI29)</f>
        <v>4</v>
      </c>
      <c r="AK29" s="4" t="n">
        <f aca="false">ROUND(SUMPRODUCT(G29:AI29,Gene_Weights!$B$2:$AD$2),3)</f>
        <v>-2.94</v>
      </c>
      <c r="AL29" s="2" t="n">
        <v>9</v>
      </c>
      <c r="AM29" s="2" t="n">
        <v>3</v>
      </c>
      <c r="AN29" s="2" t="n">
        <v>33.33</v>
      </c>
      <c r="AO29" s="5" t="n">
        <v>81.84</v>
      </c>
      <c r="AP29" s="5" t="n">
        <v>84.45</v>
      </c>
      <c r="AQ29" s="5" t="n">
        <v>87.06</v>
      </c>
      <c r="AR29" s="5" t="n">
        <v>89.67</v>
      </c>
      <c r="AS29" s="5" t="n">
        <v>92.27</v>
      </c>
      <c r="AT29" s="5" t="n">
        <v>94.88</v>
      </c>
      <c r="AU29" s="5" t="n">
        <v>97.49</v>
      </c>
      <c r="AV29" s="5" t="s">
        <v>51</v>
      </c>
    </row>
    <row r="30" customFormat="false" ht="15" hidden="false" customHeight="false" outlineLevel="0" collapsed="false">
      <c r="A30" s="2" t="s">
        <v>60</v>
      </c>
      <c r="B30" s="2" t="n">
        <v>2017</v>
      </c>
      <c r="C30" s="2" t="s">
        <v>55</v>
      </c>
      <c r="D30" s="2" t="n">
        <v>1</v>
      </c>
      <c r="E30" s="2" t="n">
        <v>32</v>
      </c>
      <c r="F30" s="2" t="s">
        <v>50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4" t="n">
        <f aca="false">SUM(G30:AI30)</f>
        <v>4</v>
      </c>
      <c r="AK30" s="4" t="n">
        <f aca="false">ROUND(SUMPRODUCT(G30:AI30,Gene_Weights!$B$2:$AD$2),3)</f>
        <v>-2.94</v>
      </c>
      <c r="AL30" s="2" t="n">
        <v>9</v>
      </c>
      <c r="AM30" s="2" t="n">
        <v>7</v>
      </c>
      <c r="AN30" s="2" t="n">
        <v>77.78</v>
      </c>
      <c r="AO30" s="5" t="n">
        <v>58.19</v>
      </c>
      <c r="AP30" s="5" t="n">
        <v>59.74</v>
      </c>
      <c r="AQ30" s="5" t="n">
        <v>61.3</v>
      </c>
      <c r="AR30" s="5" t="n">
        <v>62.86</v>
      </c>
      <c r="AS30" s="5" t="n">
        <v>64.42</v>
      </c>
      <c r="AT30" s="5" t="n">
        <v>65.98</v>
      </c>
      <c r="AU30" s="5" t="n">
        <v>67.53</v>
      </c>
      <c r="AV30" s="5" t="s">
        <v>51</v>
      </c>
    </row>
    <row r="31" customFormat="false" ht="15" hidden="false" customHeight="false" outlineLevel="0" collapsed="false">
      <c r="A31" s="2" t="s">
        <v>60</v>
      </c>
      <c r="B31" s="2" t="n">
        <v>2017</v>
      </c>
      <c r="C31" s="2" t="s">
        <v>56</v>
      </c>
      <c r="D31" s="2" t="n">
        <v>1</v>
      </c>
      <c r="E31" s="2" t="n">
        <v>4</v>
      </c>
      <c r="F31" s="2" t="s">
        <v>50</v>
      </c>
      <c r="G31" s="3" t="n">
        <v>1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4" t="n">
        <f aca="false">SUM(G31:AI31)</f>
        <v>4</v>
      </c>
      <c r="AK31" s="4" t="n">
        <f aca="false">ROUND(SUMPRODUCT(G31:AI31,Gene_Weights!$B$2:$AD$2),3)</f>
        <v>-2.94</v>
      </c>
      <c r="AL31" s="2" t="n">
        <v>9</v>
      </c>
      <c r="AM31" s="2" t="n">
        <v>5</v>
      </c>
      <c r="AN31" s="2" t="n">
        <v>55.56</v>
      </c>
      <c r="AO31" s="5" t="n">
        <v>75.59</v>
      </c>
      <c r="AP31" s="5" t="n">
        <v>78.01</v>
      </c>
      <c r="AQ31" s="5" t="n">
        <v>80.42</v>
      </c>
      <c r="AR31" s="5" t="n">
        <v>82.83</v>
      </c>
      <c r="AS31" s="5" t="n">
        <v>85.24</v>
      </c>
      <c r="AT31" s="5" t="n">
        <v>87.66</v>
      </c>
      <c r="AU31" s="5" t="n">
        <v>90.07</v>
      </c>
      <c r="AV31" s="5" t="s">
        <v>51</v>
      </c>
    </row>
    <row r="32" customFormat="false" ht="15" hidden="false" customHeight="false" outlineLevel="0" collapsed="false">
      <c r="A32" s="2" t="s">
        <v>61</v>
      </c>
      <c r="B32" s="2" t="n">
        <v>2019</v>
      </c>
      <c r="C32" s="2" t="s">
        <v>49</v>
      </c>
      <c r="D32" s="2" t="n">
        <v>1</v>
      </c>
      <c r="E32" s="2" t="n">
        <v>4</v>
      </c>
      <c r="F32" s="2" t="s">
        <v>50</v>
      </c>
      <c r="G32" s="3" t="n">
        <v>1</v>
      </c>
      <c r="H32" s="3" t="n">
        <v>0</v>
      </c>
      <c r="I32" s="3" t="n">
        <v>1</v>
      </c>
      <c r="J32" s="3" t="n">
        <v>0</v>
      </c>
      <c r="K32" s="3" t="n">
        <v>1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1</v>
      </c>
      <c r="AC32" s="3" t="n">
        <v>1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1</v>
      </c>
      <c r="AJ32" s="4" t="n">
        <f aca="false">SUM(G32:AI32)</f>
        <v>13</v>
      </c>
      <c r="AK32" s="4" t="n">
        <f aca="false">ROUND(SUMPRODUCT(G32:AI32,Gene_Weights!$B$2:$AD$2),3)</f>
        <v>-11.88</v>
      </c>
      <c r="AL32" s="2" t="n">
        <v>7</v>
      </c>
      <c r="AM32" s="2" t="n">
        <v>4</v>
      </c>
      <c r="AN32" s="2" t="n">
        <v>57.14</v>
      </c>
      <c r="AO32" s="5" t="n">
        <v>55.12</v>
      </c>
      <c r="AP32" s="5" t="n">
        <v>56.02</v>
      </c>
      <c r="AQ32" s="5" t="n">
        <v>56.92</v>
      </c>
      <c r="AR32" s="5" t="n">
        <v>57.82</v>
      </c>
      <c r="AS32" s="5" t="n">
        <v>58.72</v>
      </c>
      <c r="AT32" s="5" t="n">
        <v>59.62</v>
      </c>
      <c r="AU32" s="5" t="n">
        <v>60.52</v>
      </c>
      <c r="AV32" s="5" t="s">
        <v>51</v>
      </c>
    </row>
    <row r="33" customFormat="false" ht="15" hidden="false" customHeight="false" outlineLevel="0" collapsed="false">
      <c r="A33" s="2" t="s">
        <v>61</v>
      </c>
      <c r="B33" s="2" t="n">
        <v>2019</v>
      </c>
      <c r="C33" s="2" t="s">
        <v>52</v>
      </c>
      <c r="D33" s="2" t="n">
        <v>1</v>
      </c>
      <c r="E33" s="2" t="n">
        <v>4</v>
      </c>
      <c r="F33" s="2" t="s">
        <v>50</v>
      </c>
      <c r="G33" s="3" t="n">
        <v>1</v>
      </c>
      <c r="H33" s="3" t="n">
        <v>0</v>
      </c>
      <c r="I33" s="3" t="n">
        <v>1</v>
      </c>
      <c r="J33" s="3" t="n">
        <v>0</v>
      </c>
      <c r="K33" s="3" t="n">
        <v>1</v>
      </c>
      <c r="L33" s="3" t="n">
        <v>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</v>
      </c>
      <c r="R33" s="3" t="n">
        <v>0</v>
      </c>
      <c r="S33" s="3" t="n">
        <v>0</v>
      </c>
      <c r="T33" s="3" t="n">
        <v>0</v>
      </c>
      <c r="U33" s="3" t="n">
        <v>1</v>
      </c>
      <c r="V33" s="3" t="n">
        <v>0</v>
      </c>
      <c r="W33" s="3" t="n">
        <v>1</v>
      </c>
      <c r="X33" s="3" t="n">
        <v>0</v>
      </c>
      <c r="Y33" s="3" t="n">
        <v>0</v>
      </c>
      <c r="Z33" s="3" t="n">
        <v>1</v>
      </c>
      <c r="AA33" s="3" t="n">
        <v>0</v>
      </c>
      <c r="AB33" s="3" t="n">
        <v>1</v>
      </c>
      <c r="AC33" s="3" t="n">
        <v>1</v>
      </c>
      <c r="AD33" s="3" t="n">
        <v>1</v>
      </c>
      <c r="AE33" s="3" t="n">
        <v>0</v>
      </c>
      <c r="AF33" s="3" t="n">
        <v>0</v>
      </c>
      <c r="AG33" s="3" t="n">
        <v>0</v>
      </c>
      <c r="AH33" s="3" t="n">
        <v>1</v>
      </c>
      <c r="AI33" s="3" t="n">
        <v>1</v>
      </c>
      <c r="AJ33" s="4" t="n">
        <f aca="false">SUM(G33:AI33)</f>
        <v>13</v>
      </c>
      <c r="AK33" s="4" t="n">
        <f aca="false">ROUND(SUMPRODUCT(G33:AI33,Gene_Weights!$B$2:$AD$2),3)</f>
        <v>-11.88</v>
      </c>
      <c r="AL33" s="2" t="n">
        <v>7</v>
      </c>
      <c r="AM33" s="2" t="n">
        <v>5</v>
      </c>
      <c r="AN33" s="2" t="n">
        <v>71.43</v>
      </c>
      <c r="AO33" s="5" t="n">
        <v>64.53</v>
      </c>
      <c r="AP33" s="5" t="n">
        <v>66.13</v>
      </c>
      <c r="AQ33" s="5" t="n">
        <v>67.73</v>
      </c>
      <c r="AR33" s="5" t="n">
        <v>69.33</v>
      </c>
      <c r="AS33" s="5" t="n">
        <v>70.93</v>
      </c>
      <c r="AT33" s="5" t="n">
        <v>72.53</v>
      </c>
      <c r="AU33" s="5" t="n">
        <v>74.13</v>
      </c>
      <c r="AV33" s="5" t="s">
        <v>51</v>
      </c>
    </row>
    <row r="34" customFormat="false" ht="15" hidden="false" customHeight="false" outlineLevel="0" collapsed="false">
      <c r="A34" s="2" t="s">
        <v>61</v>
      </c>
      <c r="B34" s="2" t="n">
        <v>2019</v>
      </c>
      <c r="C34" s="2" t="s">
        <v>53</v>
      </c>
      <c r="D34" s="2" t="n">
        <v>0</v>
      </c>
      <c r="E34" s="2" t="n">
        <v>4</v>
      </c>
      <c r="F34" s="2" t="s">
        <v>50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1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1</v>
      </c>
      <c r="AJ34" s="4" t="n">
        <f aca="false">SUM(G34:AI34)</f>
        <v>13</v>
      </c>
      <c r="AK34" s="4" t="n">
        <f aca="false">ROUND(SUMPRODUCT(G34:AI34,Gene_Weights!$B$2:$AD$2),3)</f>
        <v>-11.88</v>
      </c>
      <c r="AL34" s="2" t="n">
        <v>7</v>
      </c>
      <c r="AM34" s="2" t="n">
        <v>2</v>
      </c>
      <c r="AN34" s="2" t="n">
        <v>28.57</v>
      </c>
      <c r="AO34" s="5" t="n">
        <v>52.86</v>
      </c>
      <c r="AP34" s="5" t="n">
        <v>53.65</v>
      </c>
      <c r="AQ34" s="5" t="n">
        <v>54.45</v>
      </c>
      <c r="AR34" s="5" t="n">
        <v>55.24</v>
      </c>
      <c r="AS34" s="5" t="n">
        <v>56.03</v>
      </c>
      <c r="AT34" s="5" t="n">
        <v>56.83</v>
      </c>
      <c r="AU34" s="5" t="n">
        <v>57.62</v>
      </c>
      <c r="AV34" s="5" t="s">
        <v>51</v>
      </c>
    </row>
    <row r="35" customFormat="false" ht="15" hidden="false" customHeight="false" outlineLevel="0" collapsed="false">
      <c r="A35" s="2" t="s">
        <v>61</v>
      </c>
      <c r="B35" s="2" t="n">
        <v>2019</v>
      </c>
      <c r="C35" s="2" t="s">
        <v>54</v>
      </c>
      <c r="D35" s="2" t="n">
        <v>1</v>
      </c>
      <c r="E35" s="2" t="n">
        <v>32</v>
      </c>
      <c r="F35" s="2" t="s">
        <v>50</v>
      </c>
      <c r="G35" s="3" t="n">
        <v>1</v>
      </c>
      <c r="H35" s="3" t="n">
        <v>0</v>
      </c>
      <c r="I35" s="3" t="n">
        <v>1</v>
      </c>
      <c r="J35" s="3" t="n">
        <v>0</v>
      </c>
      <c r="K35" s="3" t="n">
        <v>1</v>
      </c>
      <c r="L35" s="3" t="n">
        <v>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</v>
      </c>
      <c r="R35" s="3" t="n">
        <v>0</v>
      </c>
      <c r="S35" s="3" t="n">
        <v>0</v>
      </c>
      <c r="T35" s="3" t="n">
        <v>0</v>
      </c>
      <c r="U35" s="3" t="n">
        <v>1</v>
      </c>
      <c r="V35" s="3" t="n">
        <v>0</v>
      </c>
      <c r="W35" s="3" t="n">
        <v>1</v>
      </c>
      <c r="X35" s="3" t="n">
        <v>0</v>
      </c>
      <c r="Y35" s="3" t="n">
        <v>0</v>
      </c>
      <c r="Z35" s="3" t="n">
        <v>1</v>
      </c>
      <c r="AA35" s="3" t="n">
        <v>0</v>
      </c>
      <c r="AB35" s="3" t="n">
        <v>1</v>
      </c>
      <c r="AC35" s="3" t="n">
        <v>1</v>
      </c>
      <c r="AD35" s="3" t="n">
        <v>1</v>
      </c>
      <c r="AE35" s="3" t="n">
        <v>0</v>
      </c>
      <c r="AF35" s="3" t="n">
        <v>0</v>
      </c>
      <c r="AG35" s="3" t="n">
        <v>0</v>
      </c>
      <c r="AH35" s="3" t="n">
        <v>1</v>
      </c>
      <c r="AI35" s="3" t="n">
        <v>1</v>
      </c>
      <c r="AJ35" s="4" t="n">
        <f aca="false">SUM(G35:AI35)</f>
        <v>13</v>
      </c>
      <c r="AK35" s="4" t="n">
        <f aca="false">ROUND(SUMPRODUCT(G35:AI35,Gene_Weights!$B$2:$AD$2),3)</f>
        <v>-11.88</v>
      </c>
      <c r="AL35" s="2" t="n">
        <v>7</v>
      </c>
      <c r="AM35" s="2" t="n">
        <v>5</v>
      </c>
      <c r="AN35" s="2" t="n">
        <v>71.43</v>
      </c>
      <c r="AO35" s="5" t="n">
        <v>81.84</v>
      </c>
      <c r="AP35" s="5" t="n">
        <v>84.45</v>
      </c>
      <c r="AQ35" s="5" t="n">
        <v>87.06</v>
      </c>
      <c r="AR35" s="5" t="n">
        <v>89.67</v>
      </c>
      <c r="AS35" s="5" t="n">
        <v>92.27</v>
      </c>
      <c r="AT35" s="5" t="n">
        <v>94.88</v>
      </c>
      <c r="AU35" s="5" t="n">
        <v>97.49</v>
      </c>
      <c r="AV35" s="5" t="s">
        <v>51</v>
      </c>
    </row>
    <row r="36" customFormat="false" ht="15" hidden="false" customHeight="false" outlineLevel="0" collapsed="false">
      <c r="A36" s="2" t="s">
        <v>61</v>
      </c>
      <c r="B36" s="2" t="n">
        <v>2019</v>
      </c>
      <c r="C36" s="2" t="s">
        <v>55</v>
      </c>
      <c r="D36" s="2" t="n">
        <v>0</v>
      </c>
      <c r="E36" s="2" t="n">
        <v>32</v>
      </c>
      <c r="F36" s="2" t="s">
        <v>50</v>
      </c>
      <c r="G36" s="3" t="n">
        <v>1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1</v>
      </c>
      <c r="AC36" s="3" t="n">
        <v>1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1</v>
      </c>
      <c r="AJ36" s="4" t="n">
        <f aca="false">SUM(G36:AI36)</f>
        <v>13</v>
      </c>
      <c r="AK36" s="4" t="n">
        <f aca="false">ROUND(SUMPRODUCT(G36:AI36,Gene_Weights!$B$2:$AD$2),3)</f>
        <v>-11.88</v>
      </c>
      <c r="AL36" s="2" t="n">
        <v>7</v>
      </c>
      <c r="AM36" s="2" t="n">
        <v>2</v>
      </c>
      <c r="AN36" s="2" t="n">
        <v>28.57</v>
      </c>
      <c r="AO36" s="5" t="n">
        <v>58.19</v>
      </c>
      <c r="AP36" s="5" t="n">
        <v>59.74</v>
      </c>
      <c r="AQ36" s="5" t="n">
        <v>61.3</v>
      </c>
      <c r="AR36" s="5" t="n">
        <v>62.86</v>
      </c>
      <c r="AS36" s="5" t="n">
        <v>64.42</v>
      </c>
      <c r="AT36" s="5" t="n">
        <v>65.98</v>
      </c>
      <c r="AU36" s="5" t="n">
        <v>67.53</v>
      </c>
      <c r="AV36" s="5" t="s">
        <v>51</v>
      </c>
    </row>
    <row r="37" customFormat="false" ht="15" hidden="false" customHeight="false" outlineLevel="0" collapsed="false">
      <c r="A37" s="2" t="s">
        <v>61</v>
      </c>
      <c r="B37" s="2" t="n">
        <v>2019</v>
      </c>
      <c r="C37" s="2" t="s">
        <v>56</v>
      </c>
      <c r="D37" s="2" t="n">
        <v>1</v>
      </c>
      <c r="E37" s="2" t="n">
        <v>4</v>
      </c>
      <c r="F37" s="2" t="s">
        <v>50</v>
      </c>
      <c r="G37" s="3" t="n">
        <v>1</v>
      </c>
      <c r="H37" s="3" t="n">
        <v>0</v>
      </c>
      <c r="I37" s="3" t="n">
        <v>1</v>
      </c>
      <c r="J37" s="3" t="n">
        <v>0</v>
      </c>
      <c r="K37" s="3" t="n">
        <v>1</v>
      </c>
      <c r="L37" s="3" t="n">
        <v>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</v>
      </c>
      <c r="R37" s="3" t="n">
        <v>0</v>
      </c>
      <c r="S37" s="3" t="n">
        <v>0</v>
      </c>
      <c r="T37" s="3" t="n">
        <v>0</v>
      </c>
      <c r="U37" s="3" t="n">
        <v>1</v>
      </c>
      <c r="V37" s="3" t="n">
        <v>0</v>
      </c>
      <c r="W37" s="3" t="n">
        <v>1</v>
      </c>
      <c r="X37" s="3" t="n">
        <v>0</v>
      </c>
      <c r="Y37" s="3" t="n">
        <v>0</v>
      </c>
      <c r="Z37" s="3" t="n">
        <v>1</v>
      </c>
      <c r="AA37" s="3" t="n">
        <v>0</v>
      </c>
      <c r="AB37" s="3" t="n">
        <v>1</v>
      </c>
      <c r="AC37" s="3" t="n">
        <v>1</v>
      </c>
      <c r="AD37" s="3" t="n">
        <v>1</v>
      </c>
      <c r="AE37" s="3" t="n">
        <v>0</v>
      </c>
      <c r="AF37" s="3" t="n">
        <v>0</v>
      </c>
      <c r="AG37" s="3" t="n">
        <v>0</v>
      </c>
      <c r="AH37" s="3" t="n">
        <v>1</v>
      </c>
      <c r="AI37" s="3" t="n">
        <v>1</v>
      </c>
      <c r="AJ37" s="4" t="n">
        <f aca="false">SUM(G37:AI37)</f>
        <v>13</v>
      </c>
      <c r="AK37" s="4" t="n">
        <f aca="false">ROUND(SUMPRODUCT(G37:AI37,Gene_Weights!$B$2:$AD$2),3)</f>
        <v>-11.88</v>
      </c>
      <c r="AL37" s="2" t="n">
        <v>7</v>
      </c>
      <c r="AM37" s="2" t="n">
        <v>3</v>
      </c>
      <c r="AN37" s="2" t="n">
        <v>42.86</v>
      </c>
      <c r="AO37" s="5" t="n">
        <v>75.59</v>
      </c>
      <c r="AP37" s="5" t="n">
        <v>78.01</v>
      </c>
      <c r="AQ37" s="5" t="n">
        <v>80.42</v>
      </c>
      <c r="AR37" s="5" t="n">
        <v>82.83</v>
      </c>
      <c r="AS37" s="5" t="n">
        <v>85.24</v>
      </c>
      <c r="AT37" s="5" t="n">
        <v>87.66</v>
      </c>
      <c r="AU37" s="5" t="n">
        <v>90.07</v>
      </c>
      <c r="AV37" s="5" t="s">
        <v>51</v>
      </c>
    </row>
    <row r="38" customFormat="false" ht="15" hidden="false" customHeight="false" outlineLevel="0" collapsed="false">
      <c r="A38" s="2" t="s">
        <v>62</v>
      </c>
      <c r="B38" s="2" t="n">
        <v>2020</v>
      </c>
      <c r="C38" s="2" t="s">
        <v>49</v>
      </c>
      <c r="D38" s="2" t="n">
        <v>1</v>
      </c>
      <c r="E38" s="2" t="n">
        <v>4</v>
      </c>
      <c r="F38" s="2" t="s">
        <v>50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1</v>
      </c>
      <c r="AC38" s="3" t="n">
        <v>1</v>
      </c>
      <c r="AD38" s="3" t="n">
        <v>1</v>
      </c>
      <c r="AE38" s="3" t="n">
        <v>1</v>
      </c>
      <c r="AF38" s="3" t="n">
        <v>1</v>
      </c>
      <c r="AG38" s="3" t="n">
        <v>0</v>
      </c>
      <c r="AH38" s="3" t="n">
        <v>1</v>
      </c>
      <c r="AI38" s="3" t="n">
        <v>0</v>
      </c>
      <c r="AJ38" s="4" t="n">
        <f aca="false">SUM(G38:AI38)</f>
        <v>10</v>
      </c>
      <c r="AK38" s="4" t="n">
        <f aca="false">ROUND(SUMPRODUCT(G38:AI38,Gene_Weights!$B$2:$AD$2),3)</f>
        <v>-4.11</v>
      </c>
      <c r="AL38" s="2" t="n">
        <v>5</v>
      </c>
      <c r="AM38" s="2" t="n">
        <v>2</v>
      </c>
      <c r="AN38" s="2" t="n">
        <v>40</v>
      </c>
      <c r="AO38" s="5" t="n">
        <v>55.12</v>
      </c>
      <c r="AP38" s="5" t="n">
        <v>56.02</v>
      </c>
      <c r="AQ38" s="5" t="n">
        <v>56.92</v>
      </c>
      <c r="AR38" s="5" t="n">
        <v>57.82</v>
      </c>
      <c r="AS38" s="5" t="n">
        <v>58.72</v>
      </c>
      <c r="AT38" s="5" t="n">
        <v>59.62</v>
      </c>
      <c r="AU38" s="5" t="n">
        <v>60.52</v>
      </c>
      <c r="AV38" s="5" t="s">
        <v>51</v>
      </c>
    </row>
    <row r="39" customFormat="false" ht="15" hidden="false" customHeight="false" outlineLevel="0" collapsed="false">
      <c r="A39" s="2" t="s">
        <v>62</v>
      </c>
      <c r="B39" s="2" t="n">
        <v>2020</v>
      </c>
      <c r="C39" s="2" t="s">
        <v>52</v>
      </c>
      <c r="D39" s="2" t="n">
        <v>1</v>
      </c>
      <c r="E39" s="2" t="n">
        <v>32</v>
      </c>
      <c r="F39" s="2" t="s">
        <v>50</v>
      </c>
      <c r="G39" s="3" t="n">
        <v>0</v>
      </c>
      <c r="H39" s="3" t="n">
        <v>0</v>
      </c>
      <c r="I39" s="3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1</v>
      </c>
      <c r="W39" s="3" t="n">
        <v>0</v>
      </c>
      <c r="X39" s="3" t="n">
        <v>0</v>
      </c>
      <c r="Y39" s="3" t="n">
        <v>0</v>
      </c>
      <c r="Z39" s="3" t="n">
        <v>1</v>
      </c>
      <c r="AA39" s="3" t="n">
        <v>0</v>
      </c>
      <c r="AB39" s="3" t="n">
        <v>1</v>
      </c>
      <c r="AC39" s="3" t="n">
        <v>1</v>
      </c>
      <c r="AD39" s="3" t="n">
        <v>1</v>
      </c>
      <c r="AE39" s="3" t="n">
        <v>1</v>
      </c>
      <c r="AF39" s="3" t="n">
        <v>1</v>
      </c>
      <c r="AG39" s="3" t="n">
        <v>0</v>
      </c>
      <c r="AH39" s="3" t="n">
        <v>1</v>
      </c>
      <c r="AI39" s="3" t="n">
        <v>0</v>
      </c>
      <c r="AJ39" s="4" t="n">
        <f aca="false">SUM(G39:AI39)</f>
        <v>10</v>
      </c>
      <c r="AK39" s="4" t="n">
        <f aca="false">ROUND(SUMPRODUCT(G39:AI39,Gene_Weights!$B$2:$AD$2),3)</f>
        <v>-4.11</v>
      </c>
      <c r="AL39" s="2" t="n">
        <v>5</v>
      </c>
      <c r="AM39" s="2" t="n">
        <v>4</v>
      </c>
      <c r="AN39" s="2" t="n">
        <v>80</v>
      </c>
      <c r="AO39" s="5" t="n">
        <v>64.53</v>
      </c>
      <c r="AP39" s="5" t="n">
        <v>66.13</v>
      </c>
      <c r="AQ39" s="5" t="n">
        <v>67.73</v>
      </c>
      <c r="AR39" s="5" t="n">
        <v>69.33</v>
      </c>
      <c r="AS39" s="5" t="n">
        <v>70.93</v>
      </c>
      <c r="AT39" s="5" t="n">
        <v>72.53</v>
      </c>
      <c r="AU39" s="5" t="n">
        <v>74.13</v>
      </c>
      <c r="AV39" s="5" t="s">
        <v>51</v>
      </c>
    </row>
    <row r="40" customFormat="false" ht="15" hidden="false" customHeight="false" outlineLevel="0" collapsed="false">
      <c r="A40" s="2" t="s">
        <v>62</v>
      </c>
      <c r="B40" s="2" t="n">
        <v>2020</v>
      </c>
      <c r="C40" s="2" t="s">
        <v>53</v>
      </c>
      <c r="D40" s="2" t="n">
        <v>0</v>
      </c>
      <c r="E40" s="2" t="n">
        <v>16</v>
      </c>
      <c r="F40" s="2" t="s">
        <v>50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1</v>
      </c>
      <c r="AC40" s="3" t="n">
        <v>1</v>
      </c>
      <c r="AD40" s="3" t="n">
        <v>1</v>
      </c>
      <c r="AE40" s="3" t="n">
        <v>1</v>
      </c>
      <c r="AF40" s="3" t="n">
        <v>1</v>
      </c>
      <c r="AG40" s="3" t="n">
        <v>0</v>
      </c>
      <c r="AH40" s="3" t="n">
        <v>1</v>
      </c>
      <c r="AI40" s="3" t="n">
        <v>0</v>
      </c>
      <c r="AJ40" s="4" t="n">
        <f aca="false">SUM(G40:AI40)</f>
        <v>10</v>
      </c>
      <c r="AK40" s="4" t="n">
        <f aca="false">ROUND(SUMPRODUCT(G40:AI40,Gene_Weights!$B$2:$AD$2),3)</f>
        <v>-4.11</v>
      </c>
      <c r="AL40" s="2" t="n">
        <v>5</v>
      </c>
      <c r="AM40" s="2" t="n">
        <v>0</v>
      </c>
      <c r="AN40" s="2" t="n">
        <v>0</v>
      </c>
      <c r="AO40" s="5" t="n">
        <v>52.86</v>
      </c>
      <c r="AP40" s="5" t="n">
        <v>53.65</v>
      </c>
      <c r="AQ40" s="5" t="n">
        <v>54.45</v>
      </c>
      <c r="AR40" s="5" t="n">
        <v>55.24</v>
      </c>
      <c r="AS40" s="5" t="n">
        <v>56.03</v>
      </c>
      <c r="AT40" s="5" t="n">
        <v>56.83</v>
      </c>
      <c r="AU40" s="5" t="n">
        <v>57.62</v>
      </c>
      <c r="AV40" s="5" t="s">
        <v>51</v>
      </c>
    </row>
    <row r="41" customFormat="false" ht="15" hidden="false" customHeight="false" outlineLevel="0" collapsed="false">
      <c r="A41" s="2" t="s">
        <v>62</v>
      </c>
      <c r="B41" s="2" t="n">
        <v>2020</v>
      </c>
      <c r="C41" s="2" t="s">
        <v>54</v>
      </c>
      <c r="D41" s="2" t="n">
        <v>0</v>
      </c>
      <c r="E41" s="2" t="n">
        <v>4</v>
      </c>
      <c r="F41" s="2" t="s">
        <v>50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1</v>
      </c>
      <c r="W41" s="3" t="n">
        <v>0</v>
      </c>
      <c r="X41" s="3" t="n">
        <v>0</v>
      </c>
      <c r="Y41" s="3" t="n">
        <v>0</v>
      </c>
      <c r="Z41" s="3" t="n">
        <v>1</v>
      </c>
      <c r="AA41" s="3" t="n">
        <v>0</v>
      </c>
      <c r="AB41" s="3" t="n">
        <v>1</v>
      </c>
      <c r="AC41" s="3" t="n">
        <v>1</v>
      </c>
      <c r="AD41" s="3" t="n">
        <v>1</v>
      </c>
      <c r="AE41" s="3" t="n">
        <v>1</v>
      </c>
      <c r="AF41" s="3" t="n">
        <v>1</v>
      </c>
      <c r="AG41" s="3" t="n">
        <v>0</v>
      </c>
      <c r="AH41" s="3" t="n">
        <v>1</v>
      </c>
      <c r="AI41" s="3" t="n">
        <v>0</v>
      </c>
      <c r="AJ41" s="4" t="n">
        <f aca="false">SUM(G41:AI41)</f>
        <v>10</v>
      </c>
      <c r="AK41" s="4" t="n">
        <f aca="false">ROUND(SUMPRODUCT(G41:AI41,Gene_Weights!$B$2:$AD$2),3)</f>
        <v>-4.11</v>
      </c>
      <c r="AL41" s="2" t="n">
        <v>5</v>
      </c>
      <c r="AM41" s="2" t="n">
        <v>3</v>
      </c>
      <c r="AN41" s="2" t="n">
        <v>60</v>
      </c>
      <c r="AO41" s="5" t="n">
        <v>81.84</v>
      </c>
      <c r="AP41" s="5" t="n">
        <v>84.45</v>
      </c>
      <c r="AQ41" s="5" t="n">
        <v>87.06</v>
      </c>
      <c r="AR41" s="5" t="n">
        <v>89.67</v>
      </c>
      <c r="AS41" s="5" t="n">
        <v>92.27</v>
      </c>
      <c r="AT41" s="5" t="n">
        <v>94.88</v>
      </c>
      <c r="AU41" s="5" t="n">
        <v>97.49</v>
      </c>
      <c r="AV41" s="5" t="s">
        <v>51</v>
      </c>
    </row>
    <row r="42" customFormat="false" ht="15" hidden="false" customHeight="false" outlineLevel="0" collapsed="false">
      <c r="A42" s="2" t="s">
        <v>62</v>
      </c>
      <c r="B42" s="2" t="n">
        <v>2020</v>
      </c>
      <c r="C42" s="2" t="s">
        <v>55</v>
      </c>
      <c r="D42" s="2" t="n">
        <v>0</v>
      </c>
      <c r="E42" s="2" t="n">
        <v>32</v>
      </c>
      <c r="F42" s="2" t="s">
        <v>50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1</v>
      </c>
      <c r="AD42" s="3" t="n">
        <v>1</v>
      </c>
      <c r="AE42" s="3" t="n">
        <v>1</v>
      </c>
      <c r="AF42" s="3" t="n">
        <v>1</v>
      </c>
      <c r="AG42" s="3" t="n">
        <v>0</v>
      </c>
      <c r="AH42" s="3" t="n">
        <v>1</v>
      </c>
      <c r="AI42" s="3" t="n">
        <v>0</v>
      </c>
      <c r="AJ42" s="4" t="n">
        <f aca="false">SUM(G42:AI42)</f>
        <v>10</v>
      </c>
      <c r="AK42" s="4" t="n">
        <f aca="false">ROUND(SUMPRODUCT(G42:AI42,Gene_Weights!$B$2:$AD$2),3)</f>
        <v>-4.11</v>
      </c>
      <c r="AL42" s="2" t="n">
        <v>5</v>
      </c>
      <c r="AM42" s="2" t="n">
        <v>1</v>
      </c>
      <c r="AN42" s="2" t="n">
        <v>20</v>
      </c>
      <c r="AO42" s="5" t="n">
        <v>58.19</v>
      </c>
      <c r="AP42" s="5" t="n">
        <v>59.74</v>
      </c>
      <c r="AQ42" s="5" t="n">
        <v>61.3</v>
      </c>
      <c r="AR42" s="5" t="n">
        <v>62.86</v>
      </c>
      <c r="AS42" s="5" t="n">
        <v>64.42</v>
      </c>
      <c r="AT42" s="5" t="n">
        <v>65.98</v>
      </c>
      <c r="AU42" s="5" t="n">
        <v>67.53</v>
      </c>
      <c r="AV42" s="5" t="s">
        <v>51</v>
      </c>
    </row>
    <row r="43" customFormat="false" ht="15" hidden="false" customHeight="false" outlineLevel="0" collapsed="false">
      <c r="A43" s="2" t="s">
        <v>62</v>
      </c>
      <c r="B43" s="2" t="n">
        <v>2020</v>
      </c>
      <c r="C43" s="2" t="s">
        <v>56</v>
      </c>
      <c r="D43" s="2" t="n">
        <v>1</v>
      </c>
      <c r="E43" s="2" t="n">
        <v>2</v>
      </c>
      <c r="F43" s="2" t="s">
        <v>50</v>
      </c>
      <c r="G43" s="3" t="n">
        <v>0</v>
      </c>
      <c r="H43" s="3" t="n">
        <v>0</v>
      </c>
      <c r="I43" s="3" t="n">
        <v>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</v>
      </c>
      <c r="W43" s="3" t="n">
        <v>0</v>
      </c>
      <c r="X43" s="3" t="n">
        <v>0</v>
      </c>
      <c r="Y43" s="3" t="n">
        <v>0</v>
      </c>
      <c r="Z43" s="3" t="n">
        <v>1</v>
      </c>
      <c r="AA43" s="3" t="n">
        <v>0</v>
      </c>
      <c r="AB43" s="3" t="n">
        <v>1</v>
      </c>
      <c r="AC43" s="3" t="n">
        <v>1</v>
      </c>
      <c r="AD43" s="3" t="n">
        <v>1</v>
      </c>
      <c r="AE43" s="3" t="n">
        <v>1</v>
      </c>
      <c r="AF43" s="3" t="n">
        <v>1</v>
      </c>
      <c r="AG43" s="3" t="n">
        <v>0</v>
      </c>
      <c r="AH43" s="3" t="n">
        <v>1</v>
      </c>
      <c r="AI43" s="3" t="n">
        <v>0</v>
      </c>
      <c r="AJ43" s="4" t="n">
        <f aca="false">SUM(G43:AI43)</f>
        <v>10</v>
      </c>
      <c r="AK43" s="4" t="n">
        <f aca="false">ROUND(SUMPRODUCT(G43:AI43,Gene_Weights!$B$2:$AD$2),3)</f>
        <v>-4.11</v>
      </c>
      <c r="AL43" s="2" t="n">
        <v>5</v>
      </c>
      <c r="AM43" s="2" t="n">
        <v>4</v>
      </c>
      <c r="AN43" s="2" t="n">
        <v>80</v>
      </c>
      <c r="AO43" s="5" t="n">
        <v>75.59</v>
      </c>
      <c r="AP43" s="5" t="n">
        <v>78.01</v>
      </c>
      <c r="AQ43" s="5" t="n">
        <v>80.42</v>
      </c>
      <c r="AR43" s="5" t="n">
        <v>82.83</v>
      </c>
      <c r="AS43" s="5" t="n">
        <v>85.24</v>
      </c>
      <c r="AT43" s="5" t="n">
        <v>87.66</v>
      </c>
      <c r="AU43" s="5" t="n">
        <v>90.07</v>
      </c>
      <c r="AV43" s="5" t="s">
        <v>51</v>
      </c>
    </row>
    <row r="44" customFormat="false" ht="15" hidden="false" customHeight="false" outlineLevel="0" collapsed="false">
      <c r="A44" s="2" t="s">
        <v>63</v>
      </c>
      <c r="B44" s="2" t="n">
        <v>2012</v>
      </c>
      <c r="C44" s="2" t="s">
        <v>49</v>
      </c>
      <c r="D44" s="2" t="n">
        <v>1</v>
      </c>
      <c r="E44" s="2" t="n">
        <v>2</v>
      </c>
      <c r="F44" s="2" t="s">
        <v>50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1</v>
      </c>
      <c r="S44" s="3" t="n">
        <v>1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0</v>
      </c>
      <c r="AI44" s="3" t="n">
        <v>0</v>
      </c>
      <c r="AJ44" s="4" t="n">
        <f aca="false">SUM(G44:AI44)</f>
        <v>7</v>
      </c>
      <c r="AK44" s="4" t="n">
        <f aca="false">ROUND(SUMPRODUCT(G44:AI44,Gene_Weights!$B$2:$AD$2),3)</f>
        <v>-4.5</v>
      </c>
      <c r="AL44" s="2" t="n">
        <v>4</v>
      </c>
      <c r="AM44" s="2" t="n">
        <v>3</v>
      </c>
      <c r="AN44" s="2" t="n">
        <v>75</v>
      </c>
      <c r="AO44" s="5" t="n">
        <v>55.12</v>
      </c>
      <c r="AP44" s="5" t="n">
        <v>56.02</v>
      </c>
      <c r="AQ44" s="5" t="n">
        <v>56.92</v>
      </c>
      <c r="AR44" s="5" t="n">
        <v>57.82</v>
      </c>
      <c r="AS44" s="5" t="n">
        <v>58.72</v>
      </c>
      <c r="AT44" s="5" t="n">
        <v>59.62</v>
      </c>
      <c r="AU44" s="5" t="n">
        <v>60.52</v>
      </c>
      <c r="AV44" s="5" t="s">
        <v>51</v>
      </c>
    </row>
    <row r="45" customFormat="false" ht="15" hidden="false" customHeight="false" outlineLevel="0" collapsed="false">
      <c r="A45" s="2" t="s">
        <v>63</v>
      </c>
      <c r="B45" s="2" t="n">
        <v>2012</v>
      </c>
      <c r="C45" s="2" t="s">
        <v>52</v>
      </c>
      <c r="D45" s="2" t="n">
        <v>0</v>
      </c>
      <c r="E45" s="2" t="n">
        <v>32</v>
      </c>
      <c r="F45" s="2" t="s">
        <v>50</v>
      </c>
      <c r="G45" s="3" t="n">
        <v>1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1</v>
      </c>
      <c r="Q45" s="3" t="n">
        <v>0</v>
      </c>
      <c r="R45" s="3" t="n">
        <v>1</v>
      </c>
      <c r="S45" s="3" t="n">
        <v>1</v>
      </c>
      <c r="T45" s="3" t="n">
        <v>0</v>
      </c>
      <c r="U45" s="3" t="n">
        <v>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1</v>
      </c>
      <c r="AF45" s="3" t="n">
        <v>1</v>
      </c>
      <c r="AG45" s="3" t="n">
        <v>0</v>
      </c>
      <c r="AH45" s="3" t="n">
        <v>0</v>
      </c>
      <c r="AI45" s="3" t="n">
        <v>0</v>
      </c>
      <c r="AJ45" s="4" t="n">
        <f aca="false">SUM(G45:AI45)</f>
        <v>7</v>
      </c>
      <c r="AK45" s="4" t="n">
        <f aca="false">ROUND(SUMPRODUCT(G45:AI45,Gene_Weights!$B$2:$AD$2),3)</f>
        <v>-4.5</v>
      </c>
      <c r="AL45" s="2" t="n">
        <v>4</v>
      </c>
      <c r="AM45" s="2" t="n">
        <v>0</v>
      </c>
      <c r="AN45" s="2" t="n">
        <v>0</v>
      </c>
      <c r="AO45" s="5" t="n">
        <v>64.53</v>
      </c>
      <c r="AP45" s="5" t="n">
        <v>66.13</v>
      </c>
      <c r="AQ45" s="5" t="n">
        <v>67.73</v>
      </c>
      <c r="AR45" s="5" t="n">
        <v>69.33</v>
      </c>
      <c r="AS45" s="5" t="n">
        <v>70.93</v>
      </c>
      <c r="AT45" s="5" t="n">
        <v>72.53</v>
      </c>
      <c r="AU45" s="5" t="n">
        <v>74.13</v>
      </c>
      <c r="AV45" s="5" t="s">
        <v>51</v>
      </c>
    </row>
    <row r="46" customFormat="false" ht="15" hidden="false" customHeight="false" outlineLevel="0" collapsed="false">
      <c r="A46" s="2" t="s">
        <v>63</v>
      </c>
      <c r="B46" s="2" t="n">
        <v>2012</v>
      </c>
      <c r="C46" s="2" t="s">
        <v>53</v>
      </c>
      <c r="D46" s="2" t="n">
        <v>1</v>
      </c>
      <c r="E46" s="2" t="n">
        <v>32</v>
      </c>
      <c r="F46" s="2" t="s">
        <v>50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1</v>
      </c>
      <c r="S46" s="3" t="n">
        <v>1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1</v>
      </c>
      <c r="AG46" s="3" t="n">
        <v>0</v>
      </c>
      <c r="AH46" s="3" t="n">
        <v>0</v>
      </c>
      <c r="AI46" s="3" t="n">
        <v>0</v>
      </c>
      <c r="AJ46" s="4" t="n">
        <f aca="false">SUM(G46:AI46)</f>
        <v>7</v>
      </c>
      <c r="AK46" s="4" t="n">
        <f aca="false">ROUND(SUMPRODUCT(G46:AI46,Gene_Weights!$B$2:$AD$2),3)</f>
        <v>-4.5</v>
      </c>
      <c r="AL46" s="2" t="n">
        <v>4</v>
      </c>
      <c r="AM46" s="2" t="n">
        <v>1</v>
      </c>
      <c r="AN46" s="2" t="n">
        <v>25</v>
      </c>
      <c r="AO46" s="5" t="n">
        <v>52.86</v>
      </c>
      <c r="AP46" s="5" t="n">
        <v>53.65</v>
      </c>
      <c r="AQ46" s="5" t="n">
        <v>54.45</v>
      </c>
      <c r="AR46" s="5" t="n">
        <v>55.24</v>
      </c>
      <c r="AS46" s="5" t="n">
        <v>56.03</v>
      </c>
      <c r="AT46" s="5" t="n">
        <v>56.83</v>
      </c>
      <c r="AU46" s="5" t="n">
        <v>57.62</v>
      </c>
      <c r="AV46" s="5" t="s">
        <v>51</v>
      </c>
    </row>
    <row r="47" customFormat="false" ht="15" hidden="false" customHeight="false" outlineLevel="0" collapsed="false">
      <c r="A47" s="2" t="s">
        <v>63</v>
      </c>
      <c r="B47" s="2" t="n">
        <v>2012</v>
      </c>
      <c r="C47" s="2" t="s">
        <v>54</v>
      </c>
      <c r="D47" s="2" t="n">
        <v>1</v>
      </c>
      <c r="E47" s="2" t="n">
        <v>16</v>
      </c>
      <c r="F47" s="2" t="s">
        <v>50</v>
      </c>
      <c r="G47" s="3" t="n">
        <v>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1</v>
      </c>
      <c r="Q47" s="3" t="n">
        <v>0</v>
      </c>
      <c r="R47" s="3" t="n">
        <v>1</v>
      </c>
      <c r="S47" s="3" t="n">
        <v>1</v>
      </c>
      <c r="T47" s="3" t="n">
        <v>0</v>
      </c>
      <c r="U47" s="3" t="n">
        <v>1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1</v>
      </c>
      <c r="AF47" s="3" t="n">
        <v>1</v>
      </c>
      <c r="AG47" s="3" t="n">
        <v>0</v>
      </c>
      <c r="AH47" s="3" t="n">
        <v>0</v>
      </c>
      <c r="AI47" s="3" t="n">
        <v>0</v>
      </c>
      <c r="AJ47" s="4" t="n">
        <f aca="false">SUM(G47:AI47)</f>
        <v>7</v>
      </c>
      <c r="AK47" s="4" t="n">
        <f aca="false">ROUND(SUMPRODUCT(G47:AI47,Gene_Weights!$B$2:$AD$2),3)</f>
        <v>-4.5</v>
      </c>
      <c r="AL47" s="2" t="n">
        <v>4</v>
      </c>
      <c r="AM47" s="2" t="n">
        <v>3</v>
      </c>
      <c r="AN47" s="2" t="n">
        <v>75</v>
      </c>
      <c r="AO47" s="5" t="n">
        <v>81.84</v>
      </c>
      <c r="AP47" s="5" t="n">
        <v>84.45</v>
      </c>
      <c r="AQ47" s="5" t="n">
        <v>87.06</v>
      </c>
      <c r="AR47" s="5" t="n">
        <v>89.67</v>
      </c>
      <c r="AS47" s="5" t="n">
        <v>92.27</v>
      </c>
      <c r="AT47" s="5" t="n">
        <v>94.88</v>
      </c>
      <c r="AU47" s="5" t="n">
        <v>97.49</v>
      </c>
      <c r="AV47" s="5" t="s">
        <v>51</v>
      </c>
    </row>
    <row r="48" customFormat="false" ht="15" hidden="false" customHeight="false" outlineLevel="0" collapsed="false">
      <c r="A48" s="2" t="s">
        <v>63</v>
      </c>
      <c r="B48" s="2" t="n">
        <v>2012</v>
      </c>
      <c r="C48" s="2" t="s">
        <v>55</v>
      </c>
      <c r="D48" s="2" t="n">
        <v>1</v>
      </c>
      <c r="E48" s="2" t="n">
        <v>32</v>
      </c>
      <c r="F48" s="2" t="s">
        <v>50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1</v>
      </c>
      <c r="AG48" s="3" t="n">
        <v>0</v>
      </c>
      <c r="AH48" s="3" t="n">
        <v>0</v>
      </c>
      <c r="AI48" s="3" t="n">
        <v>0</v>
      </c>
      <c r="AJ48" s="4" t="n">
        <f aca="false">SUM(G48:AI48)</f>
        <v>7</v>
      </c>
      <c r="AK48" s="4" t="n">
        <f aca="false">ROUND(SUMPRODUCT(G48:AI48,Gene_Weights!$B$2:$AD$2),3)</f>
        <v>-4.5</v>
      </c>
      <c r="AL48" s="2" t="n">
        <v>4</v>
      </c>
      <c r="AM48" s="2" t="n">
        <v>1</v>
      </c>
      <c r="AN48" s="2" t="n">
        <v>25</v>
      </c>
      <c r="AO48" s="5" t="n">
        <v>58.19</v>
      </c>
      <c r="AP48" s="5" t="n">
        <v>59.74</v>
      </c>
      <c r="AQ48" s="5" t="n">
        <v>61.3</v>
      </c>
      <c r="AR48" s="5" t="n">
        <v>62.86</v>
      </c>
      <c r="AS48" s="5" t="n">
        <v>64.42</v>
      </c>
      <c r="AT48" s="5" t="n">
        <v>65.98</v>
      </c>
      <c r="AU48" s="5" t="n">
        <v>67.53</v>
      </c>
      <c r="AV48" s="5" t="s">
        <v>51</v>
      </c>
    </row>
    <row r="49" customFormat="false" ht="15" hidden="false" customHeight="false" outlineLevel="0" collapsed="false">
      <c r="A49" s="2" t="s">
        <v>63</v>
      </c>
      <c r="B49" s="2" t="n">
        <v>2012</v>
      </c>
      <c r="C49" s="2" t="s">
        <v>56</v>
      </c>
      <c r="D49" s="2" t="n">
        <v>0</v>
      </c>
      <c r="E49" s="2" t="n">
        <v>2</v>
      </c>
      <c r="F49" s="2" t="s">
        <v>50</v>
      </c>
      <c r="G49" s="3" t="n">
        <v>1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1</v>
      </c>
      <c r="Q49" s="3" t="n">
        <v>0</v>
      </c>
      <c r="R49" s="3" t="n">
        <v>1</v>
      </c>
      <c r="S49" s="3" t="n">
        <v>1</v>
      </c>
      <c r="T49" s="3" t="n">
        <v>0</v>
      </c>
      <c r="U49" s="3" t="n">
        <v>1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1</v>
      </c>
      <c r="AF49" s="3" t="n">
        <v>1</v>
      </c>
      <c r="AG49" s="3" t="n">
        <v>0</v>
      </c>
      <c r="AH49" s="3" t="n">
        <v>0</v>
      </c>
      <c r="AI49" s="3" t="n">
        <v>0</v>
      </c>
      <c r="AJ49" s="4" t="n">
        <f aca="false">SUM(G49:AI49)</f>
        <v>7</v>
      </c>
      <c r="AK49" s="4" t="n">
        <f aca="false">ROUND(SUMPRODUCT(G49:AI49,Gene_Weights!$B$2:$AD$2),3)</f>
        <v>-4.5</v>
      </c>
      <c r="AL49" s="2" t="n">
        <v>4</v>
      </c>
      <c r="AM49" s="2" t="n">
        <v>0</v>
      </c>
      <c r="AN49" s="2" t="n">
        <v>0</v>
      </c>
      <c r="AO49" s="5" t="n">
        <v>75.59</v>
      </c>
      <c r="AP49" s="5" t="n">
        <v>78.01</v>
      </c>
      <c r="AQ49" s="5" t="n">
        <v>80.42</v>
      </c>
      <c r="AR49" s="5" t="n">
        <v>82.83</v>
      </c>
      <c r="AS49" s="5" t="n">
        <v>85.24</v>
      </c>
      <c r="AT49" s="5" t="n">
        <v>87.66</v>
      </c>
      <c r="AU49" s="5" t="n">
        <v>90.07</v>
      </c>
      <c r="AV49" s="5" t="s">
        <v>51</v>
      </c>
    </row>
    <row r="50" customFormat="false" ht="15" hidden="false" customHeight="false" outlineLevel="0" collapsed="false">
      <c r="A50" s="2" t="s">
        <v>64</v>
      </c>
      <c r="B50" s="2" t="n">
        <v>2024</v>
      </c>
      <c r="C50" s="2" t="s">
        <v>49</v>
      </c>
      <c r="D50" s="2" t="n">
        <v>1</v>
      </c>
      <c r="E50" s="2" t="n">
        <v>16</v>
      </c>
      <c r="F50" s="2" t="s">
        <v>50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1</v>
      </c>
      <c r="Q50" s="3" t="n">
        <v>0</v>
      </c>
      <c r="R50" s="3" t="n">
        <v>0</v>
      </c>
      <c r="S50" s="3" t="n">
        <v>0</v>
      </c>
      <c r="T50" s="3" t="n">
        <v>1</v>
      </c>
      <c r="U50" s="3" t="n">
        <v>1</v>
      </c>
      <c r="V50" s="3" t="n">
        <v>1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1</v>
      </c>
      <c r="AB50" s="3" t="n">
        <v>0</v>
      </c>
      <c r="AC50" s="3" t="n">
        <v>1</v>
      </c>
      <c r="AD50" s="3" t="n">
        <v>1</v>
      </c>
      <c r="AE50" s="3" t="n">
        <v>0</v>
      </c>
      <c r="AF50" s="3" t="n">
        <v>0</v>
      </c>
      <c r="AG50" s="3" t="n">
        <v>1</v>
      </c>
      <c r="AH50" s="3" t="n">
        <v>0</v>
      </c>
      <c r="AI50" s="3" t="n">
        <v>0</v>
      </c>
      <c r="AJ50" s="4" t="n">
        <f aca="false">SUM(G50:AI50)</f>
        <v>9</v>
      </c>
      <c r="AK50" s="4" t="n">
        <f aca="false">ROUND(SUMPRODUCT(G50:AI50,Gene_Weights!$B$2:$AD$2),3)</f>
        <v>-7.81</v>
      </c>
      <c r="AL50" s="2" t="n">
        <v>7</v>
      </c>
      <c r="AM50" s="2" t="n">
        <v>6</v>
      </c>
      <c r="AN50" s="2" t="n">
        <v>85.71</v>
      </c>
      <c r="AO50" s="5" t="n">
        <v>55.12</v>
      </c>
      <c r="AP50" s="5" t="n">
        <v>56.02</v>
      </c>
      <c r="AQ50" s="5" t="n">
        <v>56.92</v>
      </c>
      <c r="AR50" s="5" t="n">
        <v>57.82</v>
      </c>
      <c r="AS50" s="5" t="n">
        <v>58.72</v>
      </c>
      <c r="AT50" s="5" t="n">
        <v>59.62</v>
      </c>
      <c r="AU50" s="5" t="n">
        <v>60.52</v>
      </c>
      <c r="AV50" s="5" t="s">
        <v>51</v>
      </c>
    </row>
    <row r="51" customFormat="false" ht="15" hidden="false" customHeight="false" outlineLevel="0" collapsed="false">
      <c r="A51" s="2" t="s">
        <v>64</v>
      </c>
      <c r="B51" s="2" t="n">
        <v>2024</v>
      </c>
      <c r="C51" s="2" t="s">
        <v>52</v>
      </c>
      <c r="D51" s="2" t="n">
        <v>1</v>
      </c>
      <c r="E51" s="2" t="n">
        <v>32</v>
      </c>
      <c r="F51" s="2" t="s">
        <v>50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</v>
      </c>
      <c r="M51" s="3" t="n">
        <v>0</v>
      </c>
      <c r="N51" s="3" t="n">
        <v>0</v>
      </c>
      <c r="O51" s="3" t="n">
        <v>0</v>
      </c>
      <c r="P51" s="3" t="n">
        <v>1</v>
      </c>
      <c r="Q51" s="3" t="n">
        <v>0</v>
      </c>
      <c r="R51" s="3" t="n">
        <v>0</v>
      </c>
      <c r="S51" s="3" t="n">
        <v>0</v>
      </c>
      <c r="T51" s="3" t="n">
        <v>1</v>
      </c>
      <c r="U51" s="3" t="n">
        <v>1</v>
      </c>
      <c r="V51" s="3" t="n">
        <v>1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1</v>
      </c>
      <c r="AB51" s="3" t="n">
        <v>0</v>
      </c>
      <c r="AC51" s="3" t="n">
        <v>1</v>
      </c>
      <c r="AD51" s="3" t="n">
        <v>1</v>
      </c>
      <c r="AE51" s="3" t="n">
        <v>0</v>
      </c>
      <c r="AF51" s="3" t="n">
        <v>0</v>
      </c>
      <c r="AG51" s="3" t="n">
        <v>1</v>
      </c>
      <c r="AH51" s="3" t="n">
        <v>0</v>
      </c>
      <c r="AI51" s="3" t="n">
        <v>0</v>
      </c>
      <c r="AJ51" s="4" t="n">
        <f aca="false">SUM(G51:AI51)</f>
        <v>9</v>
      </c>
      <c r="AK51" s="4" t="n">
        <f aca="false">ROUND(SUMPRODUCT(G51:AI51,Gene_Weights!$B$2:$AD$2),3)</f>
        <v>-7.81</v>
      </c>
      <c r="AL51" s="2" t="n">
        <v>7</v>
      </c>
      <c r="AM51" s="2" t="n">
        <v>7</v>
      </c>
      <c r="AN51" s="2" t="n">
        <v>100</v>
      </c>
      <c r="AO51" s="5" t="n">
        <v>64.53</v>
      </c>
      <c r="AP51" s="5" t="n">
        <v>66.13</v>
      </c>
      <c r="AQ51" s="5" t="n">
        <v>67.73</v>
      </c>
      <c r="AR51" s="5" t="n">
        <v>69.33</v>
      </c>
      <c r="AS51" s="5" t="n">
        <v>70.93</v>
      </c>
      <c r="AT51" s="5" t="n">
        <v>72.53</v>
      </c>
      <c r="AU51" s="5" t="n">
        <v>74.13</v>
      </c>
      <c r="AV51" s="5" t="s">
        <v>51</v>
      </c>
    </row>
    <row r="52" customFormat="false" ht="15" hidden="false" customHeight="false" outlineLevel="0" collapsed="false">
      <c r="A52" s="2" t="s">
        <v>64</v>
      </c>
      <c r="B52" s="2" t="n">
        <v>2024</v>
      </c>
      <c r="C52" s="2" t="s">
        <v>53</v>
      </c>
      <c r="D52" s="2" t="n">
        <v>0</v>
      </c>
      <c r="E52" s="2" t="n">
        <v>32</v>
      </c>
      <c r="F52" s="2" t="s">
        <v>50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</v>
      </c>
      <c r="M52" s="3" t="n">
        <v>0</v>
      </c>
      <c r="N52" s="3" t="n">
        <v>0</v>
      </c>
      <c r="O52" s="3" t="n">
        <v>0</v>
      </c>
      <c r="P52" s="3" t="n">
        <v>1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1</v>
      </c>
      <c r="V52" s="3" t="n">
        <v>1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1</v>
      </c>
      <c r="AB52" s="3" t="n">
        <v>0</v>
      </c>
      <c r="AC52" s="3" t="n">
        <v>1</v>
      </c>
      <c r="AD52" s="3" t="n">
        <v>1</v>
      </c>
      <c r="AE52" s="3" t="n">
        <v>0</v>
      </c>
      <c r="AF52" s="3" t="n">
        <v>0</v>
      </c>
      <c r="AG52" s="3" t="n">
        <v>1</v>
      </c>
      <c r="AH52" s="3" t="n">
        <v>0</v>
      </c>
      <c r="AI52" s="3" t="n">
        <v>0</v>
      </c>
      <c r="AJ52" s="4" t="n">
        <f aca="false">SUM(G52:AI52)</f>
        <v>9</v>
      </c>
      <c r="AK52" s="4" t="n">
        <f aca="false">ROUND(SUMPRODUCT(G52:AI52,Gene_Weights!$B$2:$AD$2),3)</f>
        <v>-7.81</v>
      </c>
      <c r="AL52" s="2" t="n">
        <v>7</v>
      </c>
      <c r="AM52" s="2" t="n">
        <v>5</v>
      </c>
      <c r="AN52" s="2" t="n">
        <v>71.43</v>
      </c>
      <c r="AO52" s="5" t="n">
        <v>52.86</v>
      </c>
      <c r="AP52" s="5" t="n">
        <v>53.65</v>
      </c>
      <c r="AQ52" s="5" t="n">
        <v>54.45</v>
      </c>
      <c r="AR52" s="5" t="n">
        <v>55.24</v>
      </c>
      <c r="AS52" s="5" t="n">
        <v>56.03</v>
      </c>
      <c r="AT52" s="5" t="n">
        <v>56.83</v>
      </c>
      <c r="AU52" s="5" t="n">
        <v>57.62</v>
      </c>
      <c r="AV52" s="5" t="s">
        <v>51</v>
      </c>
    </row>
    <row r="53" customFormat="false" ht="15" hidden="false" customHeight="false" outlineLevel="0" collapsed="false">
      <c r="A53" s="2" t="s">
        <v>64</v>
      </c>
      <c r="B53" s="2" t="n">
        <v>2024</v>
      </c>
      <c r="C53" s="2" t="s">
        <v>54</v>
      </c>
      <c r="D53" s="2" t="n">
        <v>1</v>
      </c>
      <c r="E53" s="2" t="n">
        <v>2</v>
      </c>
      <c r="F53" s="2" t="s">
        <v>50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</v>
      </c>
      <c r="M53" s="3" t="n">
        <v>0</v>
      </c>
      <c r="N53" s="3" t="n">
        <v>0</v>
      </c>
      <c r="O53" s="3" t="n">
        <v>0</v>
      </c>
      <c r="P53" s="3" t="n">
        <v>1</v>
      </c>
      <c r="Q53" s="3" t="n">
        <v>0</v>
      </c>
      <c r="R53" s="3" t="n">
        <v>0</v>
      </c>
      <c r="S53" s="3" t="n">
        <v>0</v>
      </c>
      <c r="T53" s="3" t="n">
        <v>1</v>
      </c>
      <c r="U53" s="3" t="n">
        <v>1</v>
      </c>
      <c r="V53" s="3" t="n">
        <v>1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1</v>
      </c>
      <c r="AB53" s="3" t="n">
        <v>0</v>
      </c>
      <c r="AC53" s="3" t="n">
        <v>1</v>
      </c>
      <c r="AD53" s="3" t="n">
        <v>1</v>
      </c>
      <c r="AE53" s="3" t="n">
        <v>0</v>
      </c>
      <c r="AF53" s="3" t="n">
        <v>0</v>
      </c>
      <c r="AG53" s="3" t="n">
        <v>1</v>
      </c>
      <c r="AH53" s="3" t="n">
        <v>0</v>
      </c>
      <c r="AI53" s="3" t="n">
        <v>0</v>
      </c>
      <c r="AJ53" s="4" t="n">
        <f aca="false">SUM(G53:AI53)</f>
        <v>9</v>
      </c>
      <c r="AK53" s="4" t="n">
        <f aca="false">ROUND(SUMPRODUCT(G53:AI53,Gene_Weights!$B$2:$AD$2),3)</f>
        <v>-7.81</v>
      </c>
      <c r="AL53" s="2" t="n">
        <v>7</v>
      </c>
      <c r="AM53" s="2" t="n">
        <v>6</v>
      </c>
      <c r="AN53" s="2" t="n">
        <v>85.71</v>
      </c>
      <c r="AO53" s="5" t="n">
        <v>81.84</v>
      </c>
      <c r="AP53" s="5" t="n">
        <v>84.45</v>
      </c>
      <c r="AQ53" s="5" t="n">
        <v>87.06</v>
      </c>
      <c r="AR53" s="5" t="n">
        <v>89.67</v>
      </c>
      <c r="AS53" s="5" t="n">
        <v>92.27</v>
      </c>
      <c r="AT53" s="5" t="n">
        <v>94.88</v>
      </c>
      <c r="AU53" s="5" t="n">
        <v>97.49</v>
      </c>
      <c r="AV53" s="5" t="s">
        <v>51</v>
      </c>
    </row>
    <row r="54" customFormat="false" ht="15" hidden="false" customHeight="false" outlineLevel="0" collapsed="false">
      <c r="A54" s="2" t="s">
        <v>64</v>
      </c>
      <c r="B54" s="2" t="n">
        <v>2024</v>
      </c>
      <c r="C54" s="2" t="s">
        <v>55</v>
      </c>
      <c r="D54" s="2" t="n">
        <v>1</v>
      </c>
      <c r="E54" s="2" t="n">
        <v>16</v>
      </c>
      <c r="F54" s="2" t="s">
        <v>50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</v>
      </c>
      <c r="M54" s="3" t="n">
        <v>0</v>
      </c>
      <c r="N54" s="3" t="n">
        <v>0</v>
      </c>
      <c r="O54" s="3" t="n">
        <v>0</v>
      </c>
      <c r="P54" s="3" t="n">
        <v>1</v>
      </c>
      <c r="Q54" s="3" t="n">
        <v>0</v>
      </c>
      <c r="R54" s="3" t="n">
        <v>0</v>
      </c>
      <c r="S54" s="3" t="n">
        <v>0</v>
      </c>
      <c r="T54" s="3" t="n">
        <v>1</v>
      </c>
      <c r="U54" s="3" t="n">
        <v>1</v>
      </c>
      <c r="V54" s="3" t="n">
        <v>1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1</v>
      </c>
      <c r="AB54" s="3" t="n">
        <v>0</v>
      </c>
      <c r="AC54" s="3" t="n">
        <v>1</v>
      </c>
      <c r="AD54" s="3" t="n">
        <v>1</v>
      </c>
      <c r="AE54" s="3" t="n">
        <v>0</v>
      </c>
      <c r="AF54" s="3" t="n">
        <v>0</v>
      </c>
      <c r="AG54" s="3" t="n">
        <v>1</v>
      </c>
      <c r="AH54" s="3" t="n">
        <v>0</v>
      </c>
      <c r="AI54" s="3" t="n">
        <v>0</v>
      </c>
      <c r="AJ54" s="4" t="n">
        <f aca="false">SUM(G54:AI54)</f>
        <v>9</v>
      </c>
      <c r="AK54" s="4" t="n">
        <f aca="false">ROUND(SUMPRODUCT(G54:AI54,Gene_Weights!$B$2:$AD$2),3)</f>
        <v>-7.81</v>
      </c>
      <c r="AL54" s="2" t="n">
        <v>7</v>
      </c>
      <c r="AM54" s="2" t="n">
        <v>5</v>
      </c>
      <c r="AN54" s="2" t="n">
        <v>71.43</v>
      </c>
      <c r="AO54" s="5" t="n">
        <v>58.19</v>
      </c>
      <c r="AP54" s="5" t="n">
        <v>59.74</v>
      </c>
      <c r="AQ54" s="5" t="n">
        <v>61.3</v>
      </c>
      <c r="AR54" s="5" t="n">
        <v>62.86</v>
      </c>
      <c r="AS54" s="5" t="n">
        <v>64.42</v>
      </c>
      <c r="AT54" s="5" t="n">
        <v>65.98</v>
      </c>
      <c r="AU54" s="5" t="n">
        <v>67.53</v>
      </c>
      <c r="AV54" s="5" t="s">
        <v>51</v>
      </c>
    </row>
    <row r="55" customFormat="false" ht="15" hidden="false" customHeight="false" outlineLevel="0" collapsed="false">
      <c r="A55" s="2" t="s">
        <v>64</v>
      </c>
      <c r="B55" s="2" t="n">
        <v>2024</v>
      </c>
      <c r="C55" s="2" t="s">
        <v>56</v>
      </c>
      <c r="D55" s="2" t="n">
        <v>1</v>
      </c>
      <c r="E55" s="2" t="n">
        <v>2</v>
      </c>
      <c r="F55" s="2" t="s">
        <v>50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</v>
      </c>
      <c r="M55" s="3" t="n">
        <v>0</v>
      </c>
      <c r="N55" s="3" t="n">
        <v>0</v>
      </c>
      <c r="O55" s="3" t="n">
        <v>0</v>
      </c>
      <c r="P55" s="3" t="n">
        <v>1</v>
      </c>
      <c r="Q55" s="3" t="n">
        <v>0</v>
      </c>
      <c r="R55" s="3" t="n">
        <v>0</v>
      </c>
      <c r="S55" s="3" t="n">
        <v>0</v>
      </c>
      <c r="T55" s="3" t="n">
        <v>1</v>
      </c>
      <c r="U55" s="3" t="n">
        <v>1</v>
      </c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1</v>
      </c>
      <c r="AB55" s="3" t="n">
        <v>0</v>
      </c>
      <c r="AC55" s="3" t="n">
        <v>1</v>
      </c>
      <c r="AD55" s="3" t="n">
        <v>1</v>
      </c>
      <c r="AE55" s="3" t="n">
        <v>0</v>
      </c>
      <c r="AF55" s="3" t="n">
        <v>0</v>
      </c>
      <c r="AG55" s="3" t="n">
        <v>1</v>
      </c>
      <c r="AH55" s="3" t="n">
        <v>0</v>
      </c>
      <c r="AI55" s="3" t="n">
        <v>0</v>
      </c>
      <c r="AJ55" s="4" t="n">
        <f aca="false">SUM(G55:AI55)</f>
        <v>9</v>
      </c>
      <c r="AK55" s="4" t="n">
        <f aca="false">ROUND(SUMPRODUCT(G55:AI55,Gene_Weights!$B$2:$AD$2),3)</f>
        <v>-7.81</v>
      </c>
      <c r="AL55" s="2" t="n">
        <v>7</v>
      </c>
      <c r="AM55" s="2" t="n">
        <v>5</v>
      </c>
      <c r="AN55" s="2" t="n">
        <v>71.43</v>
      </c>
      <c r="AO55" s="5" t="n">
        <v>75.59</v>
      </c>
      <c r="AP55" s="5" t="n">
        <v>78.01</v>
      </c>
      <c r="AQ55" s="5" t="n">
        <v>80.42</v>
      </c>
      <c r="AR55" s="5" t="n">
        <v>82.83</v>
      </c>
      <c r="AS55" s="5" t="n">
        <v>85.24</v>
      </c>
      <c r="AT55" s="5" t="n">
        <v>87.66</v>
      </c>
      <c r="AU55" s="5" t="n">
        <v>90.07</v>
      </c>
      <c r="AV55" s="5" t="s">
        <v>51</v>
      </c>
    </row>
    <row r="56" customFormat="false" ht="15" hidden="false" customHeight="false" outlineLevel="0" collapsed="false">
      <c r="A56" s="2" t="s">
        <v>65</v>
      </c>
      <c r="B56" s="2" t="n">
        <v>2000</v>
      </c>
      <c r="C56" s="2" t="s">
        <v>49</v>
      </c>
      <c r="D56" s="2" t="n">
        <v>0</v>
      </c>
      <c r="E56" s="2" t="n">
        <v>4</v>
      </c>
      <c r="F56" s="2" t="s">
        <v>50</v>
      </c>
      <c r="G56" s="3" t="n">
        <v>0</v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1</v>
      </c>
      <c r="Q56" s="3" t="n">
        <v>1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1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1</v>
      </c>
      <c r="AB56" s="3" t="n">
        <v>0</v>
      </c>
      <c r="AC56" s="3" t="n">
        <v>0</v>
      </c>
      <c r="AD56" s="3" t="n">
        <v>0</v>
      </c>
      <c r="AE56" s="3" t="n">
        <v>1</v>
      </c>
      <c r="AF56" s="3" t="n">
        <v>0</v>
      </c>
      <c r="AG56" s="3" t="n">
        <v>0</v>
      </c>
      <c r="AH56" s="3" t="n">
        <v>1</v>
      </c>
      <c r="AI56" s="3" t="n">
        <v>1</v>
      </c>
      <c r="AJ56" s="4" t="n">
        <f aca="false">SUM(G56:AI56)</f>
        <v>8</v>
      </c>
      <c r="AK56" s="4" t="n">
        <f aca="false">ROUND(SUMPRODUCT(G56:AI56,Gene_Weights!$B$2:$AD$2),3)</f>
        <v>-5.74</v>
      </c>
      <c r="AL56" s="2" t="n">
        <v>8</v>
      </c>
      <c r="AM56" s="2" t="n">
        <v>2</v>
      </c>
      <c r="AN56" s="2" t="n">
        <v>25</v>
      </c>
      <c r="AO56" s="5" t="n">
        <v>55.12</v>
      </c>
      <c r="AP56" s="5" t="n">
        <v>56.02</v>
      </c>
      <c r="AQ56" s="5" t="n">
        <v>56.92</v>
      </c>
      <c r="AR56" s="5" t="n">
        <v>57.82</v>
      </c>
      <c r="AS56" s="5" t="n">
        <v>58.72</v>
      </c>
      <c r="AT56" s="5" t="n">
        <v>59.62</v>
      </c>
      <c r="AU56" s="5" t="n">
        <v>60.52</v>
      </c>
      <c r="AV56" s="5" t="s">
        <v>51</v>
      </c>
    </row>
    <row r="57" customFormat="false" ht="15" hidden="false" customHeight="false" outlineLevel="0" collapsed="false">
      <c r="A57" s="2" t="s">
        <v>65</v>
      </c>
      <c r="B57" s="2" t="n">
        <v>2000</v>
      </c>
      <c r="C57" s="2" t="s">
        <v>52</v>
      </c>
      <c r="D57" s="2" t="n">
        <v>0</v>
      </c>
      <c r="E57" s="2" t="n">
        <v>2</v>
      </c>
      <c r="F57" s="2" t="s">
        <v>50</v>
      </c>
      <c r="G57" s="3" t="n">
        <v>0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1</v>
      </c>
      <c r="Q57" s="3" t="n">
        <v>1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1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1</v>
      </c>
      <c r="AB57" s="3" t="n">
        <v>0</v>
      </c>
      <c r="AC57" s="3" t="n">
        <v>0</v>
      </c>
      <c r="AD57" s="3" t="n">
        <v>0</v>
      </c>
      <c r="AE57" s="3" t="n">
        <v>1</v>
      </c>
      <c r="AF57" s="3" t="n">
        <v>0</v>
      </c>
      <c r="AG57" s="3" t="n">
        <v>0</v>
      </c>
      <c r="AH57" s="3" t="n">
        <v>1</v>
      </c>
      <c r="AI57" s="3" t="n">
        <v>1</v>
      </c>
      <c r="AJ57" s="4" t="n">
        <f aca="false">SUM(G57:AI57)</f>
        <v>8</v>
      </c>
      <c r="AK57" s="4" t="n">
        <f aca="false">ROUND(SUMPRODUCT(G57:AI57,Gene_Weights!$B$2:$AD$2),3)</f>
        <v>-5.74</v>
      </c>
      <c r="AL57" s="2" t="n">
        <v>8</v>
      </c>
      <c r="AM57" s="2" t="n">
        <v>2</v>
      </c>
      <c r="AN57" s="2" t="n">
        <v>25</v>
      </c>
      <c r="AO57" s="5" t="n">
        <v>64.53</v>
      </c>
      <c r="AP57" s="5" t="n">
        <v>66.13</v>
      </c>
      <c r="AQ57" s="5" t="n">
        <v>67.73</v>
      </c>
      <c r="AR57" s="5" t="n">
        <v>69.33</v>
      </c>
      <c r="AS57" s="5" t="n">
        <v>70.93</v>
      </c>
      <c r="AT57" s="5" t="n">
        <v>72.53</v>
      </c>
      <c r="AU57" s="5" t="n">
        <v>74.13</v>
      </c>
      <c r="AV57" s="5" t="s">
        <v>51</v>
      </c>
    </row>
    <row r="58" customFormat="false" ht="15" hidden="false" customHeight="false" outlineLevel="0" collapsed="false">
      <c r="A58" s="2" t="s">
        <v>65</v>
      </c>
      <c r="B58" s="2" t="n">
        <v>2000</v>
      </c>
      <c r="C58" s="2" t="s">
        <v>53</v>
      </c>
      <c r="D58" s="2" t="n">
        <v>0</v>
      </c>
      <c r="E58" s="2" t="n">
        <v>16</v>
      </c>
      <c r="F58" s="2" t="s">
        <v>50</v>
      </c>
      <c r="G58" s="3" t="n">
        <v>0</v>
      </c>
      <c r="H58" s="3" t="n">
        <v>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</v>
      </c>
      <c r="Q58" s="3" t="n">
        <v>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1</v>
      </c>
      <c r="AB58" s="3" t="n">
        <v>0</v>
      </c>
      <c r="AC58" s="3" t="n">
        <v>0</v>
      </c>
      <c r="AD58" s="3" t="n">
        <v>0</v>
      </c>
      <c r="AE58" s="3" t="n">
        <v>1</v>
      </c>
      <c r="AF58" s="3" t="n">
        <v>0</v>
      </c>
      <c r="AG58" s="3" t="n">
        <v>0</v>
      </c>
      <c r="AH58" s="3" t="n">
        <v>1</v>
      </c>
      <c r="AI58" s="3" t="n">
        <v>1</v>
      </c>
      <c r="AJ58" s="4" t="n">
        <f aca="false">SUM(G58:AI58)</f>
        <v>8</v>
      </c>
      <c r="AK58" s="4" t="n">
        <f aca="false">ROUND(SUMPRODUCT(G58:AI58,Gene_Weights!$B$2:$AD$2),3)</f>
        <v>-5.74</v>
      </c>
      <c r="AL58" s="2" t="n">
        <v>8</v>
      </c>
      <c r="AM58" s="2" t="n">
        <v>1</v>
      </c>
      <c r="AN58" s="2" t="n">
        <v>12.5</v>
      </c>
      <c r="AO58" s="5" t="n">
        <v>52.86</v>
      </c>
      <c r="AP58" s="5" t="n">
        <v>53.65</v>
      </c>
      <c r="AQ58" s="5" t="n">
        <v>54.45</v>
      </c>
      <c r="AR58" s="5" t="n">
        <v>55.24</v>
      </c>
      <c r="AS58" s="5" t="n">
        <v>56.03</v>
      </c>
      <c r="AT58" s="5" t="n">
        <v>56.83</v>
      </c>
      <c r="AU58" s="5" t="n">
        <v>57.62</v>
      </c>
      <c r="AV58" s="5" t="s">
        <v>51</v>
      </c>
    </row>
    <row r="59" customFormat="false" ht="15" hidden="false" customHeight="false" outlineLevel="0" collapsed="false">
      <c r="A59" s="2" t="s">
        <v>65</v>
      </c>
      <c r="B59" s="2" t="n">
        <v>2000</v>
      </c>
      <c r="C59" s="2" t="s">
        <v>54</v>
      </c>
      <c r="D59" s="2" t="n">
        <v>0</v>
      </c>
      <c r="E59" s="2" t="n">
        <v>2</v>
      </c>
      <c r="F59" s="2" t="s">
        <v>50</v>
      </c>
      <c r="G59" s="3" t="n">
        <v>0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</v>
      </c>
      <c r="Q59" s="3" t="n">
        <v>1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1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1</v>
      </c>
      <c r="AB59" s="3" t="n">
        <v>0</v>
      </c>
      <c r="AC59" s="3" t="n">
        <v>0</v>
      </c>
      <c r="AD59" s="3" t="n">
        <v>0</v>
      </c>
      <c r="AE59" s="3" t="n">
        <v>1</v>
      </c>
      <c r="AF59" s="3" t="n">
        <v>0</v>
      </c>
      <c r="AG59" s="3" t="n">
        <v>0</v>
      </c>
      <c r="AH59" s="3" t="n">
        <v>1</v>
      </c>
      <c r="AI59" s="3" t="n">
        <v>1</v>
      </c>
      <c r="AJ59" s="4" t="n">
        <f aca="false">SUM(G59:AI59)</f>
        <v>8</v>
      </c>
      <c r="AK59" s="4" t="n">
        <f aca="false">ROUND(SUMPRODUCT(G59:AI59,Gene_Weights!$B$2:$AD$2),3)</f>
        <v>-5.74</v>
      </c>
      <c r="AL59" s="2" t="n">
        <v>8</v>
      </c>
      <c r="AM59" s="2" t="n">
        <v>1</v>
      </c>
      <c r="AN59" s="2" t="n">
        <v>12.5</v>
      </c>
      <c r="AO59" s="5" t="n">
        <v>81.84</v>
      </c>
      <c r="AP59" s="5" t="n">
        <v>84.45</v>
      </c>
      <c r="AQ59" s="5" t="n">
        <v>87.06</v>
      </c>
      <c r="AR59" s="5" t="n">
        <v>89.67</v>
      </c>
      <c r="AS59" s="5" t="n">
        <v>92.27</v>
      </c>
      <c r="AT59" s="5" t="n">
        <v>94.88</v>
      </c>
      <c r="AU59" s="5" t="n">
        <v>97.49</v>
      </c>
      <c r="AV59" s="5" t="s">
        <v>51</v>
      </c>
    </row>
    <row r="60" customFormat="false" ht="15" hidden="false" customHeight="false" outlineLevel="0" collapsed="false">
      <c r="A60" s="2" t="s">
        <v>65</v>
      </c>
      <c r="B60" s="2" t="n">
        <v>2000</v>
      </c>
      <c r="C60" s="2" t="s">
        <v>55</v>
      </c>
      <c r="D60" s="2" t="n">
        <v>0</v>
      </c>
      <c r="E60" s="2" t="n">
        <v>16</v>
      </c>
      <c r="F60" s="2" t="s">
        <v>50</v>
      </c>
      <c r="G60" s="3" t="n">
        <v>0</v>
      </c>
      <c r="H60" s="3" t="n">
        <v>1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</v>
      </c>
      <c r="Q60" s="3" t="n">
        <v>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1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1</v>
      </c>
      <c r="AB60" s="3" t="n">
        <v>0</v>
      </c>
      <c r="AC60" s="3" t="n">
        <v>0</v>
      </c>
      <c r="AD60" s="3" t="n">
        <v>0</v>
      </c>
      <c r="AE60" s="3" t="n">
        <v>1</v>
      </c>
      <c r="AF60" s="3" t="n">
        <v>0</v>
      </c>
      <c r="AG60" s="3" t="n">
        <v>0</v>
      </c>
      <c r="AH60" s="3" t="n">
        <v>1</v>
      </c>
      <c r="AI60" s="3" t="n">
        <v>1</v>
      </c>
      <c r="AJ60" s="4" t="n">
        <f aca="false">SUM(G60:AI60)</f>
        <v>8</v>
      </c>
      <c r="AK60" s="4" t="n">
        <f aca="false">ROUND(SUMPRODUCT(G60:AI60,Gene_Weights!$B$2:$AD$2),3)</f>
        <v>-5.74</v>
      </c>
      <c r="AL60" s="2" t="n">
        <v>8</v>
      </c>
      <c r="AM60" s="2" t="n">
        <v>0</v>
      </c>
      <c r="AN60" s="2" t="n">
        <v>0</v>
      </c>
      <c r="AO60" s="5" t="n">
        <v>58.19</v>
      </c>
      <c r="AP60" s="5" t="n">
        <v>59.74</v>
      </c>
      <c r="AQ60" s="5" t="n">
        <v>61.3</v>
      </c>
      <c r="AR60" s="5" t="n">
        <v>62.86</v>
      </c>
      <c r="AS60" s="5" t="n">
        <v>64.42</v>
      </c>
      <c r="AT60" s="5" t="n">
        <v>65.98</v>
      </c>
      <c r="AU60" s="5" t="n">
        <v>67.53</v>
      </c>
      <c r="AV60" s="5" t="s">
        <v>51</v>
      </c>
    </row>
    <row r="61" customFormat="false" ht="15" hidden="false" customHeight="false" outlineLevel="0" collapsed="false">
      <c r="A61" s="2" t="s">
        <v>65</v>
      </c>
      <c r="B61" s="2" t="n">
        <v>2000</v>
      </c>
      <c r="C61" s="2" t="s">
        <v>56</v>
      </c>
      <c r="D61" s="2" t="n">
        <v>0</v>
      </c>
      <c r="E61" s="2" t="n">
        <v>16</v>
      </c>
      <c r="F61" s="2" t="s">
        <v>50</v>
      </c>
      <c r="G61" s="3" t="n">
        <v>0</v>
      </c>
      <c r="H61" s="3" t="n">
        <v>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</v>
      </c>
      <c r="Q61" s="3" t="n">
        <v>1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1</v>
      </c>
      <c r="AB61" s="3" t="n">
        <v>0</v>
      </c>
      <c r="AC61" s="3" t="n">
        <v>0</v>
      </c>
      <c r="AD61" s="3" t="n">
        <v>0</v>
      </c>
      <c r="AE61" s="3" t="n">
        <v>1</v>
      </c>
      <c r="AF61" s="3" t="n">
        <v>0</v>
      </c>
      <c r="AG61" s="3" t="n">
        <v>0</v>
      </c>
      <c r="AH61" s="3" t="n">
        <v>1</v>
      </c>
      <c r="AI61" s="3" t="n">
        <v>1</v>
      </c>
      <c r="AJ61" s="4" t="n">
        <f aca="false">SUM(G61:AI61)</f>
        <v>8</v>
      </c>
      <c r="AK61" s="4" t="n">
        <f aca="false">ROUND(SUMPRODUCT(G61:AI61,Gene_Weights!$B$2:$AD$2),3)</f>
        <v>-5.74</v>
      </c>
      <c r="AL61" s="2" t="n">
        <v>8</v>
      </c>
      <c r="AM61" s="2" t="n">
        <v>2</v>
      </c>
      <c r="AN61" s="2" t="n">
        <v>25</v>
      </c>
      <c r="AO61" s="5" t="n">
        <v>75.59</v>
      </c>
      <c r="AP61" s="5" t="n">
        <v>78.01</v>
      </c>
      <c r="AQ61" s="5" t="n">
        <v>80.42</v>
      </c>
      <c r="AR61" s="5" t="n">
        <v>82.83</v>
      </c>
      <c r="AS61" s="5" t="n">
        <v>85.24</v>
      </c>
      <c r="AT61" s="5" t="n">
        <v>87.66</v>
      </c>
      <c r="AU61" s="5" t="n">
        <v>90.07</v>
      </c>
      <c r="AV61" s="5" t="s">
        <v>51</v>
      </c>
    </row>
    <row r="62" customFormat="false" ht="15" hidden="false" customHeight="false" outlineLevel="0" collapsed="false">
      <c r="A62" s="2" t="s">
        <v>66</v>
      </c>
      <c r="B62" s="2" t="n">
        <v>2024</v>
      </c>
      <c r="C62" s="2" t="s">
        <v>49</v>
      </c>
      <c r="D62" s="2" t="n">
        <v>1</v>
      </c>
      <c r="E62" s="2" t="n">
        <v>16</v>
      </c>
      <c r="F62" s="2" t="s">
        <v>50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1</v>
      </c>
      <c r="Z62" s="3" t="n">
        <v>0</v>
      </c>
      <c r="AA62" s="3" t="n">
        <v>0</v>
      </c>
      <c r="AB62" s="3" t="n">
        <v>1</v>
      </c>
      <c r="AC62" s="3" t="n">
        <v>1</v>
      </c>
      <c r="AD62" s="3" t="n">
        <v>1</v>
      </c>
      <c r="AE62" s="3" t="n">
        <v>1</v>
      </c>
      <c r="AF62" s="3" t="n">
        <v>1</v>
      </c>
      <c r="AG62" s="3" t="n">
        <v>0</v>
      </c>
      <c r="AH62" s="3" t="n">
        <v>0</v>
      </c>
      <c r="AI62" s="3" t="n">
        <v>0</v>
      </c>
      <c r="AJ62" s="4" t="n">
        <f aca="false">SUM(G62:AI62)</f>
        <v>8</v>
      </c>
      <c r="AK62" s="4" t="n">
        <f aca="false">ROUND(SUMPRODUCT(G62:AI62,Gene_Weights!$B$2:$AD$2),3)</f>
        <v>-4.72</v>
      </c>
      <c r="AL62" s="2" t="n">
        <v>7</v>
      </c>
      <c r="AM62" s="2" t="n">
        <v>6</v>
      </c>
      <c r="AN62" s="2" t="n">
        <v>85.71</v>
      </c>
      <c r="AO62" s="5" t="n">
        <v>55.12</v>
      </c>
      <c r="AP62" s="5" t="n">
        <v>56.02</v>
      </c>
      <c r="AQ62" s="5" t="n">
        <v>56.92</v>
      </c>
      <c r="AR62" s="5" t="n">
        <v>57.82</v>
      </c>
      <c r="AS62" s="5" t="n">
        <v>58.72</v>
      </c>
      <c r="AT62" s="5" t="n">
        <v>59.62</v>
      </c>
      <c r="AU62" s="5" t="n">
        <v>60.52</v>
      </c>
      <c r="AV62" s="5" t="s">
        <v>51</v>
      </c>
    </row>
    <row r="63" customFormat="false" ht="15" hidden="false" customHeight="false" outlineLevel="0" collapsed="false">
      <c r="A63" s="2" t="s">
        <v>66</v>
      </c>
      <c r="B63" s="2" t="n">
        <v>2024</v>
      </c>
      <c r="C63" s="2" t="s">
        <v>52</v>
      </c>
      <c r="D63" s="2" t="n">
        <v>1</v>
      </c>
      <c r="E63" s="2" t="n">
        <v>32</v>
      </c>
      <c r="F63" s="2" t="s">
        <v>50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0</v>
      </c>
      <c r="N63" s="3" t="n">
        <v>0</v>
      </c>
      <c r="O63" s="3" t="n">
        <v>0</v>
      </c>
      <c r="P63" s="3" t="n">
        <v>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</v>
      </c>
      <c r="Z63" s="3" t="n">
        <v>0</v>
      </c>
      <c r="AA63" s="3" t="n">
        <v>0</v>
      </c>
      <c r="AB63" s="3" t="n">
        <v>1</v>
      </c>
      <c r="AC63" s="3" t="n">
        <v>1</v>
      </c>
      <c r="AD63" s="3" t="n">
        <v>1</v>
      </c>
      <c r="AE63" s="3" t="n">
        <v>1</v>
      </c>
      <c r="AF63" s="3" t="n">
        <v>1</v>
      </c>
      <c r="AG63" s="3" t="n">
        <v>0</v>
      </c>
      <c r="AH63" s="3" t="n">
        <v>0</v>
      </c>
      <c r="AI63" s="3" t="n">
        <v>0</v>
      </c>
      <c r="AJ63" s="4" t="n">
        <f aca="false">SUM(G63:AI63)</f>
        <v>8</v>
      </c>
      <c r="AK63" s="4" t="n">
        <f aca="false">ROUND(SUMPRODUCT(G63:AI63,Gene_Weights!$B$2:$AD$2),3)</f>
        <v>-4.72</v>
      </c>
      <c r="AL63" s="2" t="n">
        <v>7</v>
      </c>
      <c r="AM63" s="2" t="n">
        <v>7</v>
      </c>
      <c r="AN63" s="2" t="n">
        <v>100</v>
      </c>
      <c r="AO63" s="5" t="n">
        <v>64.53</v>
      </c>
      <c r="AP63" s="5" t="n">
        <v>66.13</v>
      </c>
      <c r="AQ63" s="5" t="n">
        <v>67.73</v>
      </c>
      <c r="AR63" s="5" t="n">
        <v>69.33</v>
      </c>
      <c r="AS63" s="5" t="n">
        <v>70.93</v>
      </c>
      <c r="AT63" s="5" t="n">
        <v>72.53</v>
      </c>
      <c r="AU63" s="5" t="n">
        <v>74.13</v>
      </c>
      <c r="AV63" s="5" t="s">
        <v>51</v>
      </c>
    </row>
    <row r="64" customFormat="false" ht="15" hidden="false" customHeight="false" outlineLevel="0" collapsed="false">
      <c r="A64" s="2" t="s">
        <v>66</v>
      </c>
      <c r="B64" s="2" t="n">
        <v>2024</v>
      </c>
      <c r="C64" s="2" t="s">
        <v>53</v>
      </c>
      <c r="D64" s="2" t="n">
        <v>1</v>
      </c>
      <c r="E64" s="2" t="n">
        <v>16</v>
      </c>
      <c r="F64" s="2" t="s">
        <v>50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0</v>
      </c>
      <c r="N64" s="3" t="n">
        <v>0</v>
      </c>
      <c r="O64" s="3" t="n">
        <v>0</v>
      </c>
      <c r="P64" s="3" t="n">
        <v>1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1</v>
      </c>
      <c r="Z64" s="3" t="n">
        <v>0</v>
      </c>
      <c r="AA64" s="3" t="n">
        <v>0</v>
      </c>
      <c r="AB64" s="3" t="n">
        <v>1</v>
      </c>
      <c r="AC64" s="3" t="n">
        <v>1</v>
      </c>
      <c r="AD64" s="3" t="n">
        <v>1</v>
      </c>
      <c r="AE64" s="3" t="n">
        <v>1</v>
      </c>
      <c r="AF64" s="3" t="n">
        <v>1</v>
      </c>
      <c r="AG64" s="3" t="n">
        <v>0</v>
      </c>
      <c r="AH64" s="3" t="n">
        <v>0</v>
      </c>
      <c r="AI64" s="3" t="n">
        <v>0</v>
      </c>
      <c r="AJ64" s="4" t="n">
        <f aca="false">SUM(G64:AI64)</f>
        <v>8</v>
      </c>
      <c r="AK64" s="4" t="n">
        <f aca="false">ROUND(SUMPRODUCT(G64:AI64,Gene_Weights!$B$2:$AD$2),3)</f>
        <v>-4.72</v>
      </c>
      <c r="AL64" s="2" t="n">
        <v>7</v>
      </c>
      <c r="AM64" s="2" t="n">
        <v>5</v>
      </c>
      <c r="AN64" s="2" t="n">
        <v>71.43</v>
      </c>
      <c r="AO64" s="5" t="n">
        <v>52.86</v>
      </c>
      <c r="AP64" s="5" t="n">
        <v>53.65</v>
      </c>
      <c r="AQ64" s="5" t="n">
        <v>54.45</v>
      </c>
      <c r="AR64" s="5" t="n">
        <v>55.24</v>
      </c>
      <c r="AS64" s="5" t="n">
        <v>56.03</v>
      </c>
      <c r="AT64" s="5" t="n">
        <v>56.83</v>
      </c>
      <c r="AU64" s="5" t="n">
        <v>57.62</v>
      </c>
      <c r="AV64" s="5" t="s">
        <v>51</v>
      </c>
    </row>
    <row r="65" customFormat="false" ht="15" hidden="false" customHeight="false" outlineLevel="0" collapsed="false">
      <c r="A65" s="2" t="s">
        <v>66</v>
      </c>
      <c r="B65" s="2" t="n">
        <v>2024</v>
      </c>
      <c r="C65" s="2" t="s">
        <v>54</v>
      </c>
      <c r="D65" s="2" t="n">
        <v>0</v>
      </c>
      <c r="E65" s="2" t="n">
        <v>2</v>
      </c>
      <c r="F65" s="2" t="s">
        <v>50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0</v>
      </c>
      <c r="N65" s="3" t="n">
        <v>0</v>
      </c>
      <c r="O65" s="3" t="n">
        <v>0</v>
      </c>
      <c r="P65" s="3" t="n">
        <v>1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</v>
      </c>
      <c r="Z65" s="3" t="n">
        <v>0</v>
      </c>
      <c r="AA65" s="3" t="n">
        <v>0</v>
      </c>
      <c r="AB65" s="3" t="n">
        <v>1</v>
      </c>
      <c r="AC65" s="3" t="n">
        <v>1</v>
      </c>
      <c r="AD65" s="3" t="n">
        <v>1</v>
      </c>
      <c r="AE65" s="3" t="n">
        <v>1</v>
      </c>
      <c r="AF65" s="3" t="n">
        <v>1</v>
      </c>
      <c r="AG65" s="3" t="n">
        <v>0</v>
      </c>
      <c r="AH65" s="3" t="n">
        <v>0</v>
      </c>
      <c r="AI65" s="3" t="n">
        <v>0</v>
      </c>
      <c r="AJ65" s="4" t="n">
        <f aca="false">SUM(G65:AI65)</f>
        <v>8</v>
      </c>
      <c r="AK65" s="4" t="n">
        <f aca="false">ROUND(SUMPRODUCT(G65:AI65,Gene_Weights!$B$2:$AD$2),3)</f>
        <v>-4.72</v>
      </c>
      <c r="AL65" s="2" t="n">
        <v>7</v>
      </c>
      <c r="AM65" s="2" t="n">
        <v>6</v>
      </c>
      <c r="AN65" s="2" t="n">
        <v>85.71</v>
      </c>
      <c r="AO65" s="5" t="n">
        <v>81.84</v>
      </c>
      <c r="AP65" s="5" t="n">
        <v>84.45</v>
      </c>
      <c r="AQ65" s="5" t="n">
        <v>87.06</v>
      </c>
      <c r="AR65" s="5" t="n">
        <v>89.67</v>
      </c>
      <c r="AS65" s="5" t="n">
        <v>92.27</v>
      </c>
      <c r="AT65" s="5" t="n">
        <v>94.88</v>
      </c>
      <c r="AU65" s="5" t="n">
        <v>97.49</v>
      </c>
      <c r="AV65" s="5" t="s">
        <v>51</v>
      </c>
    </row>
    <row r="66" customFormat="false" ht="15" hidden="false" customHeight="false" outlineLevel="0" collapsed="false">
      <c r="A66" s="2" t="s">
        <v>66</v>
      </c>
      <c r="B66" s="2" t="n">
        <v>2024</v>
      </c>
      <c r="C66" s="2" t="s">
        <v>55</v>
      </c>
      <c r="D66" s="2" t="n">
        <v>1</v>
      </c>
      <c r="E66" s="2" t="n">
        <v>32</v>
      </c>
      <c r="F66" s="2" t="s">
        <v>50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</v>
      </c>
      <c r="M66" s="3" t="n">
        <v>0</v>
      </c>
      <c r="N66" s="3" t="n">
        <v>0</v>
      </c>
      <c r="O66" s="3" t="n">
        <v>0</v>
      </c>
      <c r="P66" s="3" t="n">
        <v>1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0</v>
      </c>
      <c r="AB66" s="3" t="n">
        <v>1</v>
      </c>
      <c r="AC66" s="3" t="n">
        <v>1</v>
      </c>
      <c r="AD66" s="3" t="n">
        <v>1</v>
      </c>
      <c r="AE66" s="3" t="n">
        <v>1</v>
      </c>
      <c r="AF66" s="3" t="n">
        <v>1</v>
      </c>
      <c r="AG66" s="3" t="n">
        <v>0</v>
      </c>
      <c r="AH66" s="3" t="n">
        <v>0</v>
      </c>
      <c r="AI66" s="3" t="n">
        <v>0</v>
      </c>
      <c r="AJ66" s="4" t="n">
        <f aca="false">SUM(G66:AI66)</f>
        <v>8</v>
      </c>
      <c r="AK66" s="4" t="n">
        <f aca="false">ROUND(SUMPRODUCT(G66:AI66,Gene_Weights!$B$2:$AD$2),3)</f>
        <v>-4.72</v>
      </c>
      <c r="AL66" s="2" t="n">
        <v>7</v>
      </c>
      <c r="AM66" s="2" t="n">
        <v>5</v>
      </c>
      <c r="AN66" s="2" t="n">
        <v>71.43</v>
      </c>
      <c r="AO66" s="5" t="n">
        <v>58.19</v>
      </c>
      <c r="AP66" s="5" t="n">
        <v>59.74</v>
      </c>
      <c r="AQ66" s="5" t="n">
        <v>61.3</v>
      </c>
      <c r="AR66" s="5" t="n">
        <v>62.86</v>
      </c>
      <c r="AS66" s="5" t="n">
        <v>64.42</v>
      </c>
      <c r="AT66" s="5" t="n">
        <v>65.98</v>
      </c>
      <c r="AU66" s="5" t="n">
        <v>67.53</v>
      </c>
      <c r="AV66" s="5" t="s">
        <v>51</v>
      </c>
    </row>
    <row r="67" customFormat="false" ht="15" hidden="false" customHeight="false" outlineLevel="0" collapsed="false">
      <c r="A67" s="2" t="s">
        <v>66</v>
      </c>
      <c r="B67" s="2" t="n">
        <v>2024</v>
      </c>
      <c r="C67" s="2" t="s">
        <v>56</v>
      </c>
      <c r="D67" s="2" t="n">
        <v>0</v>
      </c>
      <c r="E67" s="2" t="n">
        <v>2</v>
      </c>
      <c r="F67" s="2" t="s">
        <v>50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0</v>
      </c>
      <c r="N67" s="3" t="n">
        <v>0</v>
      </c>
      <c r="O67" s="3" t="n">
        <v>0</v>
      </c>
      <c r="P67" s="3" t="n">
        <v>1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1</v>
      </c>
      <c r="Z67" s="3" t="n">
        <v>0</v>
      </c>
      <c r="AA67" s="3" t="n">
        <v>0</v>
      </c>
      <c r="AB67" s="3" t="n">
        <v>1</v>
      </c>
      <c r="AC67" s="3" t="n">
        <v>1</v>
      </c>
      <c r="AD67" s="3" t="n">
        <v>1</v>
      </c>
      <c r="AE67" s="3" t="n">
        <v>1</v>
      </c>
      <c r="AF67" s="3" t="n">
        <v>1</v>
      </c>
      <c r="AG67" s="3" t="n">
        <v>0</v>
      </c>
      <c r="AH67" s="3" t="n">
        <v>0</v>
      </c>
      <c r="AI67" s="3" t="n">
        <v>0</v>
      </c>
      <c r="AJ67" s="4" t="n">
        <f aca="false">SUM(G67:AI67)</f>
        <v>8</v>
      </c>
      <c r="AK67" s="4" t="n">
        <f aca="false">ROUND(SUMPRODUCT(G67:AI67,Gene_Weights!$B$2:$AD$2),3)</f>
        <v>-4.72</v>
      </c>
      <c r="AL67" s="2" t="n">
        <v>7</v>
      </c>
      <c r="AM67" s="2" t="n">
        <v>5</v>
      </c>
      <c r="AN67" s="2" t="n">
        <v>71.43</v>
      </c>
      <c r="AO67" s="5" t="n">
        <v>75.59</v>
      </c>
      <c r="AP67" s="5" t="n">
        <v>78.01</v>
      </c>
      <c r="AQ67" s="5" t="n">
        <v>80.42</v>
      </c>
      <c r="AR67" s="5" t="n">
        <v>82.83</v>
      </c>
      <c r="AS67" s="5" t="n">
        <v>85.24</v>
      </c>
      <c r="AT67" s="5" t="n">
        <v>87.66</v>
      </c>
      <c r="AU67" s="5" t="n">
        <v>90.07</v>
      </c>
      <c r="AV67" s="5" t="s">
        <v>51</v>
      </c>
    </row>
    <row r="68" customFormat="false" ht="15" hidden="false" customHeight="false" outlineLevel="0" collapsed="false">
      <c r="A68" s="2" t="s">
        <v>67</v>
      </c>
      <c r="B68" s="2" t="n">
        <v>2020</v>
      </c>
      <c r="C68" s="2" t="s">
        <v>49</v>
      </c>
      <c r="D68" s="2" t="n">
        <v>0</v>
      </c>
      <c r="E68" s="2" t="n">
        <v>16</v>
      </c>
      <c r="F68" s="2" t="s">
        <v>50</v>
      </c>
      <c r="G68" s="3" t="n">
        <v>1</v>
      </c>
      <c r="H68" s="3" t="n">
        <v>0</v>
      </c>
      <c r="I68" s="3" t="n">
        <v>1</v>
      </c>
      <c r="J68" s="3" t="n">
        <v>0</v>
      </c>
      <c r="K68" s="3" t="n">
        <v>1</v>
      </c>
      <c r="L68" s="3" t="n">
        <v>0</v>
      </c>
      <c r="M68" s="3" t="n">
        <v>0</v>
      </c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1</v>
      </c>
      <c r="X68" s="3" t="n">
        <v>1</v>
      </c>
      <c r="Y68" s="3" t="n">
        <v>1</v>
      </c>
      <c r="Z68" s="3" t="n">
        <v>0</v>
      </c>
      <c r="AA68" s="3" t="n">
        <v>1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</v>
      </c>
      <c r="AG68" s="3" t="n">
        <v>0</v>
      </c>
      <c r="AH68" s="3" t="n">
        <v>0</v>
      </c>
      <c r="AI68" s="3" t="n">
        <v>0</v>
      </c>
      <c r="AJ68" s="4" t="n">
        <f aca="false">SUM(G68:AI68)</f>
        <v>10</v>
      </c>
      <c r="AK68" s="4" t="n">
        <f aca="false">ROUND(SUMPRODUCT(G68:AI68,Gene_Weights!$B$2:$AD$2),3)</f>
        <v>-5</v>
      </c>
      <c r="AL68" s="2" t="n">
        <v>5</v>
      </c>
      <c r="AM68" s="2" t="n">
        <v>2</v>
      </c>
      <c r="AN68" s="2" t="n">
        <v>40</v>
      </c>
      <c r="AO68" s="5" t="n">
        <v>55.12</v>
      </c>
      <c r="AP68" s="5" t="n">
        <v>56.02</v>
      </c>
      <c r="AQ68" s="5" t="n">
        <v>56.92</v>
      </c>
      <c r="AR68" s="5" t="n">
        <v>57.82</v>
      </c>
      <c r="AS68" s="5" t="n">
        <v>58.72</v>
      </c>
      <c r="AT68" s="5" t="n">
        <v>59.62</v>
      </c>
      <c r="AU68" s="5" t="n">
        <v>60.52</v>
      </c>
      <c r="AV68" s="5" t="s">
        <v>51</v>
      </c>
    </row>
    <row r="69" customFormat="false" ht="15" hidden="false" customHeight="false" outlineLevel="0" collapsed="false">
      <c r="A69" s="2" t="s">
        <v>67</v>
      </c>
      <c r="B69" s="2" t="n">
        <v>2020</v>
      </c>
      <c r="C69" s="2" t="s">
        <v>52</v>
      </c>
      <c r="D69" s="2" t="n">
        <v>0</v>
      </c>
      <c r="E69" s="2" t="n">
        <v>32</v>
      </c>
      <c r="F69" s="2" t="s">
        <v>50</v>
      </c>
      <c r="G69" s="3" t="n">
        <v>1</v>
      </c>
      <c r="H69" s="3" t="n">
        <v>0</v>
      </c>
      <c r="I69" s="3" t="n">
        <v>1</v>
      </c>
      <c r="J69" s="3" t="n">
        <v>0</v>
      </c>
      <c r="K69" s="3" t="n">
        <v>1</v>
      </c>
      <c r="L69" s="3" t="n">
        <v>0</v>
      </c>
      <c r="M69" s="3" t="n">
        <v>0</v>
      </c>
      <c r="N69" s="3" t="n">
        <v>0</v>
      </c>
      <c r="O69" s="3" t="n">
        <v>1</v>
      </c>
      <c r="P69" s="3" t="n">
        <v>0</v>
      </c>
      <c r="Q69" s="3" t="n">
        <v>0</v>
      </c>
      <c r="R69" s="3" t="n">
        <v>0</v>
      </c>
      <c r="S69" s="3" t="n">
        <v>1</v>
      </c>
      <c r="T69" s="3" t="n">
        <v>0</v>
      </c>
      <c r="U69" s="3" t="n">
        <v>0</v>
      </c>
      <c r="V69" s="3" t="n">
        <v>0</v>
      </c>
      <c r="W69" s="3" t="n">
        <v>1</v>
      </c>
      <c r="X69" s="3" t="n">
        <v>1</v>
      </c>
      <c r="Y69" s="3" t="n">
        <v>1</v>
      </c>
      <c r="Z69" s="3" t="n">
        <v>0</v>
      </c>
      <c r="AA69" s="3" t="n">
        <v>1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1</v>
      </c>
      <c r="AG69" s="3" t="n">
        <v>0</v>
      </c>
      <c r="AH69" s="3" t="n">
        <v>0</v>
      </c>
      <c r="AI69" s="3" t="n">
        <v>0</v>
      </c>
      <c r="AJ69" s="4" t="n">
        <f aca="false">SUM(G69:AI69)</f>
        <v>10</v>
      </c>
      <c r="AK69" s="4" t="n">
        <f aca="false">ROUND(SUMPRODUCT(G69:AI69,Gene_Weights!$B$2:$AD$2),3)</f>
        <v>-5</v>
      </c>
      <c r="AL69" s="2" t="n">
        <v>5</v>
      </c>
      <c r="AM69" s="2" t="n">
        <v>4</v>
      </c>
      <c r="AN69" s="2" t="n">
        <v>80</v>
      </c>
      <c r="AO69" s="5" t="n">
        <v>64.53</v>
      </c>
      <c r="AP69" s="5" t="n">
        <v>66.13</v>
      </c>
      <c r="AQ69" s="5" t="n">
        <v>67.73</v>
      </c>
      <c r="AR69" s="5" t="n">
        <v>69.33</v>
      </c>
      <c r="AS69" s="5" t="n">
        <v>70.93</v>
      </c>
      <c r="AT69" s="5" t="n">
        <v>72.53</v>
      </c>
      <c r="AU69" s="5" t="n">
        <v>74.13</v>
      </c>
      <c r="AV69" s="5" t="s">
        <v>51</v>
      </c>
    </row>
    <row r="70" customFormat="false" ht="15" hidden="false" customHeight="false" outlineLevel="0" collapsed="false">
      <c r="A70" s="2" t="s">
        <v>67</v>
      </c>
      <c r="B70" s="2" t="n">
        <v>2020</v>
      </c>
      <c r="C70" s="2" t="s">
        <v>53</v>
      </c>
      <c r="D70" s="2" t="n">
        <v>0</v>
      </c>
      <c r="E70" s="2" t="n">
        <v>16</v>
      </c>
      <c r="F70" s="2" t="s">
        <v>50</v>
      </c>
      <c r="G70" s="3" t="n">
        <v>1</v>
      </c>
      <c r="H70" s="3" t="n">
        <v>0</v>
      </c>
      <c r="I70" s="3" t="n">
        <v>1</v>
      </c>
      <c r="J70" s="3" t="n">
        <v>0</v>
      </c>
      <c r="K70" s="3" t="n">
        <v>1</v>
      </c>
      <c r="L70" s="3" t="n">
        <v>0</v>
      </c>
      <c r="M70" s="3" t="n">
        <v>0</v>
      </c>
      <c r="N70" s="3" t="n">
        <v>0</v>
      </c>
      <c r="O70" s="3" t="n">
        <v>1</v>
      </c>
      <c r="P70" s="3" t="n">
        <v>0</v>
      </c>
      <c r="Q70" s="3" t="n">
        <v>0</v>
      </c>
      <c r="R70" s="3" t="n">
        <v>0</v>
      </c>
      <c r="S70" s="3" t="n">
        <v>1</v>
      </c>
      <c r="T70" s="3" t="n">
        <v>0</v>
      </c>
      <c r="U70" s="3" t="n">
        <v>0</v>
      </c>
      <c r="V70" s="3" t="n">
        <v>0</v>
      </c>
      <c r="W70" s="3" t="n">
        <v>1</v>
      </c>
      <c r="X70" s="3" t="n">
        <v>1</v>
      </c>
      <c r="Y70" s="3" t="n">
        <v>1</v>
      </c>
      <c r="Z70" s="3" t="n">
        <v>0</v>
      </c>
      <c r="AA70" s="3" t="n">
        <v>1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1</v>
      </c>
      <c r="AG70" s="3" t="n">
        <v>0</v>
      </c>
      <c r="AH70" s="3" t="n">
        <v>0</v>
      </c>
      <c r="AI70" s="3" t="n">
        <v>0</v>
      </c>
      <c r="AJ70" s="4" t="n">
        <f aca="false">SUM(G70:AI70)</f>
        <v>10</v>
      </c>
      <c r="AK70" s="4" t="n">
        <f aca="false">ROUND(SUMPRODUCT(G70:AI70,Gene_Weights!$B$2:$AD$2),3)</f>
        <v>-5</v>
      </c>
      <c r="AL70" s="2" t="n">
        <v>5</v>
      </c>
      <c r="AM70" s="2" t="n">
        <v>0</v>
      </c>
      <c r="AN70" s="2" t="n">
        <v>0</v>
      </c>
      <c r="AO70" s="5" t="n">
        <v>52.86</v>
      </c>
      <c r="AP70" s="5" t="n">
        <v>53.65</v>
      </c>
      <c r="AQ70" s="5" t="n">
        <v>54.45</v>
      </c>
      <c r="AR70" s="5" t="n">
        <v>55.24</v>
      </c>
      <c r="AS70" s="5" t="n">
        <v>56.03</v>
      </c>
      <c r="AT70" s="5" t="n">
        <v>56.83</v>
      </c>
      <c r="AU70" s="5" t="n">
        <v>57.62</v>
      </c>
      <c r="AV70" s="5" t="s">
        <v>51</v>
      </c>
    </row>
    <row r="71" customFormat="false" ht="15" hidden="false" customHeight="false" outlineLevel="0" collapsed="false">
      <c r="A71" s="2" t="s">
        <v>67</v>
      </c>
      <c r="B71" s="2" t="n">
        <v>2020</v>
      </c>
      <c r="C71" s="2" t="s">
        <v>54</v>
      </c>
      <c r="D71" s="2" t="n">
        <v>1</v>
      </c>
      <c r="E71" s="2" t="n">
        <v>4</v>
      </c>
      <c r="F71" s="2" t="s">
        <v>50</v>
      </c>
      <c r="G71" s="3" t="n">
        <v>1</v>
      </c>
      <c r="H71" s="3" t="n">
        <v>0</v>
      </c>
      <c r="I71" s="3" t="n">
        <v>1</v>
      </c>
      <c r="J71" s="3" t="n">
        <v>0</v>
      </c>
      <c r="K71" s="3" t="n">
        <v>1</v>
      </c>
      <c r="L71" s="3" t="n">
        <v>0</v>
      </c>
      <c r="M71" s="3" t="n">
        <v>0</v>
      </c>
      <c r="N71" s="3" t="n">
        <v>0</v>
      </c>
      <c r="O71" s="3" t="n">
        <v>1</v>
      </c>
      <c r="P71" s="3" t="n">
        <v>0</v>
      </c>
      <c r="Q71" s="3" t="n">
        <v>0</v>
      </c>
      <c r="R71" s="3" t="n">
        <v>0</v>
      </c>
      <c r="S71" s="3" t="n">
        <v>1</v>
      </c>
      <c r="T71" s="3" t="n">
        <v>0</v>
      </c>
      <c r="U71" s="3" t="n">
        <v>0</v>
      </c>
      <c r="V71" s="3" t="n">
        <v>0</v>
      </c>
      <c r="W71" s="3" t="n">
        <v>1</v>
      </c>
      <c r="X71" s="3" t="n">
        <v>1</v>
      </c>
      <c r="Y71" s="3" t="n">
        <v>1</v>
      </c>
      <c r="Z71" s="3" t="n">
        <v>0</v>
      </c>
      <c r="AA71" s="3" t="n">
        <v>1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</v>
      </c>
      <c r="AG71" s="3" t="n">
        <v>0</v>
      </c>
      <c r="AH71" s="3" t="n">
        <v>0</v>
      </c>
      <c r="AI71" s="3" t="n">
        <v>0</v>
      </c>
      <c r="AJ71" s="4" t="n">
        <f aca="false">SUM(G71:AI71)</f>
        <v>10</v>
      </c>
      <c r="AK71" s="4" t="n">
        <f aca="false">ROUND(SUMPRODUCT(G71:AI71,Gene_Weights!$B$2:$AD$2),3)</f>
        <v>-5</v>
      </c>
      <c r="AL71" s="2" t="n">
        <v>5</v>
      </c>
      <c r="AM71" s="2" t="n">
        <v>3</v>
      </c>
      <c r="AN71" s="2" t="n">
        <v>60</v>
      </c>
      <c r="AO71" s="5" t="n">
        <v>81.84</v>
      </c>
      <c r="AP71" s="5" t="n">
        <v>84.45</v>
      </c>
      <c r="AQ71" s="5" t="n">
        <v>87.06</v>
      </c>
      <c r="AR71" s="5" t="n">
        <v>89.67</v>
      </c>
      <c r="AS71" s="5" t="n">
        <v>92.27</v>
      </c>
      <c r="AT71" s="5" t="n">
        <v>94.88</v>
      </c>
      <c r="AU71" s="5" t="n">
        <v>97.49</v>
      </c>
      <c r="AV71" s="5" t="s">
        <v>51</v>
      </c>
    </row>
    <row r="72" customFormat="false" ht="15" hidden="false" customHeight="false" outlineLevel="0" collapsed="false">
      <c r="A72" s="2" t="s">
        <v>67</v>
      </c>
      <c r="B72" s="2" t="n">
        <v>2020</v>
      </c>
      <c r="C72" s="2" t="s">
        <v>55</v>
      </c>
      <c r="D72" s="2" t="n">
        <v>0</v>
      </c>
      <c r="E72" s="2" t="n">
        <v>4</v>
      </c>
      <c r="F72" s="2" t="s">
        <v>50</v>
      </c>
      <c r="G72" s="3" t="n">
        <v>1</v>
      </c>
      <c r="H72" s="3" t="n">
        <v>0</v>
      </c>
      <c r="I72" s="3" t="n">
        <v>1</v>
      </c>
      <c r="J72" s="3" t="n">
        <v>0</v>
      </c>
      <c r="K72" s="3" t="n">
        <v>1</v>
      </c>
      <c r="L72" s="3" t="n">
        <v>0</v>
      </c>
      <c r="M72" s="3" t="n">
        <v>0</v>
      </c>
      <c r="N72" s="3" t="n">
        <v>0</v>
      </c>
      <c r="O72" s="3" t="n">
        <v>1</v>
      </c>
      <c r="P72" s="3" t="n">
        <v>0</v>
      </c>
      <c r="Q72" s="3" t="n">
        <v>0</v>
      </c>
      <c r="R72" s="3" t="n">
        <v>0</v>
      </c>
      <c r="S72" s="3" t="n">
        <v>1</v>
      </c>
      <c r="T72" s="3" t="n">
        <v>0</v>
      </c>
      <c r="U72" s="3" t="n">
        <v>0</v>
      </c>
      <c r="V72" s="3" t="n">
        <v>0</v>
      </c>
      <c r="W72" s="3" t="n">
        <v>1</v>
      </c>
      <c r="X72" s="3" t="n">
        <v>1</v>
      </c>
      <c r="Y72" s="3" t="n">
        <v>1</v>
      </c>
      <c r="Z72" s="3" t="n">
        <v>0</v>
      </c>
      <c r="AA72" s="3" t="n">
        <v>1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1</v>
      </c>
      <c r="AG72" s="3" t="n">
        <v>0</v>
      </c>
      <c r="AH72" s="3" t="n">
        <v>0</v>
      </c>
      <c r="AI72" s="3" t="n">
        <v>0</v>
      </c>
      <c r="AJ72" s="4" t="n">
        <f aca="false">SUM(G72:AI72)</f>
        <v>10</v>
      </c>
      <c r="AK72" s="4" t="n">
        <f aca="false">ROUND(SUMPRODUCT(G72:AI72,Gene_Weights!$B$2:$AD$2),3)</f>
        <v>-5</v>
      </c>
      <c r="AL72" s="2" t="n">
        <v>5</v>
      </c>
      <c r="AM72" s="2" t="n">
        <v>1</v>
      </c>
      <c r="AN72" s="2" t="n">
        <v>20</v>
      </c>
      <c r="AO72" s="5" t="n">
        <v>58.19</v>
      </c>
      <c r="AP72" s="5" t="n">
        <v>59.74</v>
      </c>
      <c r="AQ72" s="5" t="n">
        <v>61.3</v>
      </c>
      <c r="AR72" s="5" t="n">
        <v>62.86</v>
      </c>
      <c r="AS72" s="5" t="n">
        <v>64.42</v>
      </c>
      <c r="AT72" s="5" t="n">
        <v>65.98</v>
      </c>
      <c r="AU72" s="5" t="n">
        <v>67.53</v>
      </c>
      <c r="AV72" s="5" t="s">
        <v>51</v>
      </c>
    </row>
    <row r="73" customFormat="false" ht="15" hidden="false" customHeight="false" outlineLevel="0" collapsed="false">
      <c r="A73" s="2" t="s">
        <v>67</v>
      </c>
      <c r="B73" s="2" t="n">
        <v>2020</v>
      </c>
      <c r="C73" s="2" t="s">
        <v>56</v>
      </c>
      <c r="D73" s="2" t="n">
        <v>0</v>
      </c>
      <c r="E73" s="2" t="n">
        <v>2</v>
      </c>
      <c r="F73" s="2" t="s">
        <v>50</v>
      </c>
      <c r="G73" s="3" t="n">
        <v>1</v>
      </c>
      <c r="H73" s="3" t="n">
        <v>0</v>
      </c>
      <c r="I73" s="3" t="n">
        <v>1</v>
      </c>
      <c r="J73" s="3" t="n">
        <v>0</v>
      </c>
      <c r="K73" s="3" t="n">
        <v>1</v>
      </c>
      <c r="L73" s="3" t="n">
        <v>0</v>
      </c>
      <c r="M73" s="3" t="n">
        <v>0</v>
      </c>
      <c r="N73" s="3" t="n">
        <v>0</v>
      </c>
      <c r="O73" s="3" t="n">
        <v>1</v>
      </c>
      <c r="P73" s="3" t="n">
        <v>0</v>
      </c>
      <c r="Q73" s="3" t="n">
        <v>0</v>
      </c>
      <c r="R73" s="3" t="n">
        <v>0</v>
      </c>
      <c r="S73" s="3" t="n">
        <v>1</v>
      </c>
      <c r="T73" s="3" t="n">
        <v>0</v>
      </c>
      <c r="U73" s="3" t="n">
        <v>0</v>
      </c>
      <c r="V73" s="3" t="n">
        <v>0</v>
      </c>
      <c r="W73" s="3" t="n">
        <v>1</v>
      </c>
      <c r="X73" s="3" t="n">
        <v>1</v>
      </c>
      <c r="Y73" s="3" t="n">
        <v>1</v>
      </c>
      <c r="Z73" s="3" t="n">
        <v>0</v>
      </c>
      <c r="AA73" s="3" t="n">
        <v>1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1</v>
      </c>
      <c r="AG73" s="3" t="n">
        <v>0</v>
      </c>
      <c r="AH73" s="3" t="n">
        <v>0</v>
      </c>
      <c r="AI73" s="3" t="n">
        <v>0</v>
      </c>
      <c r="AJ73" s="4" t="n">
        <f aca="false">SUM(G73:AI73)</f>
        <v>10</v>
      </c>
      <c r="AK73" s="4" t="n">
        <f aca="false">ROUND(SUMPRODUCT(G73:AI73,Gene_Weights!$B$2:$AD$2),3)</f>
        <v>-5</v>
      </c>
      <c r="AL73" s="2" t="n">
        <v>5</v>
      </c>
      <c r="AM73" s="2" t="n">
        <v>4</v>
      </c>
      <c r="AN73" s="2" t="n">
        <v>80</v>
      </c>
      <c r="AO73" s="5" t="n">
        <v>75.59</v>
      </c>
      <c r="AP73" s="5" t="n">
        <v>78.01</v>
      </c>
      <c r="AQ73" s="5" t="n">
        <v>80.42</v>
      </c>
      <c r="AR73" s="5" t="n">
        <v>82.83</v>
      </c>
      <c r="AS73" s="5" t="n">
        <v>85.24</v>
      </c>
      <c r="AT73" s="5" t="n">
        <v>87.66</v>
      </c>
      <c r="AU73" s="5" t="n">
        <v>90.07</v>
      </c>
      <c r="AV73" s="5" t="s">
        <v>51</v>
      </c>
    </row>
    <row r="74" customFormat="false" ht="15" hidden="false" customHeight="false" outlineLevel="0" collapsed="false">
      <c r="A74" s="2" t="s">
        <v>68</v>
      </c>
      <c r="B74" s="2" t="n">
        <v>2018</v>
      </c>
      <c r="C74" s="2" t="s">
        <v>49</v>
      </c>
      <c r="D74" s="2" t="n">
        <v>0</v>
      </c>
      <c r="E74" s="2" t="n">
        <v>32</v>
      </c>
      <c r="F74" s="2" t="s">
        <v>50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</v>
      </c>
      <c r="N74" s="3" t="n">
        <v>0</v>
      </c>
      <c r="O74" s="3" t="n">
        <v>0</v>
      </c>
      <c r="P74" s="3" t="n">
        <v>0</v>
      </c>
      <c r="Q74" s="3" t="n">
        <v>1</v>
      </c>
      <c r="R74" s="3" t="n">
        <v>0</v>
      </c>
      <c r="S74" s="3" t="n">
        <v>0</v>
      </c>
      <c r="T74" s="3" t="n">
        <v>0</v>
      </c>
      <c r="U74" s="3" t="n">
        <v>1</v>
      </c>
      <c r="V74" s="3" t="n">
        <v>0</v>
      </c>
      <c r="W74" s="3" t="n">
        <v>1</v>
      </c>
      <c r="X74" s="3" t="n">
        <v>1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1</v>
      </c>
      <c r="AH74" s="3" t="n">
        <v>0</v>
      </c>
      <c r="AI74" s="3" t="n">
        <v>0</v>
      </c>
      <c r="AJ74" s="4" t="n">
        <f aca="false">SUM(G74:AI74)</f>
        <v>7</v>
      </c>
      <c r="AK74" s="4" t="n">
        <f aca="false">ROUND(SUMPRODUCT(G74:AI74,Gene_Weights!$B$2:$AD$2),3)</f>
        <v>-6.19</v>
      </c>
      <c r="AL74" s="2" t="n">
        <v>3</v>
      </c>
      <c r="AM74" s="2" t="n">
        <v>2</v>
      </c>
      <c r="AN74" s="2" t="n">
        <v>66.67</v>
      </c>
      <c r="AO74" s="5" t="n">
        <v>55.12</v>
      </c>
      <c r="AP74" s="5" t="n">
        <v>56.02</v>
      </c>
      <c r="AQ74" s="5" t="n">
        <v>56.92</v>
      </c>
      <c r="AR74" s="5" t="n">
        <v>57.82</v>
      </c>
      <c r="AS74" s="5" t="n">
        <v>58.72</v>
      </c>
      <c r="AT74" s="5" t="n">
        <v>59.62</v>
      </c>
      <c r="AU74" s="5" t="n">
        <v>60.52</v>
      </c>
      <c r="AV74" s="5" t="s">
        <v>51</v>
      </c>
    </row>
    <row r="75" customFormat="false" ht="15" hidden="false" customHeight="false" outlineLevel="0" collapsed="false">
      <c r="A75" s="2" t="s">
        <v>68</v>
      </c>
      <c r="B75" s="2" t="n">
        <v>2018</v>
      </c>
      <c r="C75" s="2" t="s">
        <v>52</v>
      </c>
      <c r="D75" s="2" t="n">
        <v>1</v>
      </c>
      <c r="E75" s="2" t="n">
        <v>32</v>
      </c>
      <c r="F75" s="2" t="s">
        <v>50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</v>
      </c>
      <c r="N75" s="3" t="n">
        <v>0</v>
      </c>
      <c r="O75" s="3" t="n">
        <v>0</v>
      </c>
      <c r="P75" s="3" t="n">
        <v>0</v>
      </c>
      <c r="Q75" s="3" t="n">
        <v>1</v>
      </c>
      <c r="R75" s="3" t="n">
        <v>0</v>
      </c>
      <c r="S75" s="3" t="n">
        <v>0</v>
      </c>
      <c r="T75" s="3" t="n">
        <v>0</v>
      </c>
      <c r="U75" s="3" t="n">
        <v>1</v>
      </c>
      <c r="V75" s="3" t="n">
        <v>0</v>
      </c>
      <c r="W75" s="3" t="n">
        <v>1</v>
      </c>
      <c r="X75" s="3" t="n">
        <v>1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1</v>
      </c>
      <c r="AH75" s="3" t="n">
        <v>0</v>
      </c>
      <c r="AI75" s="3" t="n">
        <v>0</v>
      </c>
      <c r="AJ75" s="4" t="n">
        <f aca="false">SUM(G75:AI75)</f>
        <v>7</v>
      </c>
      <c r="AK75" s="4" t="n">
        <f aca="false">ROUND(SUMPRODUCT(G75:AI75,Gene_Weights!$B$2:$AD$2),3)</f>
        <v>-6.19</v>
      </c>
      <c r="AL75" s="2" t="n">
        <v>3</v>
      </c>
      <c r="AM75" s="2" t="n">
        <v>1</v>
      </c>
      <c r="AN75" s="2" t="n">
        <v>33.33</v>
      </c>
      <c r="AO75" s="5" t="n">
        <v>64.53</v>
      </c>
      <c r="AP75" s="5" t="n">
        <v>66.13</v>
      </c>
      <c r="AQ75" s="5" t="n">
        <v>67.73</v>
      </c>
      <c r="AR75" s="5" t="n">
        <v>69.33</v>
      </c>
      <c r="AS75" s="5" t="n">
        <v>70.93</v>
      </c>
      <c r="AT75" s="5" t="n">
        <v>72.53</v>
      </c>
      <c r="AU75" s="5" t="n">
        <v>74.13</v>
      </c>
      <c r="AV75" s="5" t="s">
        <v>51</v>
      </c>
    </row>
    <row r="76" customFormat="false" ht="15" hidden="false" customHeight="false" outlineLevel="0" collapsed="false">
      <c r="A76" s="2" t="s">
        <v>68</v>
      </c>
      <c r="B76" s="2" t="n">
        <v>2018</v>
      </c>
      <c r="C76" s="2" t="s">
        <v>53</v>
      </c>
      <c r="D76" s="2" t="n">
        <v>0</v>
      </c>
      <c r="E76" s="2" t="n">
        <v>16</v>
      </c>
      <c r="F76" s="2" t="s">
        <v>50</v>
      </c>
      <c r="G76" s="3" t="n">
        <v>1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s="3" t="n">
        <v>0</v>
      </c>
      <c r="Q76" s="3" t="n">
        <v>1</v>
      </c>
      <c r="R76" s="3" t="n">
        <v>0</v>
      </c>
      <c r="S76" s="3" t="n">
        <v>0</v>
      </c>
      <c r="T76" s="3" t="n">
        <v>0</v>
      </c>
      <c r="U76" s="3" t="n">
        <v>1</v>
      </c>
      <c r="V76" s="3" t="n">
        <v>0</v>
      </c>
      <c r="W76" s="3" t="n">
        <v>1</v>
      </c>
      <c r="X76" s="3" t="n">
        <v>1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1</v>
      </c>
      <c r="AH76" s="3" t="n">
        <v>0</v>
      </c>
      <c r="AI76" s="3" t="n">
        <v>0</v>
      </c>
      <c r="AJ76" s="4" t="n">
        <f aca="false">SUM(G76:AI76)</f>
        <v>7</v>
      </c>
      <c r="AK76" s="4" t="n">
        <f aca="false">ROUND(SUMPRODUCT(G76:AI76,Gene_Weights!$B$2:$AD$2),3)</f>
        <v>-6.19</v>
      </c>
      <c r="AL76" s="2" t="n">
        <v>3</v>
      </c>
      <c r="AM76" s="2" t="n">
        <v>0</v>
      </c>
      <c r="AN76" s="2" t="n">
        <v>0</v>
      </c>
      <c r="AO76" s="5" t="n">
        <v>52.86</v>
      </c>
      <c r="AP76" s="5" t="n">
        <v>53.65</v>
      </c>
      <c r="AQ76" s="5" t="n">
        <v>54.45</v>
      </c>
      <c r="AR76" s="5" t="n">
        <v>55.24</v>
      </c>
      <c r="AS76" s="5" t="n">
        <v>56.03</v>
      </c>
      <c r="AT76" s="5" t="n">
        <v>56.83</v>
      </c>
      <c r="AU76" s="5" t="n">
        <v>57.62</v>
      </c>
      <c r="AV76" s="5" t="s">
        <v>51</v>
      </c>
    </row>
    <row r="77" customFormat="false" ht="15" hidden="false" customHeight="false" outlineLevel="0" collapsed="false">
      <c r="A77" s="2" t="s">
        <v>68</v>
      </c>
      <c r="B77" s="2" t="n">
        <v>2018</v>
      </c>
      <c r="C77" s="2" t="s">
        <v>54</v>
      </c>
      <c r="D77" s="2" t="n">
        <v>1</v>
      </c>
      <c r="E77" s="2" t="n">
        <v>16</v>
      </c>
      <c r="F77" s="2" t="s">
        <v>50</v>
      </c>
      <c r="G77" s="3" t="n">
        <v>1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</v>
      </c>
      <c r="N77" s="3" t="n">
        <v>0</v>
      </c>
      <c r="O77" s="3" t="n">
        <v>0</v>
      </c>
      <c r="P77" s="3" t="n">
        <v>0</v>
      </c>
      <c r="Q77" s="3" t="n">
        <v>1</v>
      </c>
      <c r="R77" s="3" t="n">
        <v>0</v>
      </c>
      <c r="S77" s="3" t="n">
        <v>0</v>
      </c>
      <c r="T77" s="3" t="n">
        <v>0</v>
      </c>
      <c r="U77" s="3" t="n">
        <v>1</v>
      </c>
      <c r="V77" s="3" t="n">
        <v>0</v>
      </c>
      <c r="W77" s="3" t="n">
        <v>1</v>
      </c>
      <c r="X77" s="3" t="n">
        <v>1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1</v>
      </c>
      <c r="AH77" s="3" t="n">
        <v>0</v>
      </c>
      <c r="AI77" s="3" t="n">
        <v>0</v>
      </c>
      <c r="AJ77" s="4" t="n">
        <f aca="false">SUM(G77:AI77)</f>
        <v>7</v>
      </c>
      <c r="AK77" s="4" t="n">
        <f aca="false">ROUND(SUMPRODUCT(G77:AI77,Gene_Weights!$B$2:$AD$2),3)</f>
        <v>-6.19</v>
      </c>
      <c r="AL77" s="2" t="n">
        <v>3</v>
      </c>
      <c r="AM77" s="2" t="n">
        <v>3</v>
      </c>
      <c r="AN77" s="2" t="n">
        <v>100</v>
      </c>
      <c r="AO77" s="5" t="n">
        <v>81.84</v>
      </c>
      <c r="AP77" s="5" t="n">
        <v>84.45</v>
      </c>
      <c r="AQ77" s="5" t="n">
        <v>87.06</v>
      </c>
      <c r="AR77" s="5" t="n">
        <v>89.67</v>
      </c>
      <c r="AS77" s="5" t="n">
        <v>92.27</v>
      </c>
      <c r="AT77" s="5" t="n">
        <v>94.88</v>
      </c>
      <c r="AU77" s="5" t="n">
        <v>97.49</v>
      </c>
      <c r="AV77" s="5" t="s">
        <v>51</v>
      </c>
    </row>
    <row r="78" customFormat="false" ht="15" hidden="false" customHeight="false" outlineLevel="0" collapsed="false">
      <c r="A78" s="2" t="s">
        <v>68</v>
      </c>
      <c r="B78" s="2" t="n">
        <v>2018</v>
      </c>
      <c r="C78" s="2" t="s">
        <v>55</v>
      </c>
      <c r="D78" s="2" t="n">
        <v>0</v>
      </c>
      <c r="E78" s="2" t="n">
        <v>16</v>
      </c>
      <c r="F78" s="2" t="s">
        <v>50</v>
      </c>
      <c r="G78" s="3" t="n">
        <v>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 t="n">
        <v>0</v>
      </c>
      <c r="P78" s="3" t="n">
        <v>0</v>
      </c>
      <c r="Q78" s="3" t="n">
        <v>1</v>
      </c>
      <c r="R78" s="3" t="n">
        <v>0</v>
      </c>
      <c r="S78" s="3" t="n">
        <v>0</v>
      </c>
      <c r="T78" s="3" t="n">
        <v>0</v>
      </c>
      <c r="U78" s="3" t="n">
        <v>1</v>
      </c>
      <c r="V78" s="3" t="n">
        <v>0</v>
      </c>
      <c r="W78" s="3" t="n">
        <v>1</v>
      </c>
      <c r="X78" s="3" t="n">
        <v>1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1</v>
      </c>
      <c r="AH78" s="3" t="n">
        <v>0</v>
      </c>
      <c r="AI78" s="3" t="n">
        <v>0</v>
      </c>
      <c r="AJ78" s="4" t="n">
        <f aca="false">SUM(G78:AI78)</f>
        <v>7</v>
      </c>
      <c r="AK78" s="4" t="n">
        <f aca="false">ROUND(SUMPRODUCT(G78:AI78,Gene_Weights!$B$2:$AD$2),3)</f>
        <v>-6.19</v>
      </c>
      <c r="AL78" s="2" t="n">
        <v>3</v>
      </c>
      <c r="AM78" s="2" t="n">
        <v>1</v>
      </c>
      <c r="AN78" s="2" t="n">
        <v>33.33</v>
      </c>
      <c r="AO78" s="5" t="n">
        <v>58.19</v>
      </c>
      <c r="AP78" s="5" t="n">
        <v>59.74</v>
      </c>
      <c r="AQ78" s="5" t="n">
        <v>61.3</v>
      </c>
      <c r="AR78" s="5" t="n">
        <v>62.86</v>
      </c>
      <c r="AS78" s="5" t="n">
        <v>64.42</v>
      </c>
      <c r="AT78" s="5" t="n">
        <v>65.98</v>
      </c>
      <c r="AU78" s="5" t="n">
        <v>67.53</v>
      </c>
      <c r="AV78" s="5" t="s">
        <v>51</v>
      </c>
    </row>
    <row r="79" customFormat="false" ht="15" hidden="false" customHeight="false" outlineLevel="0" collapsed="false">
      <c r="A79" s="2" t="s">
        <v>68</v>
      </c>
      <c r="B79" s="2" t="n">
        <v>2018</v>
      </c>
      <c r="C79" s="2" t="s">
        <v>56</v>
      </c>
      <c r="D79" s="2" t="n">
        <v>0</v>
      </c>
      <c r="E79" s="2" t="n">
        <v>2</v>
      </c>
      <c r="F79" s="2" t="s">
        <v>50</v>
      </c>
      <c r="G79" s="3" t="n">
        <v>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</v>
      </c>
      <c r="N79" s="3" t="n">
        <v>0</v>
      </c>
      <c r="O79" s="3" t="n">
        <v>0</v>
      </c>
      <c r="P79" s="3" t="n">
        <v>0</v>
      </c>
      <c r="Q79" s="3" t="n">
        <v>1</v>
      </c>
      <c r="R79" s="3" t="n">
        <v>0</v>
      </c>
      <c r="S79" s="3" t="n">
        <v>0</v>
      </c>
      <c r="T79" s="3" t="n">
        <v>0</v>
      </c>
      <c r="U79" s="3" t="n">
        <v>1</v>
      </c>
      <c r="V79" s="3" t="n">
        <v>0</v>
      </c>
      <c r="W79" s="3" t="n">
        <v>1</v>
      </c>
      <c r="X79" s="3" t="n">
        <v>1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1</v>
      </c>
      <c r="AH79" s="3" t="n">
        <v>0</v>
      </c>
      <c r="AI79" s="3" t="n">
        <v>0</v>
      </c>
      <c r="AJ79" s="4" t="n">
        <f aca="false">SUM(G79:AI79)</f>
        <v>7</v>
      </c>
      <c r="AK79" s="4" t="n">
        <f aca="false">ROUND(SUMPRODUCT(G79:AI79,Gene_Weights!$B$2:$AD$2),3)</f>
        <v>-6.19</v>
      </c>
      <c r="AL79" s="2" t="n">
        <v>3</v>
      </c>
      <c r="AM79" s="2" t="n">
        <v>2</v>
      </c>
      <c r="AN79" s="2" t="n">
        <v>66.67</v>
      </c>
      <c r="AO79" s="5" t="n">
        <v>75.59</v>
      </c>
      <c r="AP79" s="5" t="n">
        <v>78.01</v>
      </c>
      <c r="AQ79" s="5" t="n">
        <v>80.42</v>
      </c>
      <c r="AR79" s="5" t="n">
        <v>82.83</v>
      </c>
      <c r="AS79" s="5" t="n">
        <v>85.24</v>
      </c>
      <c r="AT79" s="5" t="n">
        <v>87.66</v>
      </c>
      <c r="AU79" s="5" t="n">
        <v>90.07</v>
      </c>
      <c r="AV79" s="5" t="s">
        <v>51</v>
      </c>
    </row>
    <row r="80" customFormat="false" ht="15" hidden="false" customHeight="false" outlineLevel="0" collapsed="false">
      <c r="A80" s="2" t="s">
        <v>69</v>
      </c>
      <c r="B80" s="2" t="n">
        <v>2022</v>
      </c>
      <c r="C80" s="2" t="s">
        <v>49</v>
      </c>
      <c r="D80" s="2" t="n">
        <v>0</v>
      </c>
      <c r="E80" s="2" t="n">
        <v>2</v>
      </c>
      <c r="F80" s="2" t="s">
        <v>50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</v>
      </c>
      <c r="N80" s="3" t="n">
        <v>0</v>
      </c>
      <c r="O80" s="3" t="n">
        <v>0</v>
      </c>
      <c r="P80" s="3" t="n">
        <v>0</v>
      </c>
      <c r="Q80" s="3" t="n">
        <v>1</v>
      </c>
      <c r="R80" s="3" t="n">
        <v>1</v>
      </c>
      <c r="S80" s="3" t="n">
        <v>0</v>
      </c>
      <c r="T80" s="3" t="n">
        <v>0</v>
      </c>
      <c r="U80" s="3" t="n">
        <v>0</v>
      </c>
      <c r="V80" s="3" t="n">
        <v>1</v>
      </c>
      <c r="W80" s="3" t="n">
        <v>0</v>
      </c>
      <c r="X80" s="3" t="n">
        <v>1</v>
      </c>
      <c r="Y80" s="3" t="n">
        <v>1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1</v>
      </c>
      <c r="AE80" s="3" t="n">
        <v>1</v>
      </c>
      <c r="AF80" s="3" t="n">
        <v>0</v>
      </c>
      <c r="AG80" s="3" t="n">
        <v>0</v>
      </c>
      <c r="AH80" s="3" t="n">
        <v>1</v>
      </c>
      <c r="AI80" s="3" t="n">
        <v>0</v>
      </c>
      <c r="AJ80" s="4" t="n">
        <f aca="false">SUM(G80:AI80)</f>
        <v>9</v>
      </c>
      <c r="AK80" s="4" t="n">
        <f aca="false">ROUND(SUMPRODUCT(G80:AI80,Gene_Weights!$B$2:$AD$2),3)</f>
        <v>-7.86</v>
      </c>
      <c r="AL80" s="2" t="n">
        <v>6</v>
      </c>
      <c r="AM80" s="2" t="n">
        <v>4</v>
      </c>
      <c r="AN80" s="2" t="n">
        <v>66.67</v>
      </c>
      <c r="AO80" s="5" t="n">
        <v>55.12</v>
      </c>
      <c r="AP80" s="5" t="n">
        <v>56.02</v>
      </c>
      <c r="AQ80" s="5" t="n">
        <v>56.92</v>
      </c>
      <c r="AR80" s="5" t="n">
        <v>57.82</v>
      </c>
      <c r="AS80" s="5" t="n">
        <v>58.72</v>
      </c>
      <c r="AT80" s="5" t="n">
        <v>59.62</v>
      </c>
      <c r="AU80" s="5" t="n">
        <v>60.52</v>
      </c>
      <c r="AV80" s="5" t="s">
        <v>51</v>
      </c>
    </row>
    <row r="81" customFormat="false" ht="15" hidden="false" customHeight="false" outlineLevel="0" collapsed="false">
      <c r="A81" s="2" t="s">
        <v>69</v>
      </c>
      <c r="B81" s="2" t="n">
        <v>2022</v>
      </c>
      <c r="C81" s="2" t="s">
        <v>52</v>
      </c>
      <c r="D81" s="2" t="n">
        <v>0</v>
      </c>
      <c r="E81" s="2" t="n">
        <v>2</v>
      </c>
      <c r="F81" s="2" t="s">
        <v>50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</v>
      </c>
      <c r="N81" s="3" t="n">
        <v>0</v>
      </c>
      <c r="O81" s="3" t="n">
        <v>0</v>
      </c>
      <c r="P81" s="3" t="n">
        <v>0</v>
      </c>
      <c r="Q81" s="3" t="n">
        <v>1</v>
      </c>
      <c r="R81" s="3" t="n">
        <v>1</v>
      </c>
      <c r="S81" s="3" t="n">
        <v>0</v>
      </c>
      <c r="T81" s="3" t="n">
        <v>0</v>
      </c>
      <c r="U81" s="3" t="n">
        <v>0</v>
      </c>
      <c r="V81" s="3" t="n">
        <v>1</v>
      </c>
      <c r="W81" s="3" t="n">
        <v>0</v>
      </c>
      <c r="X81" s="3" t="n">
        <v>1</v>
      </c>
      <c r="Y81" s="3" t="n">
        <v>1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1</v>
      </c>
      <c r="AE81" s="3" t="n">
        <v>1</v>
      </c>
      <c r="AF81" s="3" t="n">
        <v>0</v>
      </c>
      <c r="AG81" s="3" t="n">
        <v>0</v>
      </c>
      <c r="AH81" s="3" t="n">
        <v>1</v>
      </c>
      <c r="AI81" s="3" t="n">
        <v>0</v>
      </c>
      <c r="AJ81" s="4" t="n">
        <f aca="false">SUM(G81:AI81)</f>
        <v>9</v>
      </c>
      <c r="AK81" s="4" t="n">
        <f aca="false">ROUND(SUMPRODUCT(G81:AI81,Gene_Weights!$B$2:$AD$2),3)</f>
        <v>-7.86</v>
      </c>
      <c r="AL81" s="2" t="n">
        <v>6</v>
      </c>
      <c r="AM81" s="2" t="n">
        <v>2</v>
      </c>
      <c r="AN81" s="2" t="n">
        <v>33.33</v>
      </c>
      <c r="AO81" s="5" t="n">
        <v>64.53</v>
      </c>
      <c r="AP81" s="5" t="n">
        <v>66.13</v>
      </c>
      <c r="AQ81" s="5" t="n">
        <v>67.73</v>
      </c>
      <c r="AR81" s="5" t="n">
        <v>69.33</v>
      </c>
      <c r="AS81" s="5" t="n">
        <v>70.93</v>
      </c>
      <c r="AT81" s="5" t="n">
        <v>72.53</v>
      </c>
      <c r="AU81" s="5" t="n">
        <v>74.13</v>
      </c>
      <c r="AV81" s="5" t="s">
        <v>51</v>
      </c>
    </row>
    <row r="82" customFormat="false" ht="15" hidden="false" customHeight="false" outlineLevel="0" collapsed="false">
      <c r="A82" s="2" t="s">
        <v>69</v>
      </c>
      <c r="B82" s="2" t="n">
        <v>2022</v>
      </c>
      <c r="C82" s="2" t="s">
        <v>53</v>
      </c>
      <c r="D82" s="2" t="n">
        <v>1</v>
      </c>
      <c r="E82" s="2" t="n">
        <v>4</v>
      </c>
      <c r="F82" s="2" t="s">
        <v>50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</v>
      </c>
      <c r="N82" s="3" t="n">
        <v>0</v>
      </c>
      <c r="O82" s="3" t="n">
        <v>0</v>
      </c>
      <c r="P82" s="3" t="n">
        <v>0</v>
      </c>
      <c r="Q82" s="3" t="n">
        <v>1</v>
      </c>
      <c r="R82" s="3" t="n">
        <v>1</v>
      </c>
      <c r="S82" s="3" t="n">
        <v>0</v>
      </c>
      <c r="T82" s="3" t="n">
        <v>0</v>
      </c>
      <c r="U82" s="3" t="n">
        <v>0</v>
      </c>
      <c r="V82" s="3" t="n">
        <v>1</v>
      </c>
      <c r="W82" s="3" t="n">
        <v>0</v>
      </c>
      <c r="X82" s="3" t="n">
        <v>1</v>
      </c>
      <c r="Y82" s="3" t="n">
        <v>1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</v>
      </c>
      <c r="AE82" s="3" t="n">
        <v>1</v>
      </c>
      <c r="AF82" s="3" t="n">
        <v>0</v>
      </c>
      <c r="AG82" s="3" t="n">
        <v>0</v>
      </c>
      <c r="AH82" s="3" t="n">
        <v>1</v>
      </c>
      <c r="AI82" s="3" t="n">
        <v>0</v>
      </c>
      <c r="AJ82" s="4" t="n">
        <f aca="false">SUM(G82:AI82)</f>
        <v>9</v>
      </c>
      <c r="AK82" s="4" t="n">
        <f aca="false">ROUND(SUMPRODUCT(G82:AI82,Gene_Weights!$B$2:$AD$2),3)</f>
        <v>-7.86</v>
      </c>
      <c r="AL82" s="2" t="n">
        <v>6</v>
      </c>
      <c r="AM82" s="2" t="n">
        <v>5</v>
      </c>
      <c r="AN82" s="2" t="n">
        <v>83.33</v>
      </c>
      <c r="AO82" s="5" t="n">
        <v>52.86</v>
      </c>
      <c r="AP82" s="5" t="n">
        <v>53.65</v>
      </c>
      <c r="AQ82" s="5" t="n">
        <v>54.45</v>
      </c>
      <c r="AR82" s="5" t="n">
        <v>55.24</v>
      </c>
      <c r="AS82" s="5" t="n">
        <v>56.03</v>
      </c>
      <c r="AT82" s="5" t="n">
        <v>56.83</v>
      </c>
      <c r="AU82" s="5" t="n">
        <v>57.62</v>
      </c>
      <c r="AV82" s="5" t="s">
        <v>51</v>
      </c>
    </row>
    <row r="83" customFormat="false" ht="15" hidden="false" customHeight="false" outlineLevel="0" collapsed="false">
      <c r="A83" s="2" t="s">
        <v>69</v>
      </c>
      <c r="B83" s="2" t="n">
        <v>2022</v>
      </c>
      <c r="C83" s="2" t="s">
        <v>54</v>
      </c>
      <c r="D83" s="2" t="n">
        <v>1</v>
      </c>
      <c r="E83" s="2" t="n">
        <v>2</v>
      </c>
      <c r="F83" s="2" t="s">
        <v>50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</v>
      </c>
      <c r="N83" s="3" t="n">
        <v>0</v>
      </c>
      <c r="O83" s="3" t="n">
        <v>0</v>
      </c>
      <c r="P83" s="3" t="n">
        <v>0</v>
      </c>
      <c r="Q83" s="3" t="n">
        <v>1</v>
      </c>
      <c r="R83" s="3" t="n">
        <v>1</v>
      </c>
      <c r="S83" s="3" t="n">
        <v>0</v>
      </c>
      <c r="T83" s="3" t="n">
        <v>0</v>
      </c>
      <c r="U83" s="3" t="n">
        <v>0</v>
      </c>
      <c r="V83" s="3" t="n">
        <v>1</v>
      </c>
      <c r="W83" s="3" t="n">
        <v>0</v>
      </c>
      <c r="X83" s="3" t="n">
        <v>1</v>
      </c>
      <c r="Y83" s="3" t="n">
        <v>1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1</v>
      </c>
      <c r="AE83" s="3" t="n">
        <v>1</v>
      </c>
      <c r="AF83" s="3" t="n">
        <v>0</v>
      </c>
      <c r="AG83" s="3" t="n">
        <v>0</v>
      </c>
      <c r="AH83" s="3" t="n">
        <v>1</v>
      </c>
      <c r="AI83" s="3" t="n">
        <v>0</v>
      </c>
      <c r="AJ83" s="4" t="n">
        <f aca="false">SUM(G83:AI83)</f>
        <v>9</v>
      </c>
      <c r="AK83" s="4" t="n">
        <f aca="false">ROUND(SUMPRODUCT(G83:AI83,Gene_Weights!$B$2:$AD$2),3)</f>
        <v>-7.86</v>
      </c>
      <c r="AL83" s="2" t="n">
        <v>6</v>
      </c>
      <c r="AM83" s="2" t="n">
        <v>4</v>
      </c>
      <c r="AN83" s="2" t="n">
        <v>66.67</v>
      </c>
      <c r="AO83" s="5" t="n">
        <v>81.84</v>
      </c>
      <c r="AP83" s="5" t="n">
        <v>84.45</v>
      </c>
      <c r="AQ83" s="5" t="n">
        <v>87.06</v>
      </c>
      <c r="AR83" s="5" t="n">
        <v>89.67</v>
      </c>
      <c r="AS83" s="5" t="n">
        <v>92.27</v>
      </c>
      <c r="AT83" s="5" t="n">
        <v>94.88</v>
      </c>
      <c r="AU83" s="5" t="n">
        <v>97.49</v>
      </c>
      <c r="AV83" s="5" t="s">
        <v>51</v>
      </c>
    </row>
    <row r="84" customFormat="false" ht="15" hidden="false" customHeight="false" outlineLevel="0" collapsed="false">
      <c r="A84" s="2" t="s">
        <v>69</v>
      </c>
      <c r="B84" s="2" t="n">
        <v>2022</v>
      </c>
      <c r="C84" s="2" t="s">
        <v>55</v>
      </c>
      <c r="D84" s="2" t="n">
        <v>1</v>
      </c>
      <c r="E84" s="2" t="n">
        <v>2</v>
      </c>
      <c r="F84" s="2" t="s">
        <v>50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1</v>
      </c>
      <c r="R84" s="3" t="n">
        <v>1</v>
      </c>
      <c r="S84" s="3" t="n">
        <v>0</v>
      </c>
      <c r="T84" s="3" t="n">
        <v>0</v>
      </c>
      <c r="U84" s="3" t="n">
        <v>0</v>
      </c>
      <c r="V84" s="3" t="n">
        <v>1</v>
      </c>
      <c r="W84" s="3" t="n">
        <v>0</v>
      </c>
      <c r="X84" s="3" t="n">
        <v>1</v>
      </c>
      <c r="Y84" s="3" t="n">
        <v>1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</v>
      </c>
      <c r="AE84" s="3" t="n">
        <v>1</v>
      </c>
      <c r="AF84" s="3" t="n">
        <v>0</v>
      </c>
      <c r="AG84" s="3" t="n">
        <v>0</v>
      </c>
      <c r="AH84" s="3" t="n">
        <v>1</v>
      </c>
      <c r="AI84" s="3" t="n">
        <v>0</v>
      </c>
      <c r="AJ84" s="4" t="n">
        <f aca="false">SUM(G84:AI84)</f>
        <v>9</v>
      </c>
      <c r="AK84" s="4" t="n">
        <f aca="false">ROUND(SUMPRODUCT(G84:AI84,Gene_Weights!$B$2:$AD$2),3)</f>
        <v>-7.86</v>
      </c>
      <c r="AL84" s="2" t="n">
        <v>6</v>
      </c>
      <c r="AM84" s="2" t="n">
        <v>3</v>
      </c>
      <c r="AN84" s="2" t="n">
        <v>50</v>
      </c>
      <c r="AO84" s="5" t="n">
        <v>58.19</v>
      </c>
      <c r="AP84" s="5" t="n">
        <v>59.74</v>
      </c>
      <c r="AQ84" s="5" t="n">
        <v>61.3</v>
      </c>
      <c r="AR84" s="5" t="n">
        <v>62.86</v>
      </c>
      <c r="AS84" s="5" t="n">
        <v>64.42</v>
      </c>
      <c r="AT84" s="5" t="n">
        <v>65.98</v>
      </c>
      <c r="AU84" s="5" t="n">
        <v>67.53</v>
      </c>
      <c r="AV84" s="5" t="s">
        <v>51</v>
      </c>
    </row>
    <row r="85" customFormat="false" ht="15" hidden="false" customHeight="false" outlineLevel="0" collapsed="false">
      <c r="A85" s="2" t="s">
        <v>69</v>
      </c>
      <c r="B85" s="2" t="n">
        <v>2022</v>
      </c>
      <c r="C85" s="2" t="s">
        <v>56</v>
      </c>
      <c r="D85" s="2" t="n">
        <v>1</v>
      </c>
      <c r="E85" s="2" t="n">
        <v>32</v>
      </c>
      <c r="F85" s="2" t="s">
        <v>50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</v>
      </c>
      <c r="N85" s="3" t="n">
        <v>0</v>
      </c>
      <c r="O85" s="3" t="n">
        <v>0</v>
      </c>
      <c r="P85" s="3" t="n">
        <v>0</v>
      </c>
      <c r="Q85" s="3" t="n">
        <v>1</v>
      </c>
      <c r="R85" s="3" t="n">
        <v>1</v>
      </c>
      <c r="S85" s="3" t="n">
        <v>0</v>
      </c>
      <c r="T85" s="3" t="n">
        <v>0</v>
      </c>
      <c r="U85" s="3" t="n">
        <v>0</v>
      </c>
      <c r="V85" s="3" t="n">
        <v>1</v>
      </c>
      <c r="W85" s="3" t="n">
        <v>0</v>
      </c>
      <c r="X85" s="3" t="n">
        <v>1</v>
      </c>
      <c r="Y85" s="3" t="n">
        <v>1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1</v>
      </c>
      <c r="AE85" s="3" t="n">
        <v>1</v>
      </c>
      <c r="AF85" s="3" t="n">
        <v>0</v>
      </c>
      <c r="AG85" s="3" t="n">
        <v>0</v>
      </c>
      <c r="AH85" s="3" t="n">
        <v>1</v>
      </c>
      <c r="AI85" s="3" t="n">
        <v>0</v>
      </c>
      <c r="AJ85" s="4" t="n">
        <f aca="false">SUM(G85:AI85)</f>
        <v>9</v>
      </c>
      <c r="AK85" s="4" t="n">
        <f aca="false">ROUND(SUMPRODUCT(G85:AI85,Gene_Weights!$B$2:$AD$2),3)</f>
        <v>-7.86</v>
      </c>
      <c r="AL85" s="2" t="n">
        <v>6</v>
      </c>
      <c r="AM85" s="2" t="n">
        <v>5</v>
      </c>
      <c r="AN85" s="2" t="n">
        <v>83.33</v>
      </c>
      <c r="AO85" s="5" t="n">
        <v>75.59</v>
      </c>
      <c r="AP85" s="5" t="n">
        <v>78.01</v>
      </c>
      <c r="AQ85" s="5" t="n">
        <v>80.42</v>
      </c>
      <c r="AR85" s="5" t="n">
        <v>82.83</v>
      </c>
      <c r="AS85" s="5" t="n">
        <v>85.24</v>
      </c>
      <c r="AT85" s="5" t="n">
        <v>87.66</v>
      </c>
      <c r="AU85" s="5" t="n">
        <v>90.07</v>
      </c>
      <c r="AV85" s="5" t="s">
        <v>51</v>
      </c>
    </row>
    <row r="86" customFormat="false" ht="15" hidden="false" customHeight="false" outlineLevel="0" collapsed="false">
      <c r="A86" s="2" t="s">
        <v>70</v>
      </c>
      <c r="B86" s="2" t="n">
        <v>2021</v>
      </c>
      <c r="C86" s="2" t="s">
        <v>49</v>
      </c>
      <c r="D86" s="2" t="n">
        <v>0</v>
      </c>
      <c r="E86" s="2" t="n">
        <v>4</v>
      </c>
      <c r="F86" s="2" t="s">
        <v>50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1</v>
      </c>
      <c r="M86" s="3" t="n">
        <v>1</v>
      </c>
      <c r="N86" s="3" t="n">
        <v>0</v>
      </c>
      <c r="O86" s="3" t="n">
        <v>1</v>
      </c>
      <c r="P86" s="3" t="n">
        <v>0</v>
      </c>
      <c r="Q86" s="3" t="n">
        <v>1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1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1</v>
      </c>
      <c r="AG86" s="3" t="n">
        <v>0</v>
      </c>
      <c r="AH86" s="3" t="n">
        <v>0</v>
      </c>
      <c r="AI86" s="3" t="n">
        <v>0</v>
      </c>
      <c r="AJ86" s="4" t="n">
        <f aca="false">SUM(G86:AI86)</f>
        <v>7</v>
      </c>
      <c r="AK86" s="4" t="n">
        <f aca="false">ROUND(SUMPRODUCT(G86:AI86,Gene_Weights!$B$2:$AD$2),3)</f>
        <v>-6.44</v>
      </c>
      <c r="AL86" s="2" t="n">
        <v>5</v>
      </c>
      <c r="AM86" s="2" t="n">
        <v>0</v>
      </c>
      <c r="AN86" s="2" t="n">
        <v>0</v>
      </c>
      <c r="AO86" s="5" t="n">
        <v>55.12</v>
      </c>
      <c r="AP86" s="5" t="n">
        <v>56.02</v>
      </c>
      <c r="AQ86" s="5" t="n">
        <v>56.92</v>
      </c>
      <c r="AR86" s="5" t="n">
        <v>57.82</v>
      </c>
      <c r="AS86" s="5" t="n">
        <v>58.72</v>
      </c>
      <c r="AT86" s="5" t="n">
        <v>59.62</v>
      </c>
      <c r="AU86" s="5" t="n">
        <v>60.52</v>
      </c>
      <c r="AV86" s="5" t="s">
        <v>51</v>
      </c>
    </row>
    <row r="87" customFormat="false" ht="15" hidden="false" customHeight="false" outlineLevel="0" collapsed="false">
      <c r="A87" s="2" t="s">
        <v>70</v>
      </c>
      <c r="B87" s="2" t="n">
        <v>2021</v>
      </c>
      <c r="C87" s="2" t="s">
        <v>52</v>
      </c>
      <c r="D87" s="2" t="n">
        <v>1</v>
      </c>
      <c r="E87" s="2" t="n">
        <v>32</v>
      </c>
      <c r="F87" s="2" t="s">
        <v>50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</v>
      </c>
      <c r="L87" s="3" t="n">
        <v>1</v>
      </c>
      <c r="M87" s="3" t="n">
        <v>1</v>
      </c>
      <c r="N87" s="3" t="n">
        <v>0</v>
      </c>
      <c r="O87" s="3" t="n">
        <v>1</v>
      </c>
      <c r="P87" s="3" t="n">
        <v>0</v>
      </c>
      <c r="Q87" s="3" t="n">
        <v>1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1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1</v>
      </c>
      <c r="AG87" s="3" t="n">
        <v>0</v>
      </c>
      <c r="AH87" s="3" t="n">
        <v>0</v>
      </c>
      <c r="AI87" s="3" t="n">
        <v>0</v>
      </c>
      <c r="AJ87" s="4" t="n">
        <f aca="false">SUM(G87:AI87)</f>
        <v>7</v>
      </c>
      <c r="AK87" s="4" t="n">
        <f aca="false">ROUND(SUMPRODUCT(G87:AI87,Gene_Weights!$B$2:$AD$2),3)</f>
        <v>-6.44</v>
      </c>
      <c r="AL87" s="2" t="n">
        <v>5</v>
      </c>
      <c r="AM87" s="2" t="n">
        <v>2</v>
      </c>
      <c r="AN87" s="2" t="n">
        <v>40</v>
      </c>
      <c r="AO87" s="5" t="n">
        <v>64.53</v>
      </c>
      <c r="AP87" s="5" t="n">
        <v>66.13</v>
      </c>
      <c r="AQ87" s="5" t="n">
        <v>67.73</v>
      </c>
      <c r="AR87" s="5" t="n">
        <v>69.33</v>
      </c>
      <c r="AS87" s="5" t="n">
        <v>70.93</v>
      </c>
      <c r="AT87" s="5" t="n">
        <v>72.53</v>
      </c>
      <c r="AU87" s="5" t="n">
        <v>74.13</v>
      </c>
      <c r="AV87" s="5" t="s">
        <v>51</v>
      </c>
    </row>
    <row r="88" customFormat="false" ht="15" hidden="false" customHeight="false" outlineLevel="0" collapsed="false">
      <c r="A88" s="2" t="s">
        <v>70</v>
      </c>
      <c r="B88" s="2" t="n">
        <v>2021</v>
      </c>
      <c r="C88" s="2" t="s">
        <v>53</v>
      </c>
      <c r="D88" s="2" t="n">
        <v>0</v>
      </c>
      <c r="E88" s="2" t="n">
        <v>2</v>
      </c>
      <c r="F88" s="2" t="s">
        <v>50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1</v>
      </c>
      <c r="M88" s="3" t="n">
        <v>1</v>
      </c>
      <c r="N88" s="3" t="n">
        <v>0</v>
      </c>
      <c r="O88" s="3" t="n">
        <v>1</v>
      </c>
      <c r="P88" s="3" t="n">
        <v>0</v>
      </c>
      <c r="Q88" s="3" t="n">
        <v>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1</v>
      </c>
      <c r="AG88" s="3" t="n">
        <v>0</v>
      </c>
      <c r="AH88" s="3" t="n">
        <v>0</v>
      </c>
      <c r="AI88" s="3" t="n">
        <v>0</v>
      </c>
      <c r="AJ88" s="4" t="n">
        <f aca="false">SUM(G88:AI88)</f>
        <v>7</v>
      </c>
      <c r="AK88" s="4" t="n">
        <f aca="false">ROUND(SUMPRODUCT(G88:AI88,Gene_Weights!$B$2:$AD$2),3)</f>
        <v>-6.44</v>
      </c>
      <c r="AL88" s="2" t="n">
        <v>5</v>
      </c>
      <c r="AM88" s="2" t="n">
        <v>3</v>
      </c>
      <c r="AN88" s="2" t="n">
        <v>60</v>
      </c>
      <c r="AO88" s="5" t="n">
        <v>52.86</v>
      </c>
      <c r="AP88" s="5" t="n">
        <v>53.65</v>
      </c>
      <c r="AQ88" s="5" t="n">
        <v>54.45</v>
      </c>
      <c r="AR88" s="5" t="n">
        <v>55.24</v>
      </c>
      <c r="AS88" s="5" t="n">
        <v>56.03</v>
      </c>
      <c r="AT88" s="5" t="n">
        <v>56.83</v>
      </c>
      <c r="AU88" s="5" t="n">
        <v>57.62</v>
      </c>
      <c r="AV88" s="5" t="s">
        <v>51</v>
      </c>
    </row>
    <row r="89" customFormat="false" ht="15" hidden="false" customHeight="false" outlineLevel="0" collapsed="false">
      <c r="A89" s="2" t="s">
        <v>70</v>
      </c>
      <c r="B89" s="2" t="n">
        <v>2021</v>
      </c>
      <c r="C89" s="2" t="s">
        <v>54</v>
      </c>
      <c r="D89" s="2" t="n">
        <v>1</v>
      </c>
      <c r="E89" s="2" t="n">
        <v>4</v>
      </c>
      <c r="F89" s="2" t="s">
        <v>50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1</v>
      </c>
      <c r="M89" s="3" t="n">
        <v>1</v>
      </c>
      <c r="N89" s="3" t="n">
        <v>0</v>
      </c>
      <c r="O89" s="3" t="n">
        <v>1</v>
      </c>
      <c r="P89" s="3" t="n">
        <v>0</v>
      </c>
      <c r="Q89" s="3" t="n">
        <v>1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1</v>
      </c>
      <c r="AG89" s="3" t="n">
        <v>0</v>
      </c>
      <c r="AH89" s="3" t="n">
        <v>0</v>
      </c>
      <c r="AI89" s="3" t="n">
        <v>0</v>
      </c>
      <c r="AJ89" s="4" t="n">
        <f aca="false">SUM(G89:AI89)</f>
        <v>7</v>
      </c>
      <c r="AK89" s="4" t="n">
        <f aca="false">ROUND(SUMPRODUCT(G89:AI89,Gene_Weights!$B$2:$AD$2),3)</f>
        <v>-6.44</v>
      </c>
      <c r="AL89" s="2" t="n">
        <v>5</v>
      </c>
      <c r="AM89" s="2" t="n">
        <v>5</v>
      </c>
      <c r="AN89" s="2" t="n">
        <v>100</v>
      </c>
      <c r="AO89" s="5" t="n">
        <v>81.84</v>
      </c>
      <c r="AP89" s="5" t="n">
        <v>84.45</v>
      </c>
      <c r="AQ89" s="5" t="n">
        <v>87.06</v>
      </c>
      <c r="AR89" s="5" t="n">
        <v>89.67</v>
      </c>
      <c r="AS89" s="5" t="n">
        <v>92.27</v>
      </c>
      <c r="AT89" s="5" t="n">
        <v>94.88</v>
      </c>
      <c r="AU89" s="5" t="n">
        <v>97.49</v>
      </c>
      <c r="AV89" s="5" t="s">
        <v>51</v>
      </c>
    </row>
    <row r="90" customFormat="false" ht="15" hidden="false" customHeight="false" outlineLevel="0" collapsed="false">
      <c r="A90" s="2" t="s">
        <v>70</v>
      </c>
      <c r="B90" s="2" t="n">
        <v>2021</v>
      </c>
      <c r="C90" s="2" t="s">
        <v>55</v>
      </c>
      <c r="D90" s="2" t="n">
        <v>0</v>
      </c>
      <c r="E90" s="2" t="n">
        <v>4</v>
      </c>
      <c r="F90" s="2" t="s">
        <v>50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1</v>
      </c>
      <c r="M90" s="3" t="n">
        <v>1</v>
      </c>
      <c r="N90" s="3" t="n">
        <v>0</v>
      </c>
      <c r="O90" s="3" t="n">
        <v>1</v>
      </c>
      <c r="P90" s="3" t="n">
        <v>0</v>
      </c>
      <c r="Q90" s="3" t="n">
        <v>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1</v>
      </c>
      <c r="AG90" s="3" t="n">
        <v>0</v>
      </c>
      <c r="AH90" s="3" t="n">
        <v>0</v>
      </c>
      <c r="AI90" s="3" t="n">
        <v>0</v>
      </c>
      <c r="AJ90" s="4" t="n">
        <f aca="false">SUM(G90:AI90)</f>
        <v>7</v>
      </c>
      <c r="AK90" s="4" t="n">
        <f aca="false">ROUND(SUMPRODUCT(G90:AI90,Gene_Weights!$B$2:$AD$2),3)</f>
        <v>-6.44</v>
      </c>
      <c r="AL90" s="2" t="n">
        <v>5</v>
      </c>
      <c r="AM90" s="2" t="n">
        <v>2</v>
      </c>
      <c r="AN90" s="2" t="n">
        <v>40</v>
      </c>
      <c r="AO90" s="5" t="n">
        <v>58.19</v>
      </c>
      <c r="AP90" s="5" t="n">
        <v>59.74</v>
      </c>
      <c r="AQ90" s="5" t="n">
        <v>61.3</v>
      </c>
      <c r="AR90" s="5" t="n">
        <v>62.86</v>
      </c>
      <c r="AS90" s="5" t="n">
        <v>64.42</v>
      </c>
      <c r="AT90" s="5" t="n">
        <v>65.98</v>
      </c>
      <c r="AU90" s="5" t="n">
        <v>67.53</v>
      </c>
      <c r="AV90" s="5" t="s">
        <v>51</v>
      </c>
    </row>
    <row r="91" customFormat="false" ht="15" hidden="false" customHeight="false" outlineLevel="0" collapsed="false">
      <c r="A91" s="2" t="s">
        <v>70</v>
      </c>
      <c r="B91" s="2" t="n">
        <v>2021</v>
      </c>
      <c r="C91" s="2" t="s">
        <v>56</v>
      </c>
      <c r="D91" s="2" t="n">
        <v>0</v>
      </c>
      <c r="E91" s="2" t="n">
        <v>16</v>
      </c>
      <c r="F91" s="2" t="s">
        <v>50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1</v>
      </c>
      <c r="M91" s="3" t="n">
        <v>1</v>
      </c>
      <c r="N91" s="3" t="n">
        <v>0</v>
      </c>
      <c r="O91" s="3" t="n">
        <v>1</v>
      </c>
      <c r="P91" s="3" t="n">
        <v>0</v>
      </c>
      <c r="Q91" s="3" t="n">
        <v>1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1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1</v>
      </c>
      <c r="AG91" s="3" t="n">
        <v>0</v>
      </c>
      <c r="AH91" s="3" t="n">
        <v>0</v>
      </c>
      <c r="AI91" s="3" t="n">
        <v>0</v>
      </c>
      <c r="AJ91" s="4" t="n">
        <f aca="false">SUM(G91:AI91)</f>
        <v>7</v>
      </c>
      <c r="AK91" s="4" t="n">
        <f aca="false">ROUND(SUMPRODUCT(G91:AI91,Gene_Weights!$B$2:$AD$2),3)</f>
        <v>-6.44</v>
      </c>
      <c r="AL91" s="2" t="n">
        <v>5</v>
      </c>
      <c r="AM91" s="2" t="n">
        <v>4</v>
      </c>
      <c r="AN91" s="2" t="n">
        <v>80</v>
      </c>
      <c r="AO91" s="5" t="n">
        <v>75.59</v>
      </c>
      <c r="AP91" s="5" t="n">
        <v>78.01</v>
      </c>
      <c r="AQ91" s="5" t="n">
        <v>80.42</v>
      </c>
      <c r="AR91" s="5" t="n">
        <v>82.83</v>
      </c>
      <c r="AS91" s="5" t="n">
        <v>85.24</v>
      </c>
      <c r="AT91" s="5" t="n">
        <v>87.66</v>
      </c>
      <c r="AU91" s="5" t="n">
        <v>90.07</v>
      </c>
      <c r="AV91" s="5" t="s">
        <v>51</v>
      </c>
    </row>
    <row r="92" customFormat="false" ht="15" hidden="false" customHeight="false" outlineLevel="0" collapsed="false">
      <c r="A92" s="2" t="s">
        <v>71</v>
      </c>
      <c r="B92" s="2" t="n">
        <v>2014</v>
      </c>
      <c r="C92" s="2" t="s">
        <v>49</v>
      </c>
      <c r="D92" s="2" t="n">
        <v>1</v>
      </c>
      <c r="E92" s="2" t="n">
        <v>32</v>
      </c>
      <c r="F92" s="2" t="s">
        <v>50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1</v>
      </c>
      <c r="X92" s="3" t="n">
        <v>0</v>
      </c>
      <c r="Y92" s="3" t="n">
        <v>0</v>
      </c>
      <c r="Z92" s="3" t="n">
        <v>0</v>
      </c>
      <c r="AA92" s="3" t="n">
        <v>1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1</v>
      </c>
      <c r="AH92" s="3" t="n">
        <v>1</v>
      </c>
      <c r="AI92" s="3" t="n">
        <v>1</v>
      </c>
      <c r="AJ92" s="4" t="n">
        <f aca="false">SUM(G92:AI92)</f>
        <v>6</v>
      </c>
      <c r="AK92" s="4" t="n">
        <f aca="false">ROUND(SUMPRODUCT(G92:AI92,Gene_Weights!$B$2:$AD$2),3)</f>
        <v>-5.13</v>
      </c>
      <c r="AL92" s="2" t="n">
        <v>8</v>
      </c>
      <c r="AM92" s="2" t="n">
        <v>3</v>
      </c>
      <c r="AN92" s="2" t="n">
        <v>37.5</v>
      </c>
      <c r="AO92" s="5" t="n">
        <v>55.12</v>
      </c>
      <c r="AP92" s="5" t="n">
        <v>56.02</v>
      </c>
      <c r="AQ92" s="5" t="n">
        <v>56.92</v>
      </c>
      <c r="AR92" s="5" t="n">
        <v>57.82</v>
      </c>
      <c r="AS92" s="5" t="n">
        <v>58.72</v>
      </c>
      <c r="AT92" s="5" t="n">
        <v>59.62</v>
      </c>
      <c r="AU92" s="5" t="n">
        <v>60.52</v>
      </c>
      <c r="AV92" s="5" t="s">
        <v>51</v>
      </c>
    </row>
    <row r="93" customFormat="false" ht="15" hidden="false" customHeight="false" outlineLevel="0" collapsed="false">
      <c r="A93" s="2" t="s">
        <v>71</v>
      </c>
      <c r="B93" s="2" t="n">
        <v>2014</v>
      </c>
      <c r="C93" s="2" t="s">
        <v>52</v>
      </c>
      <c r="D93" s="2" t="n">
        <v>1</v>
      </c>
      <c r="E93" s="2" t="n">
        <v>2</v>
      </c>
      <c r="F93" s="2" t="s">
        <v>50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</v>
      </c>
      <c r="X93" s="3" t="n">
        <v>0</v>
      </c>
      <c r="Y93" s="3" t="n">
        <v>0</v>
      </c>
      <c r="Z93" s="3" t="n">
        <v>0</v>
      </c>
      <c r="AA93" s="3" t="n">
        <v>1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</v>
      </c>
      <c r="AH93" s="3" t="n">
        <v>1</v>
      </c>
      <c r="AI93" s="3" t="n">
        <v>1</v>
      </c>
      <c r="AJ93" s="4" t="n">
        <f aca="false">SUM(G93:AI93)</f>
        <v>6</v>
      </c>
      <c r="AK93" s="4" t="n">
        <f aca="false">ROUND(SUMPRODUCT(G93:AI93,Gene_Weights!$B$2:$AD$2),3)</f>
        <v>-5.13</v>
      </c>
      <c r="AL93" s="2" t="n">
        <v>8</v>
      </c>
      <c r="AM93" s="2" t="n">
        <v>4</v>
      </c>
      <c r="AN93" s="2" t="n">
        <v>50</v>
      </c>
      <c r="AO93" s="5" t="n">
        <v>64.53</v>
      </c>
      <c r="AP93" s="5" t="n">
        <v>66.13</v>
      </c>
      <c r="AQ93" s="5" t="n">
        <v>67.73</v>
      </c>
      <c r="AR93" s="5" t="n">
        <v>69.33</v>
      </c>
      <c r="AS93" s="5" t="n">
        <v>70.93</v>
      </c>
      <c r="AT93" s="5" t="n">
        <v>72.53</v>
      </c>
      <c r="AU93" s="5" t="n">
        <v>74.13</v>
      </c>
      <c r="AV93" s="5" t="s">
        <v>51</v>
      </c>
    </row>
    <row r="94" customFormat="false" ht="15" hidden="false" customHeight="false" outlineLevel="0" collapsed="false">
      <c r="A94" s="2" t="s">
        <v>71</v>
      </c>
      <c r="B94" s="2" t="n">
        <v>2014</v>
      </c>
      <c r="C94" s="2" t="s">
        <v>53</v>
      </c>
      <c r="D94" s="2" t="n">
        <v>0</v>
      </c>
      <c r="E94" s="2" t="n">
        <v>32</v>
      </c>
      <c r="F94" s="2" t="s">
        <v>50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1</v>
      </c>
      <c r="X94" s="3" t="n">
        <v>0</v>
      </c>
      <c r="Y94" s="3" t="n">
        <v>0</v>
      </c>
      <c r="Z94" s="3" t="n">
        <v>0</v>
      </c>
      <c r="AA94" s="3" t="n">
        <v>1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1</v>
      </c>
      <c r="AH94" s="3" t="n">
        <v>1</v>
      </c>
      <c r="AI94" s="3" t="n">
        <v>1</v>
      </c>
      <c r="AJ94" s="4" t="n">
        <f aca="false">SUM(G94:AI94)</f>
        <v>6</v>
      </c>
      <c r="AK94" s="4" t="n">
        <f aca="false">ROUND(SUMPRODUCT(G94:AI94,Gene_Weights!$B$2:$AD$2),3)</f>
        <v>-5.13</v>
      </c>
      <c r="AL94" s="2" t="n">
        <v>8</v>
      </c>
      <c r="AM94" s="2" t="n">
        <v>2</v>
      </c>
      <c r="AN94" s="2" t="n">
        <v>25</v>
      </c>
      <c r="AO94" s="5" t="n">
        <v>52.86</v>
      </c>
      <c r="AP94" s="5" t="n">
        <v>53.65</v>
      </c>
      <c r="AQ94" s="5" t="n">
        <v>54.45</v>
      </c>
      <c r="AR94" s="5" t="n">
        <v>55.24</v>
      </c>
      <c r="AS94" s="5" t="n">
        <v>56.03</v>
      </c>
      <c r="AT94" s="5" t="n">
        <v>56.83</v>
      </c>
      <c r="AU94" s="5" t="n">
        <v>57.62</v>
      </c>
      <c r="AV94" s="5" t="s">
        <v>51</v>
      </c>
    </row>
    <row r="95" customFormat="false" ht="15" hidden="false" customHeight="false" outlineLevel="0" collapsed="false">
      <c r="A95" s="2" t="s">
        <v>71</v>
      </c>
      <c r="B95" s="2" t="n">
        <v>2014</v>
      </c>
      <c r="C95" s="2" t="s">
        <v>54</v>
      </c>
      <c r="D95" s="2" t="n">
        <v>1</v>
      </c>
      <c r="E95" s="2" t="n">
        <v>2</v>
      </c>
      <c r="F95" s="2" t="s">
        <v>50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1</v>
      </c>
      <c r="X95" s="3" t="n">
        <v>0</v>
      </c>
      <c r="Y95" s="3" t="n">
        <v>0</v>
      </c>
      <c r="Z95" s="3" t="n">
        <v>0</v>
      </c>
      <c r="AA95" s="3" t="n">
        <v>1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</v>
      </c>
      <c r="AH95" s="3" t="n">
        <v>1</v>
      </c>
      <c r="AI95" s="3" t="n">
        <v>1</v>
      </c>
      <c r="AJ95" s="4" t="n">
        <f aca="false">SUM(G95:AI95)</f>
        <v>6</v>
      </c>
      <c r="AK95" s="4" t="n">
        <f aca="false">ROUND(SUMPRODUCT(G95:AI95,Gene_Weights!$B$2:$AD$2),3)</f>
        <v>-5.13</v>
      </c>
      <c r="AL95" s="2" t="n">
        <v>8</v>
      </c>
      <c r="AM95" s="2" t="n">
        <v>5</v>
      </c>
      <c r="AN95" s="2" t="n">
        <v>62.5</v>
      </c>
      <c r="AO95" s="5" t="n">
        <v>81.84</v>
      </c>
      <c r="AP95" s="5" t="n">
        <v>84.45</v>
      </c>
      <c r="AQ95" s="5" t="n">
        <v>87.06</v>
      </c>
      <c r="AR95" s="5" t="n">
        <v>89.67</v>
      </c>
      <c r="AS95" s="5" t="n">
        <v>92.27</v>
      </c>
      <c r="AT95" s="5" t="n">
        <v>94.88</v>
      </c>
      <c r="AU95" s="5" t="n">
        <v>97.49</v>
      </c>
      <c r="AV95" s="5" t="s">
        <v>51</v>
      </c>
    </row>
    <row r="96" customFormat="false" ht="15" hidden="false" customHeight="false" outlineLevel="0" collapsed="false">
      <c r="A96" s="2" t="s">
        <v>71</v>
      </c>
      <c r="B96" s="2" t="n">
        <v>2014</v>
      </c>
      <c r="C96" s="2" t="s">
        <v>55</v>
      </c>
      <c r="D96" s="2" t="n">
        <v>1</v>
      </c>
      <c r="E96" s="2" t="n">
        <v>2</v>
      </c>
      <c r="F96" s="2" t="s">
        <v>50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1</v>
      </c>
      <c r="X96" s="3" t="n">
        <v>0</v>
      </c>
      <c r="Y96" s="3" t="n">
        <v>0</v>
      </c>
      <c r="Z96" s="3" t="n">
        <v>0</v>
      </c>
      <c r="AA96" s="3" t="n">
        <v>1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1</v>
      </c>
      <c r="AH96" s="3" t="n">
        <v>1</v>
      </c>
      <c r="AI96" s="3" t="n">
        <v>1</v>
      </c>
      <c r="AJ96" s="4" t="n">
        <f aca="false">SUM(G96:AI96)</f>
        <v>6</v>
      </c>
      <c r="AK96" s="4" t="n">
        <f aca="false">ROUND(SUMPRODUCT(G96:AI96,Gene_Weights!$B$2:$AD$2),3)</f>
        <v>-5.13</v>
      </c>
      <c r="AL96" s="2" t="n">
        <v>8</v>
      </c>
      <c r="AM96" s="2" t="n">
        <v>3</v>
      </c>
      <c r="AN96" s="2" t="n">
        <v>37.5</v>
      </c>
      <c r="AO96" s="5" t="n">
        <v>58.19</v>
      </c>
      <c r="AP96" s="5" t="n">
        <v>59.74</v>
      </c>
      <c r="AQ96" s="5" t="n">
        <v>61.3</v>
      </c>
      <c r="AR96" s="5" t="n">
        <v>62.86</v>
      </c>
      <c r="AS96" s="5" t="n">
        <v>64.42</v>
      </c>
      <c r="AT96" s="5" t="n">
        <v>65.98</v>
      </c>
      <c r="AU96" s="5" t="n">
        <v>67.53</v>
      </c>
      <c r="AV96" s="5" t="s">
        <v>51</v>
      </c>
    </row>
    <row r="97" customFormat="false" ht="15" hidden="false" customHeight="false" outlineLevel="0" collapsed="false">
      <c r="A97" s="2" t="s">
        <v>71</v>
      </c>
      <c r="B97" s="2" t="n">
        <v>2014</v>
      </c>
      <c r="C97" s="2" t="s">
        <v>56</v>
      </c>
      <c r="D97" s="2" t="n">
        <v>1</v>
      </c>
      <c r="E97" s="2" t="n">
        <v>4</v>
      </c>
      <c r="F97" s="2" t="s">
        <v>50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1</v>
      </c>
      <c r="X97" s="3" t="n">
        <v>0</v>
      </c>
      <c r="Y97" s="3" t="n">
        <v>0</v>
      </c>
      <c r="Z97" s="3" t="n">
        <v>0</v>
      </c>
      <c r="AA97" s="3" t="n">
        <v>1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1</v>
      </c>
      <c r="AH97" s="3" t="n">
        <v>1</v>
      </c>
      <c r="AI97" s="3" t="n">
        <v>1</v>
      </c>
      <c r="AJ97" s="4" t="n">
        <f aca="false">SUM(G97:AI97)</f>
        <v>6</v>
      </c>
      <c r="AK97" s="4" t="n">
        <f aca="false">ROUND(SUMPRODUCT(G97:AI97,Gene_Weights!$B$2:$AD$2),3)</f>
        <v>-5.13</v>
      </c>
      <c r="AL97" s="2" t="n">
        <v>8</v>
      </c>
      <c r="AM97" s="2" t="n">
        <v>3</v>
      </c>
      <c r="AN97" s="2" t="n">
        <v>37.5</v>
      </c>
      <c r="AO97" s="5" t="n">
        <v>75.59</v>
      </c>
      <c r="AP97" s="5" t="n">
        <v>78.01</v>
      </c>
      <c r="AQ97" s="5" t="n">
        <v>80.42</v>
      </c>
      <c r="AR97" s="5" t="n">
        <v>82.83</v>
      </c>
      <c r="AS97" s="5" t="n">
        <v>85.24</v>
      </c>
      <c r="AT97" s="5" t="n">
        <v>87.66</v>
      </c>
      <c r="AU97" s="5" t="n">
        <v>90.07</v>
      </c>
      <c r="AV97" s="5" t="s">
        <v>51</v>
      </c>
    </row>
    <row r="98" customFormat="false" ht="15" hidden="false" customHeight="false" outlineLevel="0" collapsed="false">
      <c r="A98" s="2" t="s">
        <v>72</v>
      </c>
      <c r="B98" s="2" t="n">
        <v>2018</v>
      </c>
      <c r="C98" s="2" t="s">
        <v>49</v>
      </c>
      <c r="D98" s="2" t="n">
        <v>1</v>
      </c>
      <c r="E98" s="2" t="n">
        <v>32</v>
      </c>
      <c r="F98" s="2" t="s">
        <v>50</v>
      </c>
      <c r="G98" s="3" t="n">
        <v>1</v>
      </c>
      <c r="H98" s="3" t="n">
        <v>0</v>
      </c>
      <c r="I98" s="3" t="n">
        <v>1</v>
      </c>
      <c r="J98" s="3" t="n">
        <v>1</v>
      </c>
      <c r="K98" s="3" t="n">
        <v>1</v>
      </c>
      <c r="L98" s="3" t="n">
        <v>1</v>
      </c>
      <c r="M98" s="3" t="n">
        <v>0</v>
      </c>
      <c r="N98" s="3" t="n">
        <v>0</v>
      </c>
      <c r="O98" s="3" t="n">
        <v>1</v>
      </c>
      <c r="P98" s="3" t="n">
        <v>0</v>
      </c>
      <c r="Q98" s="3" t="n">
        <v>1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1</v>
      </c>
      <c r="Z98" s="3" t="n">
        <v>1</v>
      </c>
      <c r="AA98" s="3" t="n">
        <v>1</v>
      </c>
      <c r="AB98" s="3" t="n">
        <v>0</v>
      </c>
      <c r="AC98" s="3" t="n">
        <v>0</v>
      </c>
      <c r="AD98" s="3" t="n">
        <v>1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4" t="n">
        <f aca="false">SUM(G98:AI98)</f>
        <v>11</v>
      </c>
      <c r="AK98" s="4" t="n">
        <f aca="false">ROUND(SUMPRODUCT(G98:AI98,Gene_Weights!$B$2:$AD$2),3)</f>
        <v>-8.85</v>
      </c>
      <c r="AL98" s="2" t="n">
        <v>3</v>
      </c>
      <c r="AM98" s="2" t="n">
        <v>2</v>
      </c>
      <c r="AN98" s="2" t="n">
        <v>66.67</v>
      </c>
      <c r="AO98" s="5" t="n">
        <v>55.12</v>
      </c>
      <c r="AP98" s="5" t="n">
        <v>56.02</v>
      </c>
      <c r="AQ98" s="5" t="n">
        <v>56.92</v>
      </c>
      <c r="AR98" s="5" t="n">
        <v>57.82</v>
      </c>
      <c r="AS98" s="5" t="n">
        <v>58.72</v>
      </c>
      <c r="AT98" s="5" t="n">
        <v>59.62</v>
      </c>
      <c r="AU98" s="5" t="n">
        <v>60.52</v>
      </c>
      <c r="AV98" s="5" t="s">
        <v>51</v>
      </c>
    </row>
    <row r="99" customFormat="false" ht="15" hidden="false" customHeight="false" outlineLevel="0" collapsed="false">
      <c r="A99" s="2" t="s">
        <v>72</v>
      </c>
      <c r="B99" s="2" t="n">
        <v>2018</v>
      </c>
      <c r="C99" s="2" t="s">
        <v>52</v>
      </c>
      <c r="D99" s="2" t="n">
        <v>0</v>
      </c>
      <c r="E99" s="2" t="n">
        <v>16</v>
      </c>
      <c r="F99" s="2" t="s">
        <v>50</v>
      </c>
      <c r="G99" s="3" t="n">
        <v>1</v>
      </c>
      <c r="H99" s="3" t="n">
        <v>0</v>
      </c>
      <c r="I99" s="3" t="n">
        <v>1</v>
      </c>
      <c r="J99" s="3" t="n">
        <v>1</v>
      </c>
      <c r="K99" s="3" t="n">
        <v>1</v>
      </c>
      <c r="L99" s="3" t="n">
        <v>1</v>
      </c>
      <c r="M99" s="3" t="n">
        <v>0</v>
      </c>
      <c r="N99" s="3" t="n">
        <v>0</v>
      </c>
      <c r="O99" s="3" t="n">
        <v>1</v>
      </c>
      <c r="P99" s="3" t="n">
        <v>0</v>
      </c>
      <c r="Q99" s="3" t="n">
        <v>1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1</v>
      </c>
      <c r="Z99" s="3" t="n">
        <v>1</v>
      </c>
      <c r="AA99" s="3" t="n">
        <v>1</v>
      </c>
      <c r="AB99" s="3" t="n">
        <v>0</v>
      </c>
      <c r="AC99" s="3" t="n">
        <v>0</v>
      </c>
      <c r="AD99" s="3" t="n">
        <v>1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4" t="n">
        <f aca="false">SUM(G99:AI99)</f>
        <v>11</v>
      </c>
      <c r="AK99" s="4" t="n">
        <f aca="false">ROUND(SUMPRODUCT(G99:AI99,Gene_Weights!$B$2:$AD$2),3)</f>
        <v>-8.85</v>
      </c>
      <c r="AL99" s="2" t="n">
        <v>3</v>
      </c>
      <c r="AM99" s="2" t="n">
        <v>1</v>
      </c>
      <c r="AN99" s="2" t="n">
        <v>33.33</v>
      </c>
      <c r="AO99" s="5" t="n">
        <v>64.53</v>
      </c>
      <c r="AP99" s="5" t="n">
        <v>66.13</v>
      </c>
      <c r="AQ99" s="5" t="n">
        <v>67.73</v>
      </c>
      <c r="AR99" s="5" t="n">
        <v>69.33</v>
      </c>
      <c r="AS99" s="5" t="n">
        <v>70.93</v>
      </c>
      <c r="AT99" s="5" t="n">
        <v>72.53</v>
      </c>
      <c r="AU99" s="5" t="n">
        <v>74.13</v>
      </c>
      <c r="AV99" s="5" t="s">
        <v>51</v>
      </c>
    </row>
    <row r="100" customFormat="false" ht="15" hidden="false" customHeight="false" outlineLevel="0" collapsed="false">
      <c r="A100" s="2" t="s">
        <v>72</v>
      </c>
      <c r="B100" s="2" t="n">
        <v>2018</v>
      </c>
      <c r="C100" s="2" t="s">
        <v>53</v>
      </c>
      <c r="D100" s="2" t="n">
        <v>0</v>
      </c>
      <c r="E100" s="2" t="n">
        <v>16</v>
      </c>
      <c r="F100" s="2" t="s">
        <v>50</v>
      </c>
      <c r="G100" s="3" t="n">
        <v>1</v>
      </c>
      <c r="H100" s="3" t="n">
        <v>0</v>
      </c>
      <c r="I100" s="3" t="n">
        <v>1</v>
      </c>
      <c r="J100" s="3" t="n">
        <v>1</v>
      </c>
      <c r="K100" s="3" t="n">
        <v>1</v>
      </c>
      <c r="L100" s="3" t="n">
        <v>1</v>
      </c>
      <c r="M100" s="3" t="n">
        <v>0</v>
      </c>
      <c r="N100" s="3" t="n">
        <v>0</v>
      </c>
      <c r="O100" s="3" t="n">
        <v>1</v>
      </c>
      <c r="P100" s="3" t="n">
        <v>0</v>
      </c>
      <c r="Q100" s="3" t="n">
        <v>1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1</v>
      </c>
      <c r="Z100" s="3" t="n">
        <v>1</v>
      </c>
      <c r="AA100" s="3" t="n">
        <v>1</v>
      </c>
      <c r="AB100" s="3" t="n">
        <v>0</v>
      </c>
      <c r="AC100" s="3" t="n">
        <v>0</v>
      </c>
      <c r="AD100" s="3" t="n">
        <v>1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4" t="n">
        <f aca="false">SUM(G100:AI100)</f>
        <v>11</v>
      </c>
      <c r="AK100" s="4" t="n">
        <f aca="false">ROUND(SUMPRODUCT(G100:AI100,Gene_Weights!$B$2:$AD$2),3)</f>
        <v>-8.85</v>
      </c>
      <c r="AL100" s="2" t="n">
        <v>3</v>
      </c>
      <c r="AM100" s="2" t="n">
        <v>0</v>
      </c>
      <c r="AN100" s="2" t="n">
        <v>0</v>
      </c>
      <c r="AO100" s="5" t="n">
        <v>52.86</v>
      </c>
      <c r="AP100" s="5" t="n">
        <v>53.65</v>
      </c>
      <c r="AQ100" s="5" t="n">
        <v>54.45</v>
      </c>
      <c r="AR100" s="5" t="n">
        <v>55.24</v>
      </c>
      <c r="AS100" s="5" t="n">
        <v>56.03</v>
      </c>
      <c r="AT100" s="5" t="n">
        <v>56.83</v>
      </c>
      <c r="AU100" s="5" t="n">
        <v>57.62</v>
      </c>
      <c r="AV100" s="5" t="s">
        <v>51</v>
      </c>
    </row>
    <row r="101" customFormat="false" ht="15" hidden="false" customHeight="false" outlineLevel="0" collapsed="false">
      <c r="A101" s="2" t="s">
        <v>72</v>
      </c>
      <c r="B101" s="2" t="n">
        <v>2018</v>
      </c>
      <c r="C101" s="2" t="s">
        <v>54</v>
      </c>
      <c r="D101" s="2" t="n">
        <v>1</v>
      </c>
      <c r="E101" s="2" t="n">
        <v>2</v>
      </c>
      <c r="F101" s="2" t="s">
        <v>50</v>
      </c>
      <c r="G101" s="3" t="n">
        <v>1</v>
      </c>
      <c r="H101" s="3" t="n">
        <v>0</v>
      </c>
      <c r="I101" s="3" t="n">
        <v>1</v>
      </c>
      <c r="J101" s="3" t="n">
        <v>1</v>
      </c>
      <c r="K101" s="3" t="n">
        <v>1</v>
      </c>
      <c r="L101" s="3" t="n">
        <v>1</v>
      </c>
      <c r="M101" s="3" t="n">
        <v>0</v>
      </c>
      <c r="N101" s="3" t="n">
        <v>0</v>
      </c>
      <c r="O101" s="3" t="n">
        <v>1</v>
      </c>
      <c r="P101" s="3" t="n">
        <v>0</v>
      </c>
      <c r="Q101" s="3" t="n">
        <v>1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1</v>
      </c>
      <c r="Z101" s="3" t="n">
        <v>1</v>
      </c>
      <c r="AA101" s="3" t="n">
        <v>1</v>
      </c>
      <c r="AB101" s="3" t="n">
        <v>0</v>
      </c>
      <c r="AC101" s="3" t="n">
        <v>0</v>
      </c>
      <c r="AD101" s="3" t="n">
        <v>1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4" t="n">
        <f aca="false">SUM(G101:AI101)</f>
        <v>11</v>
      </c>
      <c r="AK101" s="4" t="n">
        <f aca="false">ROUND(SUMPRODUCT(G101:AI101,Gene_Weights!$B$2:$AD$2),3)</f>
        <v>-8.85</v>
      </c>
      <c r="AL101" s="2" t="n">
        <v>3</v>
      </c>
      <c r="AM101" s="2" t="n">
        <v>3</v>
      </c>
      <c r="AN101" s="2" t="n">
        <v>100</v>
      </c>
      <c r="AO101" s="5" t="n">
        <v>81.84</v>
      </c>
      <c r="AP101" s="5" t="n">
        <v>84.45</v>
      </c>
      <c r="AQ101" s="5" t="n">
        <v>87.06</v>
      </c>
      <c r="AR101" s="5" t="n">
        <v>89.67</v>
      </c>
      <c r="AS101" s="5" t="n">
        <v>92.27</v>
      </c>
      <c r="AT101" s="5" t="n">
        <v>94.88</v>
      </c>
      <c r="AU101" s="5" t="n">
        <v>97.49</v>
      </c>
      <c r="AV101" s="5" t="s">
        <v>51</v>
      </c>
    </row>
    <row r="102" customFormat="false" ht="15" hidden="false" customHeight="false" outlineLevel="0" collapsed="false">
      <c r="A102" s="2" t="s">
        <v>72</v>
      </c>
      <c r="B102" s="2" t="n">
        <v>2018</v>
      </c>
      <c r="C102" s="2" t="s">
        <v>55</v>
      </c>
      <c r="D102" s="2" t="n">
        <v>0</v>
      </c>
      <c r="E102" s="2" t="n">
        <v>32</v>
      </c>
      <c r="F102" s="2" t="s">
        <v>50</v>
      </c>
      <c r="G102" s="3" t="n">
        <v>1</v>
      </c>
      <c r="H102" s="3" t="n">
        <v>0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0</v>
      </c>
      <c r="N102" s="3" t="n">
        <v>0</v>
      </c>
      <c r="O102" s="3" t="n">
        <v>1</v>
      </c>
      <c r="P102" s="3" t="n">
        <v>0</v>
      </c>
      <c r="Q102" s="3" t="n">
        <v>1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</v>
      </c>
      <c r="Z102" s="3" t="n">
        <v>1</v>
      </c>
      <c r="AA102" s="3" t="n">
        <v>1</v>
      </c>
      <c r="AB102" s="3" t="n">
        <v>0</v>
      </c>
      <c r="AC102" s="3" t="n">
        <v>0</v>
      </c>
      <c r="AD102" s="3" t="n">
        <v>1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4" t="n">
        <f aca="false">SUM(G102:AI102)</f>
        <v>11</v>
      </c>
      <c r="AK102" s="4" t="n">
        <f aca="false">ROUND(SUMPRODUCT(G102:AI102,Gene_Weights!$B$2:$AD$2),3)</f>
        <v>-8.85</v>
      </c>
      <c r="AL102" s="2" t="n">
        <v>3</v>
      </c>
      <c r="AM102" s="2" t="n">
        <v>1</v>
      </c>
      <c r="AN102" s="2" t="n">
        <v>33.33</v>
      </c>
      <c r="AO102" s="5" t="n">
        <v>58.19</v>
      </c>
      <c r="AP102" s="5" t="n">
        <v>59.74</v>
      </c>
      <c r="AQ102" s="5" t="n">
        <v>61.3</v>
      </c>
      <c r="AR102" s="5" t="n">
        <v>62.86</v>
      </c>
      <c r="AS102" s="5" t="n">
        <v>64.42</v>
      </c>
      <c r="AT102" s="5" t="n">
        <v>65.98</v>
      </c>
      <c r="AU102" s="5" t="n">
        <v>67.53</v>
      </c>
      <c r="AV102" s="5" t="s">
        <v>51</v>
      </c>
    </row>
    <row r="103" customFormat="false" ht="15" hidden="false" customHeight="false" outlineLevel="0" collapsed="false">
      <c r="A103" s="2" t="s">
        <v>72</v>
      </c>
      <c r="B103" s="2" t="n">
        <v>2018</v>
      </c>
      <c r="C103" s="2" t="s">
        <v>56</v>
      </c>
      <c r="D103" s="2" t="n">
        <v>1</v>
      </c>
      <c r="E103" s="2" t="n">
        <v>4</v>
      </c>
      <c r="F103" s="2" t="s">
        <v>50</v>
      </c>
      <c r="G103" s="3" t="n">
        <v>1</v>
      </c>
      <c r="H103" s="3" t="n">
        <v>0</v>
      </c>
      <c r="I103" s="3" t="n">
        <v>1</v>
      </c>
      <c r="J103" s="3" t="n">
        <v>1</v>
      </c>
      <c r="K103" s="3" t="n">
        <v>1</v>
      </c>
      <c r="L103" s="3" t="n">
        <v>1</v>
      </c>
      <c r="M103" s="3" t="n">
        <v>0</v>
      </c>
      <c r="N103" s="3" t="n">
        <v>0</v>
      </c>
      <c r="O103" s="3" t="n">
        <v>1</v>
      </c>
      <c r="P103" s="3" t="n">
        <v>0</v>
      </c>
      <c r="Q103" s="3" t="n">
        <v>1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</v>
      </c>
      <c r="Z103" s="3" t="n">
        <v>1</v>
      </c>
      <c r="AA103" s="3" t="n">
        <v>1</v>
      </c>
      <c r="AB103" s="3" t="n">
        <v>0</v>
      </c>
      <c r="AC103" s="3" t="n">
        <v>0</v>
      </c>
      <c r="AD103" s="3" t="n">
        <v>1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4" t="n">
        <f aca="false">SUM(G103:AI103)</f>
        <v>11</v>
      </c>
      <c r="AK103" s="4" t="n">
        <f aca="false">ROUND(SUMPRODUCT(G103:AI103,Gene_Weights!$B$2:$AD$2),3)</f>
        <v>-8.85</v>
      </c>
      <c r="AL103" s="2" t="n">
        <v>3</v>
      </c>
      <c r="AM103" s="2" t="n">
        <v>2</v>
      </c>
      <c r="AN103" s="2" t="n">
        <v>66.67</v>
      </c>
      <c r="AO103" s="5" t="n">
        <v>75.59</v>
      </c>
      <c r="AP103" s="5" t="n">
        <v>78.01</v>
      </c>
      <c r="AQ103" s="5" t="n">
        <v>80.42</v>
      </c>
      <c r="AR103" s="5" t="n">
        <v>82.83</v>
      </c>
      <c r="AS103" s="5" t="n">
        <v>85.24</v>
      </c>
      <c r="AT103" s="5" t="n">
        <v>87.66</v>
      </c>
      <c r="AU103" s="5" t="n">
        <v>90.07</v>
      </c>
      <c r="AV103" s="5" t="s">
        <v>51</v>
      </c>
    </row>
    <row r="104" customFormat="false" ht="15" hidden="false" customHeight="false" outlineLevel="0" collapsed="false">
      <c r="A104" s="2" t="s">
        <v>73</v>
      </c>
      <c r="B104" s="2" t="n">
        <v>2003</v>
      </c>
      <c r="C104" s="2" t="s">
        <v>49</v>
      </c>
      <c r="D104" s="2" t="n">
        <v>0</v>
      </c>
      <c r="E104" s="2" t="n">
        <v>16</v>
      </c>
      <c r="F104" s="2" t="s">
        <v>50</v>
      </c>
      <c r="G104" s="3" t="n">
        <v>0</v>
      </c>
      <c r="H104" s="3" t="n">
        <v>0</v>
      </c>
      <c r="I104" s="3" t="n">
        <v>1</v>
      </c>
      <c r="J104" s="3" t="n">
        <v>0</v>
      </c>
      <c r="K104" s="3" t="n">
        <v>1</v>
      </c>
      <c r="L104" s="3" t="n">
        <v>0</v>
      </c>
      <c r="M104" s="3" t="n">
        <v>0</v>
      </c>
      <c r="N104" s="3" t="n">
        <v>1</v>
      </c>
      <c r="O104" s="3" t="n">
        <v>0</v>
      </c>
      <c r="P104" s="3" t="n">
        <v>0</v>
      </c>
      <c r="Q104" s="3" t="n">
        <v>1</v>
      </c>
      <c r="R104" s="3" t="n">
        <v>0</v>
      </c>
      <c r="S104" s="3" t="n">
        <v>0</v>
      </c>
      <c r="T104" s="3" t="n">
        <v>0</v>
      </c>
      <c r="U104" s="3" t="n">
        <v>1</v>
      </c>
      <c r="V104" s="3" t="n">
        <v>0</v>
      </c>
      <c r="W104" s="3" t="n">
        <v>0</v>
      </c>
      <c r="X104" s="3" t="n">
        <v>0</v>
      </c>
      <c r="Y104" s="3" t="n">
        <v>1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1</v>
      </c>
      <c r="AG104" s="3" t="n">
        <v>1</v>
      </c>
      <c r="AH104" s="3" t="n">
        <v>1</v>
      </c>
      <c r="AI104" s="3" t="n">
        <v>0</v>
      </c>
      <c r="AJ104" s="4" t="n">
        <f aca="false">SUM(G104:AI104)</f>
        <v>9</v>
      </c>
      <c r="AK104" s="4" t="n">
        <f aca="false">ROUND(SUMPRODUCT(G104:AI104,Gene_Weights!$B$2:$AD$2),3)</f>
        <v>-7.45</v>
      </c>
      <c r="AL104" s="2" t="n">
        <v>7</v>
      </c>
      <c r="AM104" s="2" t="n">
        <v>2</v>
      </c>
      <c r="AN104" s="2" t="n">
        <v>28.57</v>
      </c>
      <c r="AO104" s="5" t="n">
        <v>55.12</v>
      </c>
      <c r="AP104" s="5" t="n">
        <v>56.02</v>
      </c>
      <c r="AQ104" s="5" t="n">
        <v>56.92</v>
      </c>
      <c r="AR104" s="5" t="n">
        <v>57.82</v>
      </c>
      <c r="AS104" s="5" t="n">
        <v>58.72</v>
      </c>
      <c r="AT104" s="5" t="n">
        <v>59.62</v>
      </c>
      <c r="AU104" s="5" t="n">
        <v>60.52</v>
      </c>
      <c r="AV104" s="5" t="s">
        <v>51</v>
      </c>
    </row>
    <row r="105" customFormat="false" ht="15" hidden="false" customHeight="false" outlineLevel="0" collapsed="false">
      <c r="A105" s="2" t="s">
        <v>73</v>
      </c>
      <c r="B105" s="2" t="n">
        <v>2003</v>
      </c>
      <c r="C105" s="2" t="s">
        <v>52</v>
      </c>
      <c r="D105" s="2" t="n">
        <v>1</v>
      </c>
      <c r="E105" s="2" t="n">
        <v>2</v>
      </c>
      <c r="F105" s="2" t="s">
        <v>50</v>
      </c>
      <c r="G105" s="3" t="n">
        <v>0</v>
      </c>
      <c r="H105" s="3" t="n">
        <v>0</v>
      </c>
      <c r="I105" s="3" t="n">
        <v>1</v>
      </c>
      <c r="J105" s="3" t="n">
        <v>0</v>
      </c>
      <c r="K105" s="3" t="n">
        <v>1</v>
      </c>
      <c r="L105" s="3" t="n">
        <v>0</v>
      </c>
      <c r="M105" s="3" t="n">
        <v>0</v>
      </c>
      <c r="N105" s="3" t="n">
        <v>1</v>
      </c>
      <c r="O105" s="3" t="n">
        <v>0</v>
      </c>
      <c r="P105" s="3" t="n">
        <v>0</v>
      </c>
      <c r="Q105" s="3" t="n">
        <v>1</v>
      </c>
      <c r="R105" s="3" t="n">
        <v>0</v>
      </c>
      <c r="S105" s="3" t="n">
        <v>0</v>
      </c>
      <c r="T105" s="3" t="n">
        <v>0</v>
      </c>
      <c r="U105" s="3" t="n">
        <v>1</v>
      </c>
      <c r="V105" s="3" t="n">
        <v>0</v>
      </c>
      <c r="W105" s="3" t="n">
        <v>0</v>
      </c>
      <c r="X105" s="3" t="n">
        <v>0</v>
      </c>
      <c r="Y105" s="3" t="n">
        <v>1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1</v>
      </c>
      <c r="AG105" s="3" t="n">
        <v>1</v>
      </c>
      <c r="AH105" s="3" t="n">
        <v>1</v>
      </c>
      <c r="AI105" s="3" t="n">
        <v>0</v>
      </c>
      <c r="AJ105" s="4" t="n">
        <f aca="false">SUM(G105:AI105)</f>
        <v>9</v>
      </c>
      <c r="AK105" s="4" t="n">
        <f aca="false">ROUND(SUMPRODUCT(G105:AI105,Gene_Weights!$B$2:$AD$2),3)</f>
        <v>-7.45</v>
      </c>
      <c r="AL105" s="2" t="n">
        <v>7</v>
      </c>
      <c r="AM105" s="2" t="n">
        <v>2</v>
      </c>
      <c r="AN105" s="2" t="n">
        <v>28.57</v>
      </c>
      <c r="AO105" s="5" t="n">
        <v>64.53</v>
      </c>
      <c r="AP105" s="5" t="n">
        <v>66.13</v>
      </c>
      <c r="AQ105" s="5" t="n">
        <v>67.73</v>
      </c>
      <c r="AR105" s="5" t="n">
        <v>69.33</v>
      </c>
      <c r="AS105" s="5" t="n">
        <v>70.93</v>
      </c>
      <c r="AT105" s="5" t="n">
        <v>72.53</v>
      </c>
      <c r="AU105" s="5" t="n">
        <v>74.13</v>
      </c>
      <c r="AV105" s="5" t="s">
        <v>51</v>
      </c>
    </row>
    <row r="106" customFormat="false" ht="15" hidden="false" customHeight="false" outlineLevel="0" collapsed="false">
      <c r="A106" s="2" t="s">
        <v>73</v>
      </c>
      <c r="B106" s="2" t="n">
        <v>2003</v>
      </c>
      <c r="C106" s="2" t="s">
        <v>53</v>
      </c>
      <c r="D106" s="2" t="n">
        <v>1</v>
      </c>
      <c r="E106" s="2" t="n">
        <v>16</v>
      </c>
      <c r="F106" s="2" t="s">
        <v>50</v>
      </c>
      <c r="G106" s="3" t="n">
        <v>0</v>
      </c>
      <c r="H106" s="3" t="n">
        <v>0</v>
      </c>
      <c r="I106" s="3" t="n">
        <v>1</v>
      </c>
      <c r="J106" s="3" t="n">
        <v>0</v>
      </c>
      <c r="K106" s="3" t="n">
        <v>1</v>
      </c>
      <c r="L106" s="3" t="n">
        <v>0</v>
      </c>
      <c r="M106" s="3" t="n">
        <v>0</v>
      </c>
      <c r="N106" s="3" t="n">
        <v>1</v>
      </c>
      <c r="O106" s="3" t="n">
        <v>0</v>
      </c>
      <c r="P106" s="3" t="n">
        <v>0</v>
      </c>
      <c r="Q106" s="3" t="n">
        <v>1</v>
      </c>
      <c r="R106" s="3" t="n">
        <v>0</v>
      </c>
      <c r="S106" s="3" t="n">
        <v>0</v>
      </c>
      <c r="T106" s="3" t="n">
        <v>0</v>
      </c>
      <c r="U106" s="3" t="n">
        <v>1</v>
      </c>
      <c r="V106" s="3" t="n">
        <v>0</v>
      </c>
      <c r="W106" s="3" t="n">
        <v>0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1</v>
      </c>
      <c r="AG106" s="3" t="n">
        <v>1</v>
      </c>
      <c r="AH106" s="3" t="n">
        <v>1</v>
      </c>
      <c r="AI106" s="3" t="n">
        <v>0</v>
      </c>
      <c r="AJ106" s="4" t="n">
        <f aca="false">SUM(G106:AI106)</f>
        <v>9</v>
      </c>
      <c r="AK106" s="4" t="n">
        <f aca="false">ROUND(SUMPRODUCT(G106:AI106,Gene_Weights!$B$2:$AD$2),3)</f>
        <v>-7.45</v>
      </c>
      <c r="AL106" s="2" t="n">
        <v>7</v>
      </c>
      <c r="AM106" s="2" t="n">
        <v>3</v>
      </c>
      <c r="AN106" s="2" t="n">
        <v>42.86</v>
      </c>
      <c r="AO106" s="5" t="n">
        <v>52.86</v>
      </c>
      <c r="AP106" s="5" t="n">
        <v>53.65</v>
      </c>
      <c r="AQ106" s="5" t="n">
        <v>54.45</v>
      </c>
      <c r="AR106" s="5" t="n">
        <v>55.24</v>
      </c>
      <c r="AS106" s="5" t="n">
        <v>56.03</v>
      </c>
      <c r="AT106" s="5" t="n">
        <v>56.83</v>
      </c>
      <c r="AU106" s="5" t="n">
        <v>57.62</v>
      </c>
      <c r="AV106" s="5" t="s">
        <v>51</v>
      </c>
    </row>
    <row r="107" customFormat="false" ht="15" hidden="false" customHeight="false" outlineLevel="0" collapsed="false">
      <c r="A107" s="2" t="s">
        <v>73</v>
      </c>
      <c r="B107" s="2" t="n">
        <v>2003</v>
      </c>
      <c r="C107" s="2" t="s">
        <v>54</v>
      </c>
      <c r="D107" s="2" t="n">
        <v>1</v>
      </c>
      <c r="E107" s="2" t="n">
        <v>2</v>
      </c>
      <c r="F107" s="2" t="s">
        <v>50</v>
      </c>
      <c r="G107" s="3" t="n">
        <v>0</v>
      </c>
      <c r="H107" s="3" t="n">
        <v>0</v>
      </c>
      <c r="I107" s="3" t="n">
        <v>1</v>
      </c>
      <c r="J107" s="3" t="n">
        <v>0</v>
      </c>
      <c r="K107" s="3" t="n">
        <v>1</v>
      </c>
      <c r="L107" s="3" t="n">
        <v>0</v>
      </c>
      <c r="M107" s="3" t="n">
        <v>0</v>
      </c>
      <c r="N107" s="3" t="n">
        <v>1</v>
      </c>
      <c r="O107" s="3" t="n">
        <v>0</v>
      </c>
      <c r="P107" s="3" t="n">
        <v>0</v>
      </c>
      <c r="Q107" s="3" t="n">
        <v>1</v>
      </c>
      <c r="R107" s="3" t="n">
        <v>0</v>
      </c>
      <c r="S107" s="3" t="n">
        <v>0</v>
      </c>
      <c r="T107" s="3" t="n">
        <v>0</v>
      </c>
      <c r="U107" s="3" t="n">
        <v>1</v>
      </c>
      <c r="V107" s="3" t="n">
        <v>0</v>
      </c>
      <c r="W107" s="3" t="n">
        <v>0</v>
      </c>
      <c r="X107" s="3" t="n">
        <v>0</v>
      </c>
      <c r="Y107" s="3" t="n">
        <v>1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1</v>
      </c>
      <c r="AG107" s="3" t="n">
        <v>1</v>
      </c>
      <c r="AH107" s="3" t="n">
        <v>1</v>
      </c>
      <c r="AI107" s="3" t="n">
        <v>0</v>
      </c>
      <c r="AJ107" s="4" t="n">
        <f aca="false">SUM(G107:AI107)</f>
        <v>9</v>
      </c>
      <c r="AK107" s="4" t="n">
        <f aca="false">ROUND(SUMPRODUCT(G107:AI107,Gene_Weights!$B$2:$AD$2),3)</f>
        <v>-7.45</v>
      </c>
      <c r="AL107" s="2" t="n">
        <v>7</v>
      </c>
      <c r="AM107" s="2" t="n">
        <v>3</v>
      </c>
      <c r="AN107" s="2" t="n">
        <v>42.86</v>
      </c>
      <c r="AO107" s="5" t="n">
        <v>81.84</v>
      </c>
      <c r="AP107" s="5" t="n">
        <v>84.45</v>
      </c>
      <c r="AQ107" s="5" t="n">
        <v>87.06</v>
      </c>
      <c r="AR107" s="5" t="n">
        <v>89.67</v>
      </c>
      <c r="AS107" s="5" t="n">
        <v>92.27</v>
      </c>
      <c r="AT107" s="5" t="n">
        <v>94.88</v>
      </c>
      <c r="AU107" s="5" t="n">
        <v>97.49</v>
      </c>
      <c r="AV107" s="5" t="s">
        <v>51</v>
      </c>
    </row>
    <row r="108" customFormat="false" ht="15" hidden="false" customHeight="false" outlineLevel="0" collapsed="false">
      <c r="A108" s="2" t="s">
        <v>73</v>
      </c>
      <c r="B108" s="2" t="n">
        <v>2003</v>
      </c>
      <c r="C108" s="2" t="s">
        <v>55</v>
      </c>
      <c r="D108" s="2" t="n">
        <v>0</v>
      </c>
      <c r="E108" s="2" t="n">
        <v>32</v>
      </c>
      <c r="F108" s="2" t="s">
        <v>50</v>
      </c>
      <c r="G108" s="3" t="n">
        <v>0</v>
      </c>
      <c r="H108" s="3" t="n">
        <v>0</v>
      </c>
      <c r="I108" s="3" t="n">
        <v>1</v>
      </c>
      <c r="J108" s="3" t="n">
        <v>0</v>
      </c>
      <c r="K108" s="3" t="n">
        <v>1</v>
      </c>
      <c r="L108" s="3" t="n">
        <v>0</v>
      </c>
      <c r="M108" s="3" t="n">
        <v>0</v>
      </c>
      <c r="N108" s="3" t="n">
        <v>1</v>
      </c>
      <c r="O108" s="3" t="n">
        <v>0</v>
      </c>
      <c r="P108" s="3" t="n">
        <v>0</v>
      </c>
      <c r="Q108" s="3" t="n">
        <v>1</v>
      </c>
      <c r="R108" s="3" t="n">
        <v>0</v>
      </c>
      <c r="S108" s="3" t="n">
        <v>0</v>
      </c>
      <c r="T108" s="3" t="n">
        <v>0</v>
      </c>
      <c r="U108" s="3" t="n">
        <v>1</v>
      </c>
      <c r="V108" s="3" t="n">
        <v>0</v>
      </c>
      <c r="W108" s="3" t="n">
        <v>0</v>
      </c>
      <c r="X108" s="3" t="n">
        <v>0</v>
      </c>
      <c r="Y108" s="3" t="n">
        <v>1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1</v>
      </c>
      <c r="AG108" s="3" t="n">
        <v>1</v>
      </c>
      <c r="AH108" s="3" t="n">
        <v>1</v>
      </c>
      <c r="AI108" s="3" t="n">
        <v>0</v>
      </c>
      <c r="AJ108" s="4" t="n">
        <f aca="false">SUM(G108:AI108)</f>
        <v>9</v>
      </c>
      <c r="AK108" s="4" t="n">
        <f aca="false">ROUND(SUMPRODUCT(G108:AI108,Gene_Weights!$B$2:$AD$2),3)</f>
        <v>-7.45</v>
      </c>
      <c r="AL108" s="2" t="n">
        <v>7</v>
      </c>
      <c r="AM108" s="2" t="n">
        <v>1</v>
      </c>
      <c r="AN108" s="2" t="n">
        <v>14.29</v>
      </c>
      <c r="AO108" s="5" t="n">
        <v>58.19</v>
      </c>
      <c r="AP108" s="5" t="n">
        <v>59.74</v>
      </c>
      <c r="AQ108" s="5" t="n">
        <v>61.3</v>
      </c>
      <c r="AR108" s="5" t="n">
        <v>62.86</v>
      </c>
      <c r="AS108" s="5" t="n">
        <v>64.42</v>
      </c>
      <c r="AT108" s="5" t="n">
        <v>65.98</v>
      </c>
      <c r="AU108" s="5" t="n">
        <v>67.53</v>
      </c>
      <c r="AV108" s="5" t="s">
        <v>51</v>
      </c>
    </row>
    <row r="109" customFormat="false" ht="15" hidden="false" customHeight="false" outlineLevel="0" collapsed="false">
      <c r="A109" s="2" t="s">
        <v>73</v>
      </c>
      <c r="B109" s="2" t="n">
        <v>2003</v>
      </c>
      <c r="C109" s="2" t="s">
        <v>56</v>
      </c>
      <c r="D109" s="2" t="n">
        <v>0</v>
      </c>
      <c r="E109" s="2" t="n">
        <v>16</v>
      </c>
      <c r="F109" s="2" t="s">
        <v>50</v>
      </c>
      <c r="G109" s="3" t="n">
        <v>0</v>
      </c>
      <c r="H109" s="3" t="n">
        <v>0</v>
      </c>
      <c r="I109" s="3" t="n">
        <v>1</v>
      </c>
      <c r="J109" s="3" t="n">
        <v>0</v>
      </c>
      <c r="K109" s="3" t="n">
        <v>1</v>
      </c>
      <c r="L109" s="3" t="n">
        <v>0</v>
      </c>
      <c r="M109" s="3" t="n">
        <v>0</v>
      </c>
      <c r="N109" s="3" t="n">
        <v>1</v>
      </c>
      <c r="O109" s="3" t="n">
        <v>0</v>
      </c>
      <c r="P109" s="3" t="n">
        <v>0</v>
      </c>
      <c r="Q109" s="3" t="n">
        <v>1</v>
      </c>
      <c r="R109" s="3" t="n">
        <v>0</v>
      </c>
      <c r="S109" s="3" t="n">
        <v>0</v>
      </c>
      <c r="T109" s="3" t="n">
        <v>0</v>
      </c>
      <c r="U109" s="3" t="n">
        <v>1</v>
      </c>
      <c r="V109" s="3" t="n">
        <v>0</v>
      </c>
      <c r="W109" s="3" t="n">
        <v>0</v>
      </c>
      <c r="X109" s="3" t="n">
        <v>0</v>
      </c>
      <c r="Y109" s="3" t="n">
        <v>1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1</v>
      </c>
      <c r="AG109" s="3" t="n">
        <v>1</v>
      </c>
      <c r="AH109" s="3" t="n">
        <v>1</v>
      </c>
      <c r="AI109" s="3" t="n">
        <v>0</v>
      </c>
      <c r="AJ109" s="4" t="n">
        <f aca="false">SUM(G109:AI109)</f>
        <v>9</v>
      </c>
      <c r="AK109" s="4" t="n">
        <f aca="false">ROUND(SUMPRODUCT(G109:AI109,Gene_Weights!$B$2:$AD$2),3)</f>
        <v>-7.45</v>
      </c>
      <c r="AL109" s="2" t="n">
        <v>7</v>
      </c>
      <c r="AM109" s="2" t="n">
        <v>1</v>
      </c>
      <c r="AN109" s="2" t="n">
        <v>14.29</v>
      </c>
      <c r="AO109" s="5" t="n">
        <v>75.59</v>
      </c>
      <c r="AP109" s="5" t="n">
        <v>78.01</v>
      </c>
      <c r="AQ109" s="5" t="n">
        <v>80.42</v>
      </c>
      <c r="AR109" s="5" t="n">
        <v>82.83</v>
      </c>
      <c r="AS109" s="5" t="n">
        <v>85.24</v>
      </c>
      <c r="AT109" s="5" t="n">
        <v>87.66</v>
      </c>
      <c r="AU109" s="5" t="n">
        <v>90.07</v>
      </c>
      <c r="AV109" s="5" t="s">
        <v>51</v>
      </c>
    </row>
    <row r="110" customFormat="false" ht="15" hidden="false" customHeight="false" outlineLevel="0" collapsed="false">
      <c r="A110" s="2" t="s">
        <v>74</v>
      </c>
      <c r="B110" s="2" t="n">
        <v>2023</v>
      </c>
      <c r="C110" s="2" t="s">
        <v>49</v>
      </c>
      <c r="D110" s="2" t="n">
        <v>1</v>
      </c>
      <c r="E110" s="2" t="n">
        <v>16</v>
      </c>
      <c r="F110" s="2" t="s">
        <v>50</v>
      </c>
      <c r="G110" s="3" t="n">
        <v>0</v>
      </c>
      <c r="H110" s="3" t="n">
        <v>0</v>
      </c>
      <c r="I110" s="3" t="n">
        <v>1</v>
      </c>
      <c r="J110" s="3" t="n">
        <v>0</v>
      </c>
      <c r="K110" s="3" t="n">
        <v>0</v>
      </c>
      <c r="L110" s="3" t="n">
        <v>1</v>
      </c>
      <c r="M110" s="3" t="n">
        <v>0</v>
      </c>
      <c r="N110" s="3" t="n">
        <v>1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1</v>
      </c>
      <c r="U110" s="3" t="n">
        <v>1</v>
      </c>
      <c r="V110" s="3" t="n">
        <v>0</v>
      </c>
      <c r="W110" s="3" t="n">
        <v>1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1</v>
      </c>
      <c r="AC110" s="3" t="n">
        <v>1</v>
      </c>
      <c r="AD110" s="3" t="n">
        <v>0</v>
      </c>
      <c r="AE110" s="3" t="n">
        <v>0</v>
      </c>
      <c r="AF110" s="3" t="n">
        <v>0</v>
      </c>
      <c r="AG110" s="3" t="n">
        <v>1</v>
      </c>
      <c r="AH110" s="3" t="n">
        <v>0</v>
      </c>
      <c r="AI110" s="3" t="n">
        <v>0</v>
      </c>
      <c r="AJ110" s="4" t="n">
        <f aca="false">SUM(G110:AI110)</f>
        <v>9</v>
      </c>
      <c r="AK110" s="4" t="n">
        <f aca="false">ROUND(SUMPRODUCT(G110:AI110,Gene_Weights!$B$2:$AD$2),3)</f>
        <v>-6.98</v>
      </c>
      <c r="AL110" s="2" t="n">
        <v>9</v>
      </c>
      <c r="AM110" s="2" t="n">
        <v>5</v>
      </c>
      <c r="AN110" s="2" t="n">
        <v>55.56</v>
      </c>
      <c r="AO110" s="5" t="n">
        <v>55.12</v>
      </c>
      <c r="AP110" s="5" t="n">
        <v>56.02</v>
      </c>
      <c r="AQ110" s="5" t="n">
        <v>56.92</v>
      </c>
      <c r="AR110" s="5" t="n">
        <v>57.82</v>
      </c>
      <c r="AS110" s="5" t="n">
        <v>58.72</v>
      </c>
      <c r="AT110" s="5" t="n">
        <v>59.62</v>
      </c>
      <c r="AU110" s="5" t="n">
        <v>60.52</v>
      </c>
      <c r="AV110" s="5" t="s">
        <v>51</v>
      </c>
    </row>
    <row r="111" customFormat="false" ht="15" hidden="false" customHeight="false" outlineLevel="0" collapsed="false">
      <c r="A111" s="2" t="s">
        <v>74</v>
      </c>
      <c r="B111" s="2" t="n">
        <v>2023</v>
      </c>
      <c r="C111" s="2" t="s">
        <v>52</v>
      </c>
      <c r="D111" s="2" t="n">
        <v>1</v>
      </c>
      <c r="E111" s="2" t="n">
        <v>16</v>
      </c>
      <c r="F111" s="2" t="s">
        <v>50</v>
      </c>
      <c r="G111" s="3" t="n">
        <v>0</v>
      </c>
      <c r="H111" s="3" t="n">
        <v>0</v>
      </c>
      <c r="I111" s="3" t="n">
        <v>1</v>
      </c>
      <c r="J111" s="3" t="n">
        <v>0</v>
      </c>
      <c r="K111" s="3" t="n">
        <v>0</v>
      </c>
      <c r="L111" s="3" t="n">
        <v>1</v>
      </c>
      <c r="M111" s="3" t="n">
        <v>0</v>
      </c>
      <c r="N111" s="3" t="n">
        <v>1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1</v>
      </c>
      <c r="U111" s="3" t="n">
        <v>1</v>
      </c>
      <c r="V111" s="3" t="n">
        <v>0</v>
      </c>
      <c r="W111" s="3" t="n">
        <v>1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1</v>
      </c>
      <c r="AC111" s="3" t="n">
        <v>1</v>
      </c>
      <c r="AD111" s="3" t="n">
        <v>0</v>
      </c>
      <c r="AE111" s="3" t="n">
        <v>0</v>
      </c>
      <c r="AF111" s="3" t="n">
        <v>0</v>
      </c>
      <c r="AG111" s="3" t="n">
        <v>1</v>
      </c>
      <c r="AH111" s="3" t="n">
        <v>0</v>
      </c>
      <c r="AI111" s="3" t="n">
        <v>0</v>
      </c>
      <c r="AJ111" s="4" t="n">
        <f aca="false">SUM(G111:AI111)</f>
        <v>9</v>
      </c>
      <c r="AK111" s="4" t="n">
        <f aca="false">ROUND(SUMPRODUCT(G111:AI111,Gene_Weights!$B$2:$AD$2),3)</f>
        <v>-6.98</v>
      </c>
      <c r="AL111" s="2" t="n">
        <v>9</v>
      </c>
      <c r="AM111" s="2" t="n">
        <v>7</v>
      </c>
      <c r="AN111" s="2" t="n">
        <v>77.78</v>
      </c>
      <c r="AO111" s="5" t="n">
        <v>64.53</v>
      </c>
      <c r="AP111" s="5" t="n">
        <v>66.13</v>
      </c>
      <c r="AQ111" s="5" t="n">
        <v>67.73</v>
      </c>
      <c r="AR111" s="5" t="n">
        <v>69.33</v>
      </c>
      <c r="AS111" s="5" t="n">
        <v>70.93</v>
      </c>
      <c r="AT111" s="5" t="n">
        <v>72.53</v>
      </c>
      <c r="AU111" s="5" t="n">
        <v>74.13</v>
      </c>
      <c r="AV111" s="5" t="s">
        <v>51</v>
      </c>
    </row>
    <row r="112" customFormat="false" ht="15" hidden="false" customHeight="false" outlineLevel="0" collapsed="false">
      <c r="A112" s="2" t="s">
        <v>74</v>
      </c>
      <c r="B112" s="2" t="n">
        <v>2023</v>
      </c>
      <c r="C112" s="2" t="s">
        <v>53</v>
      </c>
      <c r="D112" s="2" t="n">
        <v>1</v>
      </c>
      <c r="E112" s="2" t="n">
        <v>2</v>
      </c>
      <c r="F112" s="2" t="s">
        <v>50</v>
      </c>
      <c r="G112" s="3" t="n">
        <v>0</v>
      </c>
      <c r="H112" s="3" t="n">
        <v>0</v>
      </c>
      <c r="I112" s="3" t="n">
        <v>1</v>
      </c>
      <c r="J112" s="3" t="n">
        <v>0</v>
      </c>
      <c r="K112" s="3" t="n">
        <v>0</v>
      </c>
      <c r="L112" s="3" t="n">
        <v>1</v>
      </c>
      <c r="M112" s="3" t="n">
        <v>0</v>
      </c>
      <c r="N112" s="3" t="n">
        <v>1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1</v>
      </c>
      <c r="U112" s="3" t="n">
        <v>1</v>
      </c>
      <c r="V112" s="3" t="n">
        <v>0</v>
      </c>
      <c r="W112" s="3" t="n">
        <v>1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1</v>
      </c>
      <c r="AC112" s="3" t="n">
        <v>1</v>
      </c>
      <c r="AD112" s="3" t="n">
        <v>0</v>
      </c>
      <c r="AE112" s="3" t="n">
        <v>0</v>
      </c>
      <c r="AF112" s="3" t="n">
        <v>0</v>
      </c>
      <c r="AG112" s="3" t="n">
        <v>1</v>
      </c>
      <c r="AH112" s="3" t="n">
        <v>0</v>
      </c>
      <c r="AI112" s="3" t="n">
        <v>0</v>
      </c>
      <c r="AJ112" s="4" t="n">
        <f aca="false">SUM(G112:AI112)</f>
        <v>9</v>
      </c>
      <c r="AK112" s="4" t="n">
        <f aca="false">ROUND(SUMPRODUCT(G112:AI112,Gene_Weights!$B$2:$AD$2),3)</f>
        <v>-6.98</v>
      </c>
      <c r="AL112" s="2" t="n">
        <v>9</v>
      </c>
      <c r="AM112" s="2" t="n">
        <v>5</v>
      </c>
      <c r="AN112" s="2" t="n">
        <v>55.56</v>
      </c>
      <c r="AO112" s="5" t="n">
        <v>52.86</v>
      </c>
      <c r="AP112" s="5" t="n">
        <v>53.65</v>
      </c>
      <c r="AQ112" s="5" t="n">
        <v>54.45</v>
      </c>
      <c r="AR112" s="5" t="n">
        <v>55.24</v>
      </c>
      <c r="AS112" s="5" t="n">
        <v>56.03</v>
      </c>
      <c r="AT112" s="5" t="n">
        <v>56.83</v>
      </c>
      <c r="AU112" s="5" t="n">
        <v>57.62</v>
      </c>
      <c r="AV112" s="5" t="s">
        <v>51</v>
      </c>
    </row>
    <row r="113" customFormat="false" ht="15" hidden="false" customHeight="false" outlineLevel="0" collapsed="false">
      <c r="A113" s="2" t="s">
        <v>74</v>
      </c>
      <c r="B113" s="2" t="n">
        <v>2023</v>
      </c>
      <c r="C113" s="2" t="s">
        <v>54</v>
      </c>
      <c r="D113" s="2" t="n">
        <v>1</v>
      </c>
      <c r="E113" s="2" t="n">
        <v>16</v>
      </c>
      <c r="F113" s="2" t="s">
        <v>50</v>
      </c>
      <c r="G113" s="3" t="n">
        <v>0</v>
      </c>
      <c r="H113" s="3" t="n">
        <v>0</v>
      </c>
      <c r="I113" s="3" t="n">
        <v>1</v>
      </c>
      <c r="J113" s="3" t="n">
        <v>0</v>
      </c>
      <c r="K113" s="3" t="n">
        <v>0</v>
      </c>
      <c r="L113" s="3" t="n">
        <v>1</v>
      </c>
      <c r="M113" s="3" t="n">
        <v>0</v>
      </c>
      <c r="N113" s="3" t="n">
        <v>1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1</v>
      </c>
      <c r="U113" s="3" t="n">
        <v>1</v>
      </c>
      <c r="V113" s="3" t="n">
        <v>0</v>
      </c>
      <c r="W113" s="3" t="n">
        <v>1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1</v>
      </c>
      <c r="AC113" s="3" t="n">
        <v>1</v>
      </c>
      <c r="AD113" s="3" t="n">
        <v>0</v>
      </c>
      <c r="AE113" s="3" t="n">
        <v>0</v>
      </c>
      <c r="AF113" s="3" t="n">
        <v>0</v>
      </c>
      <c r="AG113" s="3" t="n">
        <v>1</v>
      </c>
      <c r="AH113" s="3" t="n">
        <v>0</v>
      </c>
      <c r="AI113" s="3" t="n">
        <v>0</v>
      </c>
      <c r="AJ113" s="4" t="n">
        <f aca="false">SUM(G113:AI113)</f>
        <v>9</v>
      </c>
      <c r="AK113" s="4" t="n">
        <f aca="false">ROUND(SUMPRODUCT(G113:AI113,Gene_Weights!$B$2:$AD$2),3)</f>
        <v>-6.98</v>
      </c>
      <c r="AL113" s="2" t="n">
        <v>9</v>
      </c>
      <c r="AM113" s="2" t="n">
        <v>7</v>
      </c>
      <c r="AN113" s="2" t="n">
        <v>77.78</v>
      </c>
      <c r="AO113" s="5" t="n">
        <v>81.84</v>
      </c>
      <c r="AP113" s="5" t="n">
        <v>84.45</v>
      </c>
      <c r="AQ113" s="5" t="n">
        <v>87.06</v>
      </c>
      <c r="AR113" s="5" t="n">
        <v>89.67</v>
      </c>
      <c r="AS113" s="5" t="n">
        <v>92.27</v>
      </c>
      <c r="AT113" s="5" t="n">
        <v>94.88</v>
      </c>
      <c r="AU113" s="5" t="n">
        <v>97.49</v>
      </c>
      <c r="AV113" s="5" t="s">
        <v>51</v>
      </c>
    </row>
    <row r="114" customFormat="false" ht="15" hidden="false" customHeight="false" outlineLevel="0" collapsed="false">
      <c r="A114" s="2" t="s">
        <v>74</v>
      </c>
      <c r="B114" s="2" t="n">
        <v>2023</v>
      </c>
      <c r="C114" s="2" t="s">
        <v>55</v>
      </c>
      <c r="D114" s="2" t="n">
        <v>0</v>
      </c>
      <c r="E114" s="2" t="n">
        <v>2</v>
      </c>
      <c r="F114" s="2" t="s">
        <v>50</v>
      </c>
      <c r="G114" s="3" t="n">
        <v>0</v>
      </c>
      <c r="H114" s="3" t="n">
        <v>0</v>
      </c>
      <c r="I114" s="3" t="n">
        <v>1</v>
      </c>
      <c r="J114" s="3" t="n">
        <v>0</v>
      </c>
      <c r="K114" s="3" t="n">
        <v>0</v>
      </c>
      <c r="L114" s="3" t="n">
        <v>1</v>
      </c>
      <c r="M114" s="3" t="n">
        <v>0</v>
      </c>
      <c r="N114" s="3" t="n">
        <v>1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</v>
      </c>
      <c r="U114" s="3" t="n">
        <v>1</v>
      </c>
      <c r="V114" s="3" t="n">
        <v>0</v>
      </c>
      <c r="W114" s="3" t="n">
        <v>1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1</v>
      </c>
      <c r="AC114" s="3" t="n">
        <v>1</v>
      </c>
      <c r="AD114" s="3" t="n">
        <v>0</v>
      </c>
      <c r="AE114" s="3" t="n">
        <v>0</v>
      </c>
      <c r="AF114" s="3" t="n">
        <v>0</v>
      </c>
      <c r="AG114" s="3" t="n">
        <v>1</v>
      </c>
      <c r="AH114" s="3" t="n">
        <v>0</v>
      </c>
      <c r="AI114" s="3" t="n">
        <v>0</v>
      </c>
      <c r="AJ114" s="4" t="n">
        <f aca="false">SUM(G114:AI114)</f>
        <v>9</v>
      </c>
      <c r="AK114" s="4" t="n">
        <f aca="false">ROUND(SUMPRODUCT(G114:AI114,Gene_Weights!$B$2:$AD$2),3)</f>
        <v>-6.98</v>
      </c>
      <c r="AL114" s="2" t="n">
        <v>9</v>
      </c>
      <c r="AM114" s="2" t="n">
        <v>2</v>
      </c>
      <c r="AN114" s="2" t="n">
        <v>22.22</v>
      </c>
      <c r="AO114" s="5" t="n">
        <v>58.19</v>
      </c>
      <c r="AP114" s="5" t="n">
        <v>59.74</v>
      </c>
      <c r="AQ114" s="5" t="n">
        <v>61.3</v>
      </c>
      <c r="AR114" s="5" t="n">
        <v>62.86</v>
      </c>
      <c r="AS114" s="5" t="n">
        <v>64.42</v>
      </c>
      <c r="AT114" s="5" t="n">
        <v>65.98</v>
      </c>
      <c r="AU114" s="5" t="n">
        <v>67.53</v>
      </c>
      <c r="AV114" s="5" t="s">
        <v>51</v>
      </c>
    </row>
    <row r="115" customFormat="false" ht="15" hidden="false" customHeight="false" outlineLevel="0" collapsed="false">
      <c r="A115" s="2" t="s">
        <v>74</v>
      </c>
      <c r="B115" s="2" t="n">
        <v>2023</v>
      </c>
      <c r="C115" s="2" t="s">
        <v>56</v>
      </c>
      <c r="D115" s="2" t="n">
        <v>0</v>
      </c>
      <c r="E115" s="2" t="n">
        <v>2</v>
      </c>
      <c r="F115" s="2" t="s">
        <v>50</v>
      </c>
      <c r="G115" s="3" t="n">
        <v>0</v>
      </c>
      <c r="H115" s="3" t="n">
        <v>0</v>
      </c>
      <c r="I115" s="3" t="n">
        <v>1</v>
      </c>
      <c r="J115" s="3" t="n">
        <v>0</v>
      </c>
      <c r="K115" s="3" t="n">
        <v>0</v>
      </c>
      <c r="L115" s="3" t="n">
        <v>1</v>
      </c>
      <c r="M115" s="3" t="n">
        <v>0</v>
      </c>
      <c r="N115" s="3" t="n">
        <v>1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1</v>
      </c>
      <c r="U115" s="3" t="n">
        <v>1</v>
      </c>
      <c r="V115" s="3" t="n">
        <v>0</v>
      </c>
      <c r="W115" s="3" t="n">
        <v>1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1</v>
      </c>
      <c r="AC115" s="3" t="n">
        <v>1</v>
      </c>
      <c r="AD115" s="3" t="n">
        <v>0</v>
      </c>
      <c r="AE115" s="3" t="n">
        <v>0</v>
      </c>
      <c r="AF115" s="3" t="n">
        <v>0</v>
      </c>
      <c r="AG115" s="3" t="n">
        <v>1</v>
      </c>
      <c r="AH115" s="3" t="n">
        <v>0</v>
      </c>
      <c r="AI115" s="3" t="n">
        <v>0</v>
      </c>
      <c r="AJ115" s="4" t="n">
        <f aca="false">SUM(G115:AI115)</f>
        <v>9</v>
      </c>
      <c r="AK115" s="4" t="n">
        <f aca="false">ROUND(SUMPRODUCT(G115:AI115,Gene_Weights!$B$2:$AD$2),3)</f>
        <v>-6.98</v>
      </c>
      <c r="AL115" s="2" t="n">
        <v>9</v>
      </c>
      <c r="AM115" s="2" t="n">
        <v>5</v>
      </c>
      <c r="AN115" s="2" t="n">
        <v>55.56</v>
      </c>
      <c r="AO115" s="5" t="n">
        <v>75.59</v>
      </c>
      <c r="AP115" s="5" t="n">
        <v>78.01</v>
      </c>
      <c r="AQ115" s="5" t="n">
        <v>80.42</v>
      </c>
      <c r="AR115" s="5" t="n">
        <v>82.83</v>
      </c>
      <c r="AS115" s="5" t="n">
        <v>85.24</v>
      </c>
      <c r="AT115" s="5" t="n">
        <v>87.66</v>
      </c>
      <c r="AU115" s="5" t="n">
        <v>90.07</v>
      </c>
      <c r="AV115" s="5" t="s">
        <v>51</v>
      </c>
    </row>
    <row r="116" customFormat="false" ht="15" hidden="false" customHeight="false" outlineLevel="0" collapsed="false">
      <c r="A116" s="2" t="s">
        <v>75</v>
      </c>
      <c r="B116" s="2" t="n">
        <v>2022</v>
      </c>
      <c r="C116" s="2" t="s">
        <v>49</v>
      </c>
      <c r="D116" s="2" t="n">
        <v>1</v>
      </c>
      <c r="E116" s="2" t="n">
        <v>16</v>
      </c>
      <c r="F116" s="2" t="s">
        <v>50</v>
      </c>
      <c r="G116" s="3" t="n">
        <v>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1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1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1</v>
      </c>
      <c r="AH116" s="3" t="n">
        <v>1</v>
      </c>
      <c r="AI116" s="3" t="n">
        <v>0</v>
      </c>
      <c r="AJ116" s="4" t="n">
        <f aca="false">SUM(G116:AI116)</f>
        <v>5</v>
      </c>
      <c r="AK116" s="4" t="n">
        <f aca="false">ROUND(SUMPRODUCT(G116:AI116,Gene_Weights!$B$2:$AD$2),3)</f>
        <v>-1.79</v>
      </c>
      <c r="AL116" s="2" t="n">
        <v>6</v>
      </c>
      <c r="AM116" s="2" t="n">
        <v>4</v>
      </c>
      <c r="AN116" s="2" t="n">
        <v>66.67</v>
      </c>
      <c r="AO116" s="5" t="n">
        <v>55.12</v>
      </c>
      <c r="AP116" s="5" t="n">
        <v>56.02</v>
      </c>
      <c r="AQ116" s="5" t="n">
        <v>56.92</v>
      </c>
      <c r="AR116" s="5" t="n">
        <v>57.82</v>
      </c>
      <c r="AS116" s="5" t="n">
        <v>58.72</v>
      </c>
      <c r="AT116" s="5" t="n">
        <v>59.62</v>
      </c>
      <c r="AU116" s="5" t="n">
        <v>60.52</v>
      </c>
      <c r="AV116" s="5" t="s">
        <v>51</v>
      </c>
    </row>
    <row r="117" customFormat="false" ht="15" hidden="false" customHeight="false" outlineLevel="0" collapsed="false">
      <c r="A117" s="2" t="s">
        <v>75</v>
      </c>
      <c r="B117" s="2" t="n">
        <v>2022</v>
      </c>
      <c r="C117" s="2" t="s">
        <v>52</v>
      </c>
      <c r="D117" s="2" t="n">
        <v>0</v>
      </c>
      <c r="E117" s="2" t="n">
        <v>16</v>
      </c>
      <c r="F117" s="2" t="s">
        <v>50</v>
      </c>
      <c r="G117" s="3" t="n">
        <v>0</v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1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1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1</v>
      </c>
      <c r="AH117" s="3" t="n">
        <v>1</v>
      </c>
      <c r="AI117" s="3" t="n">
        <v>0</v>
      </c>
      <c r="AJ117" s="4" t="n">
        <f aca="false">SUM(G117:AI117)</f>
        <v>5</v>
      </c>
      <c r="AK117" s="4" t="n">
        <f aca="false">ROUND(SUMPRODUCT(G117:AI117,Gene_Weights!$B$2:$AD$2),3)</f>
        <v>-1.79</v>
      </c>
      <c r="AL117" s="2" t="n">
        <v>6</v>
      </c>
      <c r="AM117" s="2" t="n">
        <v>2</v>
      </c>
      <c r="AN117" s="2" t="n">
        <v>33.33</v>
      </c>
      <c r="AO117" s="5" t="n">
        <v>64.53</v>
      </c>
      <c r="AP117" s="5" t="n">
        <v>66.13</v>
      </c>
      <c r="AQ117" s="5" t="n">
        <v>67.73</v>
      </c>
      <c r="AR117" s="5" t="n">
        <v>69.33</v>
      </c>
      <c r="AS117" s="5" t="n">
        <v>70.93</v>
      </c>
      <c r="AT117" s="5" t="n">
        <v>72.53</v>
      </c>
      <c r="AU117" s="5" t="n">
        <v>74.13</v>
      </c>
      <c r="AV117" s="5" t="s">
        <v>51</v>
      </c>
    </row>
    <row r="118" customFormat="false" ht="15" hidden="false" customHeight="false" outlineLevel="0" collapsed="false">
      <c r="A118" s="2" t="s">
        <v>75</v>
      </c>
      <c r="B118" s="2" t="n">
        <v>2022</v>
      </c>
      <c r="C118" s="2" t="s">
        <v>53</v>
      </c>
      <c r="D118" s="2" t="n">
        <v>1</v>
      </c>
      <c r="E118" s="2" t="n">
        <v>32</v>
      </c>
      <c r="F118" s="2" t="s">
        <v>50</v>
      </c>
      <c r="G118" s="3" t="n">
        <v>0</v>
      </c>
      <c r="H118" s="3" t="n">
        <v>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1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1</v>
      </c>
      <c r="AH118" s="3" t="n">
        <v>1</v>
      </c>
      <c r="AI118" s="3" t="n">
        <v>0</v>
      </c>
      <c r="AJ118" s="4" t="n">
        <f aca="false">SUM(G118:AI118)</f>
        <v>5</v>
      </c>
      <c r="AK118" s="4" t="n">
        <f aca="false">ROUND(SUMPRODUCT(G118:AI118,Gene_Weights!$B$2:$AD$2),3)</f>
        <v>-1.79</v>
      </c>
      <c r="AL118" s="2" t="n">
        <v>6</v>
      </c>
      <c r="AM118" s="2" t="n">
        <v>5</v>
      </c>
      <c r="AN118" s="2" t="n">
        <v>83.33</v>
      </c>
      <c r="AO118" s="5" t="n">
        <v>52.86</v>
      </c>
      <c r="AP118" s="5" t="n">
        <v>53.65</v>
      </c>
      <c r="AQ118" s="5" t="n">
        <v>54.45</v>
      </c>
      <c r="AR118" s="5" t="n">
        <v>55.24</v>
      </c>
      <c r="AS118" s="5" t="n">
        <v>56.03</v>
      </c>
      <c r="AT118" s="5" t="n">
        <v>56.83</v>
      </c>
      <c r="AU118" s="5" t="n">
        <v>57.62</v>
      </c>
      <c r="AV118" s="5" t="s">
        <v>51</v>
      </c>
    </row>
    <row r="119" customFormat="false" ht="15" hidden="false" customHeight="false" outlineLevel="0" collapsed="false">
      <c r="A119" s="2" t="s">
        <v>75</v>
      </c>
      <c r="B119" s="2" t="n">
        <v>2022</v>
      </c>
      <c r="C119" s="2" t="s">
        <v>54</v>
      </c>
      <c r="D119" s="2" t="n">
        <v>0</v>
      </c>
      <c r="E119" s="2" t="n">
        <v>2</v>
      </c>
      <c r="F119" s="2" t="s">
        <v>50</v>
      </c>
      <c r="G119" s="3" t="n">
        <v>0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1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1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1</v>
      </c>
      <c r="AH119" s="3" t="n">
        <v>1</v>
      </c>
      <c r="AI119" s="3" t="n">
        <v>0</v>
      </c>
      <c r="AJ119" s="4" t="n">
        <f aca="false">SUM(G119:AI119)</f>
        <v>5</v>
      </c>
      <c r="AK119" s="4" t="n">
        <f aca="false">ROUND(SUMPRODUCT(G119:AI119,Gene_Weights!$B$2:$AD$2),3)</f>
        <v>-1.79</v>
      </c>
      <c r="AL119" s="2" t="n">
        <v>6</v>
      </c>
      <c r="AM119" s="2" t="n">
        <v>4</v>
      </c>
      <c r="AN119" s="2" t="n">
        <v>66.67</v>
      </c>
      <c r="AO119" s="5" t="n">
        <v>81.84</v>
      </c>
      <c r="AP119" s="5" t="n">
        <v>84.45</v>
      </c>
      <c r="AQ119" s="5" t="n">
        <v>87.06</v>
      </c>
      <c r="AR119" s="5" t="n">
        <v>89.67</v>
      </c>
      <c r="AS119" s="5" t="n">
        <v>92.27</v>
      </c>
      <c r="AT119" s="5" t="n">
        <v>94.88</v>
      </c>
      <c r="AU119" s="5" t="n">
        <v>97.49</v>
      </c>
      <c r="AV119" s="5" t="s">
        <v>51</v>
      </c>
    </row>
    <row r="120" customFormat="false" ht="15" hidden="false" customHeight="false" outlineLevel="0" collapsed="false">
      <c r="A120" s="2" t="s">
        <v>75</v>
      </c>
      <c r="B120" s="2" t="n">
        <v>2022</v>
      </c>
      <c r="C120" s="2" t="s">
        <v>55</v>
      </c>
      <c r="D120" s="2" t="n">
        <v>1</v>
      </c>
      <c r="E120" s="2" t="n">
        <v>2</v>
      </c>
      <c r="F120" s="2" t="s">
        <v>50</v>
      </c>
      <c r="G120" s="3" t="n">
        <v>0</v>
      </c>
      <c r="H120" s="3" t="n">
        <v>1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1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1</v>
      </c>
      <c r="AH120" s="3" t="n">
        <v>1</v>
      </c>
      <c r="AI120" s="3" t="n">
        <v>0</v>
      </c>
      <c r="AJ120" s="4" t="n">
        <f aca="false">SUM(G120:AI120)</f>
        <v>5</v>
      </c>
      <c r="AK120" s="4" t="n">
        <f aca="false">ROUND(SUMPRODUCT(G120:AI120,Gene_Weights!$B$2:$AD$2),3)</f>
        <v>-1.79</v>
      </c>
      <c r="AL120" s="2" t="n">
        <v>6</v>
      </c>
      <c r="AM120" s="2" t="n">
        <v>3</v>
      </c>
      <c r="AN120" s="2" t="n">
        <v>50</v>
      </c>
      <c r="AO120" s="5" t="n">
        <v>58.19</v>
      </c>
      <c r="AP120" s="5" t="n">
        <v>59.74</v>
      </c>
      <c r="AQ120" s="5" t="n">
        <v>61.3</v>
      </c>
      <c r="AR120" s="5" t="n">
        <v>62.86</v>
      </c>
      <c r="AS120" s="5" t="n">
        <v>64.42</v>
      </c>
      <c r="AT120" s="5" t="n">
        <v>65.98</v>
      </c>
      <c r="AU120" s="5" t="n">
        <v>67.53</v>
      </c>
      <c r="AV120" s="5" t="s">
        <v>51</v>
      </c>
    </row>
    <row r="121" customFormat="false" ht="15" hidden="false" customHeight="false" outlineLevel="0" collapsed="false">
      <c r="A121" s="2" t="s">
        <v>75</v>
      </c>
      <c r="B121" s="2" t="n">
        <v>2022</v>
      </c>
      <c r="C121" s="2" t="s">
        <v>56</v>
      </c>
      <c r="D121" s="2" t="n">
        <v>1</v>
      </c>
      <c r="E121" s="2" t="n">
        <v>32</v>
      </c>
      <c r="F121" s="2" t="s">
        <v>50</v>
      </c>
      <c r="G121" s="3" t="n">
        <v>0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1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1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1</v>
      </c>
      <c r="AH121" s="3" t="n">
        <v>1</v>
      </c>
      <c r="AI121" s="3" t="n">
        <v>0</v>
      </c>
      <c r="AJ121" s="4" t="n">
        <f aca="false">SUM(G121:AI121)</f>
        <v>5</v>
      </c>
      <c r="AK121" s="4" t="n">
        <f aca="false">ROUND(SUMPRODUCT(G121:AI121,Gene_Weights!$B$2:$AD$2),3)</f>
        <v>-1.79</v>
      </c>
      <c r="AL121" s="2" t="n">
        <v>6</v>
      </c>
      <c r="AM121" s="2" t="n">
        <v>5</v>
      </c>
      <c r="AN121" s="2" t="n">
        <v>83.33</v>
      </c>
      <c r="AO121" s="5" t="n">
        <v>75.59</v>
      </c>
      <c r="AP121" s="5" t="n">
        <v>78.01</v>
      </c>
      <c r="AQ121" s="5" t="n">
        <v>80.42</v>
      </c>
      <c r="AR121" s="5" t="n">
        <v>82.83</v>
      </c>
      <c r="AS121" s="5" t="n">
        <v>85.24</v>
      </c>
      <c r="AT121" s="5" t="n">
        <v>87.66</v>
      </c>
      <c r="AU121" s="5" t="n">
        <v>90.07</v>
      </c>
      <c r="AV121" s="5" t="s">
        <v>51</v>
      </c>
    </row>
    <row r="122" customFormat="false" ht="15" hidden="false" customHeight="false" outlineLevel="0" collapsed="false">
      <c r="A122" s="2" t="s">
        <v>76</v>
      </c>
      <c r="B122" s="2" t="n">
        <v>2009</v>
      </c>
      <c r="C122" s="2" t="s">
        <v>49</v>
      </c>
      <c r="D122" s="2" t="n">
        <v>0</v>
      </c>
      <c r="E122" s="2" t="n">
        <v>32</v>
      </c>
      <c r="F122" s="2" t="s">
        <v>50</v>
      </c>
      <c r="G122" s="3" t="n">
        <v>0</v>
      </c>
      <c r="H122" s="3" t="n">
        <v>0</v>
      </c>
      <c r="I122" s="3" t="n">
        <v>1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</v>
      </c>
      <c r="O122" s="3" t="n">
        <v>0</v>
      </c>
      <c r="P122" s="3" t="n">
        <v>0</v>
      </c>
      <c r="Q122" s="3" t="n">
        <v>1</v>
      </c>
      <c r="R122" s="3" t="n">
        <v>1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1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1</v>
      </c>
      <c r="AD122" s="3" t="n">
        <v>1</v>
      </c>
      <c r="AE122" s="3" t="n">
        <v>1</v>
      </c>
      <c r="AF122" s="3" t="n">
        <v>0</v>
      </c>
      <c r="AG122" s="3" t="n">
        <v>1</v>
      </c>
      <c r="AH122" s="3" t="n">
        <v>0</v>
      </c>
      <c r="AI122" s="3" t="n">
        <v>1</v>
      </c>
      <c r="AJ122" s="4" t="n">
        <f aca="false">SUM(G122:AI122)</f>
        <v>10</v>
      </c>
      <c r="AK122" s="4" t="n">
        <f aca="false">ROUND(SUMPRODUCT(G122:AI122,Gene_Weights!$B$2:$AD$2),3)</f>
        <v>-8.66</v>
      </c>
      <c r="AL122" s="2" t="n">
        <v>12</v>
      </c>
      <c r="AM122" s="2" t="n">
        <v>4</v>
      </c>
      <c r="AN122" s="2" t="n">
        <v>33.33</v>
      </c>
      <c r="AO122" s="5" t="n">
        <v>55.12</v>
      </c>
      <c r="AP122" s="5" t="n">
        <v>56.02</v>
      </c>
      <c r="AQ122" s="5" t="n">
        <v>56.92</v>
      </c>
      <c r="AR122" s="5" t="n">
        <v>57.82</v>
      </c>
      <c r="AS122" s="5" t="n">
        <v>58.72</v>
      </c>
      <c r="AT122" s="5" t="n">
        <v>59.62</v>
      </c>
      <c r="AU122" s="5" t="n">
        <v>60.52</v>
      </c>
      <c r="AV122" s="5" t="s">
        <v>51</v>
      </c>
    </row>
    <row r="123" customFormat="false" ht="15" hidden="false" customHeight="false" outlineLevel="0" collapsed="false">
      <c r="A123" s="2" t="s">
        <v>76</v>
      </c>
      <c r="B123" s="2" t="n">
        <v>2009</v>
      </c>
      <c r="C123" s="2" t="s">
        <v>52</v>
      </c>
      <c r="D123" s="2" t="n">
        <v>0</v>
      </c>
      <c r="E123" s="2" t="n">
        <v>2</v>
      </c>
      <c r="F123" s="2" t="s">
        <v>50</v>
      </c>
      <c r="G123" s="3" t="n">
        <v>0</v>
      </c>
      <c r="H123" s="3" t="n">
        <v>0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</v>
      </c>
      <c r="O123" s="3" t="n">
        <v>0</v>
      </c>
      <c r="P123" s="3" t="n">
        <v>0</v>
      </c>
      <c r="Q123" s="3" t="n">
        <v>1</v>
      </c>
      <c r="R123" s="3" t="n">
        <v>1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1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1</v>
      </c>
      <c r="AD123" s="3" t="n">
        <v>1</v>
      </c>
      <c r="AE123" s="3" t="n">
        <v>1</v>
      </c>
      <c r="AF123" s="3" t="n">
        <v>0</v>
      </c>
      <c r="AG123" s="3" t="n">
        <v>1</v>
      </c>
      <c r="AH123" s="3" t="n">
        <v>0</v>
      </c>
      <c r="AI123" s="3" t="n">
        <v>1</v>
      </c>
      <c r="AJ123" s="4" t="n">
        <f aca="false">SUM(G123:AI123)</f>
        <v>10</v>
      </c>
      <c r="AK123" s="4" t="n">
        <f aca="false">ROUND(SUMPRODUCT(G123:AI123,Gene_Weights!$B$2:$AD$2),3)</f>
        <v>-8.66</v>
      </c>
      <c r="AL123" s="2" t="n">
        <v>12</v>
      </c>
      <c r="AM123" s="2" t="n">
        <v>3</v>
      </c>
      <c r="AN123" s="2" t="n">
        <v>25</v>
      </c>
      <c r="AO123" s="5" t="n">
        <v>64.53</v>
      </c>
      <c r="AP123" s="5" t="n">
        <v>66.13</v>
      </c>
      <c r="AQ123" s="5" t="n">
        <v>67.73</v>
      </c>
      <c r="AR123" s="5" t="n">
        <v>69.33</v>
      </c>
      <c r="AS123" s="5" t="n">
        <v>70.93</v>
      </c>
      <c r="AT123" s="5" t="n">
        <v>72.53</v>
      </c>
      <c r="AU123" s="5" t="n">
        <v>74.13</v>
      </c>
      <c r="AV123" s="5" t="s">
        <v>51</v>
      </c>
    </row>
    <row r="124" customFormat="false" ht="15" hidden="false" customHeight="false" outlineLevel="0" collapsed="false">
      <c r="A124" s="2" t="s">
        <v>76</v>
      </c>
      <c r="B124" s="2" t="n">
        <v>2009</v>
      </c>
      <c r="C124" s="2" t="s">
        <v>53</v>
      </c>
      <c r="D124" s="2" t="n">
        <v>1</v>
      </c>
      <c r="E124" s="2" t="n">
        <v>16</v>
      </c>
      <c r="F124" s="2" t="s">
        <v>50</v>
      </c>
      <c r="G124" s="3" t="n">
        <v>0</v>
      </c>
      <c r="H124" s="3" t="n">
        <v>0</v>
      </c>
      <c r="I124" s="3" t="n">
        <v>1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</v>
      </c>
      <c r="O124" s="3" t="n">
        <v>0</v>
      </c>
      <c r="P124" s="3" t="n">
        <v>0</v>
      </c>
      <c r="Q124" s="3" t="n">
        <v>1</v>
      </c>
      <c r="R124" s="3" t="n">
        <v>1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1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1</v>
      </c>
      <c r="AD124" s="3" t="n">
        <v>1</v>
      </c>
      <c r="AE124" s="3" t="n">
        <v>1</v>
      </c>
      <c r="AF124" s="3" t="n">
        <v>0</v>
      </c>
      <c r="AG124" s="3" t="n">
        <v>1</v>
      </c>
      <c r="AH124" s="3" t="n">
        <v>0</v>
      </c>
      <c r="AI124" s="3" t="n">
        <v>1</v>
      </c>
      <c r="AJ124" s="4" t="n">
        <f aca="false">SUM(G124:AI124)</f>
        <v>10</v>
      </c>
      <c r="AK124" s="4" t="n">
        <f aca="false">ROUND(SUMPRODUCT(G124:AI124,Gene_Weights!$B$2:$AD$2),3)</f>
        <v>-8.66</v>
      </c>
      <c r="AL124" s="2" t="n">
        <v>12</v>
      </c>
      <c r="AM124" s="2" t="n">
        <v>9</v>
      </c>
      <c r="AN124" s="2" t="n">
        <v>75</v>
      </c>
      <c r="AO124" s="5" t="n">
        <v>52.86</v>
      </c>
      <c r="AP124" s="5" t="n">
        <v>53.65</v>
      </c>
      <c r="AQ124" s="5" t="n">
        <v>54.45</v>
      </c>
      <c r="AR124" s="5" t="n">
        <v>55.24</v>
      </c>
      <c r="AS124" s="5" t="n">
        <v>56.03</v>
      </c>
      <c r="AT124" s="5" t="n">
        <v>56.83</v>
      </c>
      <c r="AU124" s="5" t="n">
        <v>57.62</v>
      </c>
      <c r="AV124" s="5" t="s">
        <v>51</v>
      </c>
    </row>
    <row r="125" customFormat="false" ht="15" hidden="false" customHeight="false" outlineLevel="0" collapsed="false">
      <c r="A125" s="2" t="s">
        <v>76</v>
      </c>
      <c r="B125" s="2" t="n">
        <v>2009</v>
      </c>
      <c r="C125" s="2" t="s">
        <v>54</v>
      </c>
      <c r="D125" s="2" t="n">
        <v>0</v>
      </c>
      <c r="E125" s="2" t="n">
        <v>16</v>
      </c>
      <c r="F125" s="2" t="s">
        <v>50</v>
      </c>
      <c r="G125" s="3" t="n">
        <v>0</v>
      </c>
      <c r="H125" s="3" t="n">
        <v>0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</v>
      </c>
      <c r="O125" s="3" t="n">
        <v>0</v>
      </c>
      <c r="P125" s="3" t="n">
        <v>0</v>
      </c>
      <c r="Q125" s="3" t="n">
        <v>1</v>
      </c>
      <c r="R125" s="3" t="n">
        <v>1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1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1</v>
      </c>
      <c r="AD125" s="3" t="n">
        <v>1</v>
      </c>
      <c r="AE125" s="3" t="n">
        <v>1</v>
      </c>
      <c r="AF125" s="3" t="n">
        <v>0</v>
      </c>
      <c r="AG125" s="3" t="n">
        <v>1</v>
      </c>
      <c r="AH125" s="3" t="n">
        <v>0</v>
      </c>
      <c r="AI125" s="3" t="n">
        <v>1</v>
      </c>
      <c r="AJ125" s="4" t="n">
        <f aca="false">SUM(G125:AI125)</f>
        <v>10</v>
      </c>
      <c r="AK125" s="4" t="n">
        <f aca="false">ROUND(SUMPRODUCT(G125:AI125,Gene_Weights!$B$2:$AD$2),3)</f>
        <v>-8.66</v>
      </c>
      <c r="AL125" s="2" t="n">
        <v>12</v>
      </c>
      <c r="AM125" s="2" t="n">
        <v>8</v>
      </c>
      <c r="AN125" s="2" t="n">
        <v>66.67</v>
      </c>
      <c r="AO125" s="5" t="n">
        <v>81.84</v>
      </c>
      <c r="AP125" s="5" t="n">
        <v>84.45</v>
      </c>
      <c r="AQ125" s="5" t="n">
        <v>87.06</v>
      </c>
      <c r="AR125" s="5" t="n">
        <v>89.67</v>
      </c>
      <c r="AS125" s="5" t="n">
        <v>92.27</v>
      </c>
      <c r="AT125" s="5" t="n">
        <v>94.88</v>
      </c>
      <c r="AU125" s="5" t="n">
        <v>97.49</v>
      </c>
      <c r="AV125" s="5" t="s">
        <v>51</v>
      </c>
    </row>
    <row r="126" customFormat="false" ht="15" hidden="false" customHeight="false" outlineLevel="0" collapsed="false">
      <c r="A126" s="2" t="s">
        <v>76</v>
      </c>
      <c r="B126" s="2" t="n">
        <v>2009</v>
      </c>
      <c r="C126" s="2" t="s">
        <v>55</v>
      </c>
      <c r="D126" s="2" t="n">
        <v>0</v>
      </c>
      <c r="E126" s="2" t="n">
        <v>4</v>
      </c>
      <c r="F126" s="2" t="s">
        <v>50</v>
      </c>
      <c r="G126" s="3" t="n">
        <v>0</v>
      </c>
      <c r="H126" s="3" t="n">
        <v>0</v>
      </c>
      <c r="I126" s="3" t="n">
        <v>1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1</v>
      </c>
      <c r="O126" s="3" t="n">
        <v>0</v>
      </c>
      <c r="P126" s="3" t="n">
        <v>0</v>
      </c>
      <c r="Q126" s="3" t="n">
        <v>1</v>
      </c>
      <c r="R126" s="3" t="n">
        <v>1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1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1</v>
      </c>
      <c r="AD126" s="3" t="n">
        <v>1</v>
      </c>
      <c r="AE126" s="3" t="n">
        <v>1</v>
      </c>
      <c r="AF126" s="3" t="n">
        <v>0</v>
      </c>
      <c r="AG126" s="3" t="n">
        <v>1</v>
      </c>
      <c r="AH126" s="3" t="n">
        <v>0</v>
      </c>
      <c r="AI126" s="3" t="n">
        <v>1</v>
      </c>
      <c r="AJ126" s="4" t="n">
        <f aca="false">SUM(G126:AI126)</f>
        <v>10</v>
      </c>
      <c r="AK126" s="4" t="n">
        <f aca="false">ROUND(SUMPRODUCT(G126:AI126,Gene_Weights!$B$2:$AD$2),3)</f>
        <v>-8.66</v>
      </c>
      <c r="AL126" s="2" t="n">
        <v>12</v>
      </c>
      <c r="AM126" s="2" t="n">
        <v>2</v>
      </c>
      <c r="AN126" s="2" t="n">
        <v>16.67</v>
      </c>
      <c r="AO126" s="5" t="n">
        <v>58.19</v>
      </c>
      <c r="AP126" s="5" t="n">
        <v>59.74</v>
      </c>
      <c r="AQ126" s="5" t="n">
        <v>61.3</v>
      </c>
      <c r="AR126" s="5" t="n">
        <v>62.86</v>
      </c>
      <c r="AS126" s="5" t="n">
        <v>64.42</v>
      </c>
      <c r="AT126" s="5" t="n">
        <v>65.98</v>
      </c>
      <c r="AU126" s="5" t="n">
        <v>67.53</v>
      </c>
      <c r="AV126" s="5" t="s">
        <v>51</v>
      </c>
    </row>
    <row r="127" customFormat="false" ht="15" hidden="false" customHeight="false" outlineLevel="0" collapsed="false">
      <c r="A127" s="2" t="s">
        <v>76</v>
      </c>
      <c r="B127" s="2" t="n">
        <v>2009</v>
      </c>
      <c r="C127" s="2" t="s">
        <v>56</v>
      </c>
      <c r="D127" s="2" t="n">
        <v>0</v>
      </c>
      <c r="E127" s="2" t="n">
        <v>32</v>
      </c>
      <c r="F127" s="2" t="s">
        <v>50</v>
      </c>
      <c r="G127" s="3" t="n">
        <v>0</v>
      </c>
      <c r="H127" s="3" t="n">
        <v>0</v>
      </c>
      <c r="I127" s="3" t="n">
        <v>1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1</v>
      </c>
      <c r="O127" s="3" t="n">
        <v>0</v>
      </c>
      <c r="P127" s="3" t="n">
        <v>0</v>
      </c>
      <c r="Q127" s="3" t="n">
        <v>1</v>
      </c>
      <c r="R127" s="3" t="n">
        <v>1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1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1</v>
      </c>
      <c r="AD127" s="3" t="n">
        <v>1</v>
      </c>
      <c r="AE127" s="3" t="n">
        <v>1</v>
      </c>
      <c r="AF127" s="3" t="n">
        <v>0</v>
      </c>
      <c r="AG127" s="3" t="n">
        <v>1</v>
      </c>
      <c r="AH127" s="3" t="n">
        <v>0</v>
      </c>
      <c r="AI127" s="3" t="n">
        <v>1</v>
      </c>
      <c r="AJ127" s="4" t="n">
        <f aca="false">SUM(G127:AI127)</f>
        <v>10</v>
      </c>
      <c r="AK127" s="4" t="n">
        <f aca="false">ROUND(SUMPRODUCT(G127:AI127,Gene_Weights!$B$2:$AD$2),3)</f>
        <v>-8.66</v>
      </c>
      <c r="AL127" s="2" t="n">
        <v>12</v>
      </c>
      <c r="AM127" s="2" t="n">
        <v>4</v>
      </c>
      <c r="AN127" s="2" t="n">
        <v>33.33</v>
      </c>
      <c r="AO127" s="5" t="n">
        <v>75.59</v>
      </c>
      <c r="AP127" s="5" t="n">
        <v>78.01</v>
      </c>
      <c r="AQ127" s="5" t="n">
        <v>80.42</v>
      </c>
      <c r="AR127" s="5" t="n">
        <v>82.83</v>
      </c>
      <c r="AS127" s="5" t="n">
        <v>85.24</v>
      </c>
      <c r="AT127" s="5" t="n">
        <v>87.66</v>
      </c>
      <c r="AU127" s="5" t="n">
        <v>90.07</v>
      </c>
      <c r="AV127" s="5" t="s">
        <v>51</v>
      </c>
    </row>
    <row r="128" customFormat="false" ht="15" hidden="false" customHeight="false" outlineLevel="0" collapsed="false">
      <c r="A128" s="2" t="s">
        <v>77</v>
      </c>
      <c r="B128" s="2" t="n">
        <v>2017</v>
      </c>
      <c r="C128" s="2" t="s">
        <v>49</v>
      </c>
      <c r="D128" s="2" t="n">
        <v>1</v>
      </c>
      <c r="E128" s="2" t="n">
        <v>32</v>
      </c>
      <c r="F128" s="2" t="s">
        <v>50</v>
      </c>
      <c r="G128" s="3" t="n">
        <v>0</v>
      </c>
      <c r="H128" s="3" t="n">
        <v>1</v>
      </c>
      <c r="I128" s="3" t="n">
        <v>0</v>
      </c>
      <c r="J128" s="3" t="n">
        <v>0</v>
      </c>
      <c r="K128" s="3" t="n">
        <v>1</v>
      </c>
      <c r="L128" s="3" t="n">
        <v>0</v>
      </c>
      <c r="M128" s="3" t="n">
        <v>0</v>
      </c>
      <c r="N128" s="3" t="n">
        <v>1</v>
      </c>
      <c r="O128" s="3" t="n">
        <v>0</v>
      </c>
      <c r="P128" s="3" t="n">
        <v>0</v>
      </c>
      <c r="Q128" s="3" t="n">
        <v>1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1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1</v>
      </c>
      <c r="AC128" s="3" t="n">
        <v>0</v>
      </c>
      <c r="AD128" s="3" t="n">
        <v>0</v>
      </c>
      <c r="AE128" s="3" t="n">
        <v>1</v>
      </c>
      <c r="AF128" s="3" t="n">
        <v>0</v>
      </c>
      <c r="AG128" s="3" t="n">
        <v>0</v>
      </c>
      <c r="AH128" s="3" t="n">
        <v>0</v>
      </c>
      <c r="AI128" s="3" t="n">
        <v>0</v>
      </c>
      <c r="AJ128" s="4" t="n">
        <f aca="false">SUM(G128:AI128)</f>
        <v>7</v>
      </c>
      <c r="AK128" s="4" t="n">
        <f aca="false">ROUND(SUMPRODUCT(G128:AI128,Gene_Weights!$B$2:$AD$2),3)</f>
        <v>-3.64</v>
      </c>
      <c r="AL128" s="2" t="n">
        <v>9</v>
      </c>
      <c r="AM128" s="2" t="n">
        <v>4</v>
      </c>
      <c r="AN128" s="2" t="n">
        <v>44.44</v>
      </c>
      <c r="AO128" s="5" t="n">
        <v>55.12</v>
      </c>
      <c r="AP128" s="5" t="n">
        <v>56.02</v>
      </c>
      <c r="AQ128" s="5" t="n">
        <v>56.92</v>
      </c>
      <c r="AR128" s="5" t="n">
        <v>57.82</v>
      </c>
      <c r="AS128" s="5" t="n">
        <v>58.72</v>
      </c>
      <c r="AT128" s="5" t="n">
        <v>59.62</v>
      </c>
      <c r="AU128" s="5" t="n">
        <v>60.52</v>
      </c>
      <c r="AV128" s="5" t="s">
        <v>51</v>
      </c>
    </row>
    <row r="129" customFormat="false" ht="15" hidden="false" customHeight="false" outlineLevel="0" collapsed="false">
      <c r="A129" s="2" t="s">
        <v>77</v>
      </c>
      <c r="B129" s="2" t="n">
        <v>2017</v>
      </c>
      <c r="C129" s="2" t="s">
        <v>52</v>
      </c>
      <c r="D129" s="2" t="n">
        <v>0</v>
      </c>
      <c r="E129" s="2" t="n">
        <v>32</v>
      </c>
      <c r="F129" s="2" t="s">
        <v>50</v>
      </c>
      <c r="G129" s="3" t="n">
        <v>0</v>
      </c>
      <c r="H129" s="3" t="n">
        <v>1</v>
      </c>
      <c r="I129" s="3" t="n">
        <v>0</v>
      </c>
      <c r="J129" s="3" t="n">
        <v>0</v>
      </c>
      <c r="K129" s="3" t="n">
        <v>1</v>
      </c>
      <c r="L129" s="3" t="n">
        <v>0</v>
      </c>
      <c r="M129" s="3" t="n">
        <v>0</v>
      </c>
      <c r="N129" s="3" t="n">
        <v>1</v>
      </c>
      <c r="O129" s="3" t="n">
        <v>0</v>
      </c>
      <c r="P129" s="3" t="n">
        <v>0</v>
      </c>
      <c r="Q129" s="3" t="n">
        <v>1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1</v>
      </c>
      <c r="AC129" s="3" t="n">
        <v>0</v>
      </c>
      <c r="AD129" s="3" t="n">
        <v>0</v>
      </c>
      <c r="AE129" s="3" t="n">
        <v>1</v>
      </c>
      <c r="AF129" s="3" t="n">
        <v>0</v>
      </c>
      <c r="AG129" s="3" t="n">
        <v>0</v>
      </c>
      <c r="AH129" s="3" t="n">
        <v>0</v>
      </c>
      <c r="AI129" s="3" t="n">
        <v>0</v>
      </c>
      <c r="AJ129" s="4" t="n">
        <f aca="false">SUM(G129:AI129)</f>
        <v>7</v>
      </c>
      <c r="AK129" s="4" t="n">
        <f aca="false">ROUND(SUMPRODUCT(G129:AI129,Gene_Weights!$B$2:$AD$2),3)</f>
        <v>-3.64</v>
      </c>
      <c r="AL129" s="2" t="n">
        <v>9</v>
      </c>
      <c r="AM129" s="2" t="n">
        <v>7</v>
      </c>
      <c r="AN129" s="2" t="n">
        <v>77.78</v>
      </c>
      <c r="AO129" s="5" t="n">
        <v>64.53</v>
      </c>
      <c r="AP129" s="5" t="n">
        <v>66.13</v>
      </c>
      <c r="AQ129" s="5" t="n">
        <v>67.73</v>
      </c>
      <c r="AR129" s="5" t="n">
        <v>69.33</v>
      </c>
      <c r="AS129" s="5" t="n">
        <v>70.93</v>
      </c>
      <c r="AT129" s="5" t="n">
        <v>72.53</v>
      </c>
      <c r="AU129" s="5" t="n">
        <v>74.13</v>
      </c>
      <c r="AV129" s="5" t="s">
        <v>51</v>
      </c>
    </row>
    <row r="130" customFormat="false" ht="15" hidden="false" customHeight="false" outlineLevel="0" collapsed="false">
      <c r="A130" s="2" t="s">
        <v>77</v>
      </c>
      <c r="B130" s="2" t="n">
        <v>2017</v>
      </c>
      <c r="C130" s="2" t="s">
        <v>53</v>
      </c>
      <c r="D130" s="2" t="n">
        <v>0</v>
      </c>
      <c r="E130" s="2" t="n">
        <v>16</v>
      </c>
      <c r="F130" s="2" t="s">
        <v>50</v>
      </c>
      <c r="G130" s="3" t="n">
        <v>0</v>
      </c>
      <c r="H130" s="3" t="n">
        <v>1</v>
      </c>
      <c r="I130" s="3" t="n">
        <v>0</v>
      </c>
      <c r="J130" s="3" t="n">
        <v>0</v>
      </c>
      <c r="K130" s="3" t="n">
        <v>1</v>
      </c>
      <c r="L130" s="3" t="n">
        <v>0</v>
      </c>
      <c r="M130" s="3" t="n">
        <v>0</v>
      </c>
      <c r="N130" s="3" t="n">
        <v>1</v>
      </c>
      <c r="O130" s="3" t="n">
        <v>0</v>
      </c>
      <c r="P130" s="3" t="n">
        <v>0</v>
      </c>
      <c r="Q130" s="3" t="n">
        <v>1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1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1</v>
      </c>
      <c r="AC130" s="3" t="n">
        <v>0</v>
      </c>
      <c r="AD130" s="3" t="n">
        <v>0</v>
      </c>
      <c r="AE130" s="3" t="n">
        <v>1</v>
      </c>
      <c r="AF130" s="3" t="n">
        <v>0</v>
      </c>
      <c r="AG130" s="3" t="n">
        <v>0</v>
      </c>
      <c r="AH130" s="3" t="n">
        <v>0</v>
      </c>
      <c r="AI130" s="3" t="n">
        <v>0</v>
      </c>
      <c r="AJ130" s="4" t="n">
        <f aca="false">SUM(G130:AI130)</f>
        <v>7</v>
      </c>
      <c r="AK130" s="4" t="n">
        <f aca="false">ROUND(SUMPRODUCT(G130:AI130,Gene_Weights!$B$2:$AD$2),3)</f>
        <v>-3.64</v>
      </c>
      <c r="AL130" s="2" t="n">
        <v>9</v>
      </c>
      <c r="AM130" s="2" t="n">
        <v>6</v>
      </c>
      <c r="AN130" s="2" t="n">
        <v>66.67</v>
      </c>
      <c r="AO130" s="5" t="n">
        <v>52.86</v>
      </c>
      <c r="AP130" s="5" t="n">
        <v>53.65</v>
      </c>
      <c r="AQ130" s="5" t="n">
        <v>54.45</v>
      </c>
      <c r="AR130" s="5" t="n">
        <v>55.24</v>
      </c>
      <c r="AS130" s="5" t="n">
        <v>56.03</v>
      </c>
      <c r="AT130" s="5" t="n">
        <v>56.83</v>
      </c>
      <c r="AU130" s="5" t="n">
        <v>57.62</v>
      </c>
      <c r="AV130" s="5" t="s">
        <v>51</v>
      </c>
    </row>
    <row r="131" customFormat="false" ht="15" hidden="false" customHeight="false" outlineLevel="0" collapsed="false">
      <c r="A131" s="2" t="s">
        <v>77</v>
      </c>
      <c r="B131" s="2" t="n">
        <v>2017</v>
      </c>
      <c r="C131" s="2" t="s">
        <v>54</v>
      </c>
      <c r="D131" s="2" t="n">
        <v>1</v>
      </c>
      <c r="E131" s="2" t="n">
        <v>2</v>
      </c>
      <c r="F131" s="2" t="s">
        <v>50</v>
      </c>
      <c r="G131" s="3" t="n">
        <v>0</v>
      </c>
      <c r="H131" s="3" t="n">
        <v>1</v>
      </c>
      <c r="I131" s="3" t="n">
        <v>0</v>
      </c>
      <c r="J131" s="3" t="n">
        <v>0</v>
      </c>
      <c r="K131" s="3" t="n">
        <v>1</v>
      </c>
      <c r="L131" s="3" t="n">
        <v>0</v>
      </c>
      <c r="M131" s="3" t="n">
        <v>0</v>
      </c>
      <c r="N131" s="3" t="n">
        <v>1</v>
      </c>
      <c r="O131" s="3" t="n">
        <v>0</v>
      </c>
      <c r="P131" s="3" t="n">
        <v>0</v>
      </c>
      <c r="Q131" s="3" t="n">
        <v>1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1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1</v>
      </c>
      <c r="AC131" s="3" t="n">
        <v>0</v>
      </c>
      <c r="AD131" s="3" t="n">
        <v>0</v>
      </c>
      <c r="AE131" s="3" t="n">
        <v>1</v>
      </c>
      <c r="AF131" s="3" t="n">
        <v>0</v>
      </c>
      <c r="AG131" s="3" t="n">
        <v>0</v>
      </c>
      <c r="AH131" s="3" t="n">
        <v>0</v>
      </c>
      <c r="AI131" s="3" t="n">
        <v>0</v>
      </c>
      <c r="AJ131" s="4" t="n">
        <f aca="false">SUM(G131:AI131)</f>
        <v>7</v>
      </c>
      <c r="AK131" s="4" t="n">
        <f aca="false">ROUND(SUMPRODUCT(G131:AI131,Gene_Weights!$B$2:$AD$2),3)</f>
        <v>-3.64</v>
      </c>
      <c r="AL131" s="2" t="n">
        <v>9</v>
      </c>
      <c r="AM131" s="2" t="n">
        <v>3</v>
      </c>
      <c r="AN131" s="2" t="n">
        <v>33.33</v>
      </c>
      <c r="AO131" s="5" t="n">
        <v>81.84</v>
      </c>
      <c r="AP131" s="5" t="n">
        <v>84.45</v>
      </c>
      <c r="AQ131" s="5" t="n">
        <v>87.06</v>
      </c>
      <c r="AR131" s="5" t="n">
        <v>89.67</v>
      </c>
      <c r="AS131" s="5" t="n">
        <v>92.27</v>
      </c>
      <c r="AT131" s="5" t="n">
        <v>94.88</v>
      </c>
      <c r="AU131" s="5" t="n">
        <v>97.49</v>
      </c>
      <c r="AV131" s="5" t="s">
        <v>51</v>
      </c>
    </row>
    <row r="132" customFormat="false" ht="15" hidden="false" customHeight="false" outlineLevel="0" collapsed="false">
      <c r="A132" s="2" t="s">
        <v>77</v>
      </c>
      <c r="B132" s="2" t="n">
        <v>2017</v>
      </c>
      <c r="C132" s="2" t="s">
        <v>55</v>
      </c>
      <c r="D132" s="2" t="n">
        <v>0</v>
      </c>
      <c r="E132" s="2" t="n">
        <v>2</v>
      </c>
      <c r="F132" s="2" t="s">
        <v>50</v>
      </c>
      <c r="G132" s="3" t="n">
        <v>0</v>
      </c>
      <c r="H132" s="3" t="n">
        <v>1</v>
      </c>
      <c r="I132" s="3" t="n">
        <v>0</v>
      </c>
      <c r="J132" s="3" t="n">
        <v>0</v>
      </c>
      <c r="K132" s="3" t="n">
        <v>1</v>
      </c>
      <c r="L132" s="3" t="n">
        <v>0</v>
      </c>
      <c r="M132" s="3" t="n">
        <v>0</v>
      </c>
      <c r="N132" s="3" t="n">
        <v>1</v>
      </c>
      <c r="O132" s="3" t="n">
        <v>0</v>
      </c>
      <c r="P132" s="3" t="n">
        <v>0</v>
      </c>
      <c r="Q132" s="3" t="n">
        <v>1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1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1</v>
      </c>
      <c r="AC132" s="3" t="n">
        <v>0</v>
      </c>
      <c r="AD132" s="3" t="n">
        <v>0</v>
      </c>
      <c r="AE132" s="3" t="n">
        <v>1</v>
      </c>
      <c r="AF132" s="3" t="n">
        <v>0</v>
      </c>
      <c r="AG132" s="3" t="n">
        <v>0</v>
      </c>
      <c r="AH132" s="3" t="n">
        <v>0</v>
      </c>
      <c r="AI132" s="3" t="n">
        <v>0</v>
      </c>
      <c r="AJ132" s="4" t="n">
        <f aca="false">SUM(G132:AI132)</f>
        <v>7</v>
      </c>
      <c r="AK132" s="4" t="n">
        <f aca="false">ROUND(SUMPRODUCT(G132:AI132,Gene_Weights!$B$2:$AD$2),3)</f>
        <v>-3.64</v>
      </c>
      <c r="AL132" s="2" t="n">
        <v>9</v>
      </c>
      <c r="AM132" s="2" t="n">
        <v>7</v>
      </c>
      <c r="AN132" s="2" t="n">
        <v>77.78</v>
      </c>
      <c r="AO132" s="5" t="n">
        <v>58.19</v>
      </c>
      <c r="AP132" s="5" t="n">
        <v>59.74</v>
      </c>
      <c r="AQ132" s="5" t="n">
        <v>61.3</v>
      </c>
      <c r="AR132" s="5" t="n">
        <v>62.86</v>
      </c>
      <c r="AS132" s="5" t="n">
        <v>64.42</v>
      </c>
      <c r="AT132" s="5" t="n">
        <v>65.98</v>
      </c>
      <c r="AU132" s="5" t="n">
        <v>67.53</v>
      </c>
      <c r="AV132" s="5" t="s">
        <v>51</v>
      </c>
    </row>
    <row r="133" customFormat="false" ht="15" hidden="false" customHeight="false" outlineLevel="0" collapsed="false">
      <c r="A133" s="2" t="s">
        <v>77</v>
      </c>
      <c r="B133" s="2" t="n">
        <v>2017</v>
      </c>
      <c r="C133" s="2" t="s">
        <v>56</v>
      </c>
      <c r="D133" s="2" t="n">
        <v>1</v>
      </c>
      <c r="E133" s="2" t="n">
        <v>4</v>
      </c>
      <c r="F133" s="2" t="s">
        <v>50</v>
      </c>
      <c r="G133" s="3" t="n">
        <v>0</v>
      </c>
      <c r="H133" s="3" t="n">
        <v>1</v>
      </c>
      <c r="I133" s="3" t="n">
        <v>0</v>
      </c>
      <c r="J133" s="3" t="n">
        <v>0</v>
      </c>
      <c r="K133" s="3" t="n">
        <v>1</v>
      </c>
      <c r="L133" s="3" t="n">
        <v>0</v>
      </c>
      <c r="M133" s="3" t="n">
        <v>0</v>
      </c>
      <c r="N133" s="3" t="n">
        <v>1</v>
      </c>
      <c r="O133" s="3" t="n">
        <v>0</v>
      </c>
      <c r="P133" s="3" t="n">
        <v>0</v>
      </c>
      <c r="Q133" s="3" t="n">
        <v>1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1</v>
      </c>
      <c r="AC133" s="3" t="n">
        <v>0</v>
      </c>
      <c r="AD133" s="3" t="n">
        <v>0</v>
      </c>
      <c r="AE133" s="3" t="n">
        <v>1</v>
      </c>
      <c r="AF133" s="3" t="n">
        <v>0</v>
      </c>
      <c r="AG133" s="3" t="n">
        <v>0</v>
      </c>
      <c r="AH133" s="3" t="n">
        <v>0</v>
      </c>
      <c r="AI133" s="3" t="n">
        <v>0</v>
      </c>
      <c r="AJ133" s="4" t="n">
        <f aca="false">SUM(G133:AI133)</f>
        <v>7</v>
      </c>
      <c r="AK133" s="4" t="n">
        <f aca="false">ROUND(SUMPRODUCT(G133:AI133,Gene_Weights!$B$2:$AD$2),3)</f>
        <v>-3.64</v>
      </c>
      <c r="AL133" s="2" t="n">
        <v>9</v>
      </c>
      <c r="AM133" s="2" t="n">
        <v>5</v>
      </c>
      <c r="AN133" s="2" t="n">
        <v>55.56</v>
      </c>
      <c r="AO133" s="5" t="n">
        <v>75.59</v>
      </c>
      <c r="AP133" s="5" t="n">
        <v>78.01</v>
      </c>
      <c r="AQ133" s="5" t="n">
        <v>80.42</v>
      </c>
      <c r="AR133" s="5" t="n">
        <v>82.83</v>
      </c>
      <c r="AS133" s="5" t="n">
        <v>85.24</v>
      </c>
      <c r="AT133" s="5" t="n">
        <v>87.66</v>
      </c>
      <c r="AU133" s="5" t="n">
        <v>90.07</v>
      </c>
      <c r="AV133" s="5" t="s">
        <v>51</v>
      </c>
    </row>
    <row r="134" customFormat="false" ht="15" hidden="false" customHeight="false" outlineLevel="0" collapsed="false">
      <c r="A134" s="2" t="s">
        <v>78</v>
      </c>
      <c r="B134" s="2" t="n">
        <v>2015</v>
      </c>
      <c r="C134" s="2" t="s">
        <v>49</v>
      </c>
      <c r="D134" s="2" t="n">
        <v>1</v>
      </c>
      <c r="E134" s="2" t="n">
        <v>16</v>
      </c>
      <c r="F134" s="2" t="s">
        <v>50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1</v>
      </c>
      <c r="Q134" s="3" t="n">
        <v>1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1</v>
      </c>
      <c r="AA134" s="3" t="n">
        <v>0</v>
      </c>
      <c r="AB134" s="3" t="n">
        <v>0</v>
      </c>
      <c r="AC134" s="3" t="n">
        <v>0</v>
      </c>
      <c r="AD134" s="3" t="n">
        <v>1</v>
      </c>
      <c r="AE134" s="3" t="n">
        <v>0</v>
      </c>
      <c r="AF134" s="3" t="n">
        <v>0</v>
      </c>
      <c r="AG134" s="3" t="n">
        <v>1</v>
      </c>
      <c r="AH134" s="3" t="n">
        <v>1</v>
      </c>
      <c r="AI134" s="3" t="n">
        <v>0</v>
      </c>
      <c r="AJ134" s="4" t="n">
        <f aca="false">SUM(G134:AI134)</f>
        <v>6</v>
      </c>
      <c r="AK134" s="4" t="n">
        <f aca="false">ROUND(SUMPRODUCT(G134:AI134,Gene_Weights!$B$2:$AD$2),3)</f>
        <v>-4.05</v>
      </c>
      <c r="AL134" s="2" t="n">
        <v>3</v>
      </c>
      <c r="AM134" s="2" t="n">
        <v>2</v>
      </c>
      <c r="AN134" s="2" t="n">
        <v>66.67</v>
      </c>
      <c r="AO134" s="5" t="n">
        <v>55.12</v>
      </c>
      <c r="AP134" s="5" t="n">
        <v>56.02</v>
      </c>
      <c r="AQ134" s="5" t="n">
        <v>56.92</v>
      </c>
      <c r="AR134" s="5" t="n">
        <v>57.82</v>
      </c>
      <c r="AS134" s="5" t="n">
        <v>58.72</v>
      </c>
      <c r="AT134" s="5" t="n">
        <v>59.62</v>
      </c>
      <c r="AU134" s="5" t="n">
        <v>60.52</v>
      </c>
      <c r="AV134" s="5" t="s">
        <v>51</v>
      </c>
    </row>
    <row r="135" customFormat="false" ht="15" hidden="false" customHeight="false" outlineLevel="0" collapsed="false">
      <c r="A135" s="2" t="s">
        <v>78</v>
      </c>
      <c r="B135" s="2" t="n">
        <v>2015</v>
      </c>
      <c r="C135" s="2" t="s">
        <v>52</v>
      </c>
      <c r="D135" s="2" t="n">
        <v>0</v>
      </c>
      <c r="E135" s="2" t="n">
        <v>2</v>
      </c>
      <c r="F135" s="2" t="s">
        <v>50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1</v>
      </c>
      <c r="Q135" s="3" t="n">
        <v>1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1</v>
      </c>
      <c r="AA135" s="3" t="n">
        <v>0</v>
      </c>
      <c r="AB135" s="3" t="n">
        <v>0</v>
      </c>
      <c r="AC135" s="3" t="n">
        <v>0</v>
      </c>
      <c r="AD135" s="3" t="n">
        <v>1</v>
      </c>
      <c r="AE135" s="3" t="n">
        <v>0</v>
      </c>
      <c r="AF135" s="3" t="n">
        <v>0</v>
      </c>
      <c r="AG135" s="3" t="n">
        <v>1</v>
      </c>
      <c r="AH135" s="3" t="n">
        <v>1</v>
      </c>
      <c r="AI135" s="3" t="n">
        <v>0</v>
      </c>
      <c r="AJ135" s="4" t="n">
        <f aca="false">SUM(G135:AI135)</f>
        <v>6</v>
      </c>
      <c r="AK135" s="4" t="n">
        <f aca="false">ROUND(SUMPRODUCT(G135:AI135,Gene_Weights!$B$2:$AD$2),3)</f>
        <v>-4.05</v>
      </c>
      <c r="AL135" s="2" t="n">
        <v>3</v>
      </c>
      <c r="AM135" s="2" t="n">
        <v>1</v>
      </c>
      <c r="AN135" s="2" t="n">
        <v>33.33</v>
      </c>
      <c r="AO135" s="5" t="n">
        <v>64.53</v>
      </c>
      <c r="AP135" s="5" t="n">
        <v>66.13</v>
      </c>
      <c r="AQ135" s="5" t="n">
        <v>67.73</v>
      </c>
      <c r="AR135" s="5" t="n">
        <v>69.33</v>
      </c>
      <c r="AS135" s="5" t="n">
        <v>70.93</v>
      </c>
      <c r="AT135" s="5" t="n">
        <v>72.53</v>
      </c>
      <c r="AU135" s="5" t="n">
        <v>74.13</v>
      </c>
      <c r="AV135" s="5" t="s">
        <v>51</v>
      </c>
    </row>
    <row r="136" customFormat="false" ht="15" hidden="false" customHeight="false" outlineLevel="0" collapsed="false">
      <c r="A136" s="2" t="s">
        <v>78</v>
      </c>
      <c r="B136" s="2" t="n">
        <v>2015</v>
      </c>
      <c r="C136" s="2" t="s">
        <v>53</v>
      </c>
      <c r="D136" s="2" t="n">
        <v>1</v>
      </c>
      <c r="E136" s="2" t="n">
        <v>32</v>
      </c>
      <c r="F136" s="2" t="s">
        <v>50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1</v>
      </c>
      <c r="Q136" s="3" t="n">
        <v>1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1</v>
      </c>
      <c r="AA136" s="3" t="n">
        <v>0</v>
      </c>
      <c r="AB136" s="3" t="n">
        <v>0</v>
      </c>
      <c r="AC136" s="3" t="n">
        <v>0</v>
      </c>
      <c r="AD136" s="3" t="n">
        <v>1</v>
      </c>
      <c r="AE136" s="3" t="n">
        <v>0</v>
      </c>
      <c r="AF136" s="3" t="n">
        <v>0</v>
      </c>
      <c r="AG136" s="3" t="n">
        <v>1</v>
      </c>
      <c r="AH136" s="3" t="n">
        <v>1</v>
      </c>
      <c r="AI136" s="3" t="n">
        <v>0</v>
      </c>
      <c r="AJ136" s="4" t="n">
        <f aca="false">SUM(G136:AI136)</f>
        <v>6</v>
      </c>
      <c r="AK136" s="4" t="n">
        <f aca="false">ROUND(SUMPRODUCT(G136:AI136,Gene_Weights!$B$2:$AD$2),3)</f>
        <v>-4.05</v>
      </c>
      <c r="AL136" s="2" t="n">
        <v>3</v>
      </c>
      <c r="AM136" s="2" t="n">
        <v>1</v>
      </c>
      <c r="AN136" s="2" t="n">
        <v>33.33</v>
      </c>
      <c r="AO136" s="5" t="n">
        <v>52.86</v>
      </c>
      <c r="AP136" s="5" t="n">
        <v>53.65</v>
      </c>
      <c r="AQ136" s="5" t="n">
        <v>54.45</v>
      </c>
      <c r="AR136" s="5" t="n">
        <v>55.24</v>
      </c>
      <c r="AS136" s="5" t="n">
        <v>56.03</v>
      </c>
      <c r="AT136" s="5" t="n">
        <v>56.83</v>
      </c>
      <c r="AU136" s="5" t="n">
        <v>57.62</v>
      </c>
      <c r="AV136" s="5" t="s">
        <v>51</v>
      </c>
    </row>
    <row r="137" customFormat="false" ht="15" hidden="false" customHeight="false" outlineLevel="0" collapsed="false">
      <c r="A137" s="2" t="s">
        <v>78</v>
      </c>
      <c r="B137" s="2" t="n">
        <v>2015</v>
      </c>
      <c r="C137" s="2" t="s">
        <v>54</v>
      </c>
      <c r="D137" s="2" t="n">
        <v>1</v>
      </c>
      <c r="E137" s="2" t="n">
        <v>2</v>
      </c>
      <c r="F137" s="2" t="s">
        <v>50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1</v>
      </c>
      <c r="Q137" s="3" t="n">
        <v>1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1</v>
      </c>
      <c r="AA137" s="3" t="n">
        <v>0</v>
      </c>
      <c r="AB137" s="3" t="n">
        <v>0</v>
      </c>
      <c r="AC137" s="3" t="n">
        <v>0</v>
      </c>
      <c r="AD137" s="3" t="n">
        <v>1</v>
      </c>
      <c r="AE137" s="3" t="n">
        <v>0</v>
      </c>
      <c r="AF137" s="3" t="n">
        <v>0</v>
      </c>
      <c r="AG137" s="3" t="n">
        <v>1</v>
      </c>
      <c r="AH137" s="3" t="n">
        <v>1</v>
      </c>
      <c r="AI137" s="3" t="n">
        <v>0</v>
      </c>
      <c r="AJ137" s="4" t="n">
        <f aca="false">SUM(G137:AI137)</f>
        <v>6</v>
      </c>
      <c r="AK137" s="4" t="n">
        <f aca="false">ROUND(SUMPRODUCT(G137:AI137,Gene_Weights!$B$2:$AD$2),3)</f>
        <v>-4.05</v>
      </c>
      <c r="AL137" s="2" t="n">
        <v>3</v>
      </c>
      <c r="AM137" s="2" t="n">
        <v>1</v>
      </c>
      <c r="AN137" s="2" t="n">
        <v>33.33</v>
      </c>
      <c r="AO137" s="5" t="n">
        <v>81.84</v>
      </c>
      <c r="AP137" s="5" t="n">
        <v>84.45</v>
      </c>
      <c r="AQ137" s="5" t="n">
        <v>87.06</v>
      </c>
      <c r="AR137" s="5" t="n">
        <v>89.67</v>
      </c>
      <c r="AS137" s="5" t="n">
        <v>92.27</v>
      </c>
      <c r="AT137" s="5" t="n">
        <v>94.88</v>
      </c>
      <c r="AU137" s="5" t="n">
        <v>97.49</v>
      </c>
      <c r="AV137" s="5" t="s">
        <v>51</v>
      </c>
    </row>
    <row r="138" customFormat="false" ht="15" hidden="false" customHeight="false" outlineLevel="0" collapsed="false">
      <c r="A138" s="2" t="s">
        <v>78</v>
      </c>
      <c r="B138" s="2" t="n">
        <v>2015</v>
      </c>
      <c r="C138" s="2" t="s">
        <v>55</v>
      </c>
      <c r="D138" s="2" t="n">
        <v>1</v>
      </c>
      <c r="E138" s="2" t="n">
        <v>32</v>
      </c>
      <c r="F138" s="2" t="s">
        <v>50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1</v>
      </c>
      <c r="Q138" s="3" t="n">
        <v>1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1</v>
      </c>
      <c r="AA138" s="3" t="n">
        <v>0</v>
      </c>
      <c r="AB138" s="3" t="n">
        <v>0</v>
      </c>
      <c r="AC138" s="3" t="n">
        <v>0</v>
      </c>
      <c r="AD138" s="3" t="n">
        <v>1</v>
      </c>
      <c r="AE138" s="3" t="n">
        <v>0</v>
      </c>
      <c r="AF138" s="3" t="n">
        <v>0</v>
      </c>
      <c r="AG138" s="3" t="n">
        <v>1</v>
      </c>
      <c r="AH138" s="3" t="n">
        <v>1</v>
      </c>
      <c r="AI138" s="3" t="n">
        <v>0</v>
      </c>
      <c r="AJ138" s="4" t="n">
        <f aca="false">SUM(G138:AI138)</f>
        <v>6</v>
      </c>
      <c r="AK138" s="4" t="n">
        <f aca="false">ROUND(SUMPRODUCT(G138:AI138,Gene_Weights!$B$2:$AD$2),3)</f>
        <v>-4.05</v>
      </c>
      <c r="AL138" s="2" t="n">
        <v>3</v>
      </c>
      <c r="AM138" s="2" t="n">
        <v>3</v>
      </c>
      <c r="AN138" s="2" t="n">
        <v>100</v>
      </c>
      <c r="AO138" s="5" t="n">
        <v>58.19</v>
      </c>
      <c r="AP138" s="5" t="n">
        <v>59.74</v>
      </c>
      <c r="AQ138" s="5" t="n">
        <v>61.3</v>
      </c>
      <c r="AR138" s="5" t="n">
        <v>62.86</v>
      </c>
      <c r="AS138" s="5" t="n">
        <v>64.42</v>
      </c>
      <c r="AT138" s="5" t="n">
        <v>65.98</v>
      </c>
      <c r="AU138" s="5" t="n">
        <v>67.53</v>
      </c>
      <c r="AV138" s="5" t="s">
        <v>51</v>
      </c>
    </row>
    <row r="139" customFormat="false" ht="15" hidden="false" customHeight="false" outlineLevel="0" collapsed="false">
      <c r="A139" s="2" t="s">
        <v>78</v>
      </c>
      <c r="B139" s="2" t="n">
        <v>2015</v>
      </c>
      <c r="C139" s="2" t="s">
        <v>56</v>
      </c>
      <c r="D139" s="2" t="n">
        <v>0</v>
      </c>
      <c r="E139" s="2" t="n">
        <v>16</v>
      </c>
      <c r="F139" s="2" t="s">
        <v>50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1</v>
      </c>
      <c r="Q139" s="3" t="n">
        <v>1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1</v>
      </c>
      <c r="AA139" s="3" t="n">
        <v>0</v>
      </c>
      <c r="AB139" s="3" t="n">
        <v>0</v>
      </c>
      <c r="AC139" s="3" t="n">
        <v>0</v>
      </c>
      <c r="AD139" s="3" t="n">
        <v>1</v>
      </c>
      <c r="AE139" s="3" t="n">
        <v>0</v>
      </c>
      <c r="AF139" s="3" t="n">
        <v>0</v>
      </c>
      <c r="AG139" s="3" t="n">
        <v>1</v>
      </c>
      <c r="AH139" s="3" t="n">
        <v>1</v>
      </c>
      <c r="AI139" s="3" t="n">
        <v>0</v>
      </c>
      <c r="AJ139" s="4" t="n">
        <f aca="false">SUM(G139:AI139)</f>
        <v>6</v>
      </c>
      <c r="AK139" s="4" t="n">
        <f aca="false">ROUND(SUMPRODUCT(G139:AI139,Gene_Weights!$B$2:$AD$2),3)</f>
        <v>-4.05</v>
      </c>
      <c r="AL139" s="2" t="n">
        <v>3</v>
      </c>
      <c r="AM139" s="2" t="n">
        <v>0</v>
      </c>
      <c r="AN139" s="2" t="n">
        <v>0</v>
      </c>
      <c r="AO139" s="5" t="n">
        <v>75.59</v>
      </c>
      <c r="AP139" s="5" t="n">
        <v>78.01</v>
      </c>
      <c r="AQ139" s="5" t="n">
        <v>80.42</v>
      </c>
      <c r="AR139" s="5" t="n">
        <v>82.83</v>
      </c>
      <c r="AS139" s="5" t="n">
        <v>85.24</v>
      </c>
      <c r="AT139" s="5" t="n">
        <v>87.66</v>
      </c>
      <c r="AU139" s="5" t="n">
        <v>90.07</v>
      </c>
      <c r="AV139" s="5" t="s">
        <v>51</v>
      </c>
    </row>
    <row r="140" customFormat="false" ht="15" hidden="false" customHeight="false" outlineLevel="0" collapsed="false">
      <c r="A140" s="2" t="s">
        <v>79</v>
      </c>
      <c r="B140" s="2" t="n">
        <v>2000</v>
      </c>
      <c r="C140" s="2" t="s">
        <v>49</v>
      </c>
      <c r="D140" s="2" t="n">
        <v>0</v>
      </c>
      <c r="E140" s="2" t="n">
        <v>2</v>
      </c>
      <c r="F140" s="2" t="s">
        <v>50</v>
      </c>
      <c r="G140" s="3" t="n">
        <v>0</v>
      </c>
      <c r="H140" s="3" t="n">
        <v>0</v>
      </c>
      <c r="I140" s="3" t="n">
        <v>1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1</v>
      </c>
      <c r="O140" s="3" t="n">
        <v>0</v>
      </c>
      <c r="P140" s="3" t="n">
        <v>0</v>
      </c>
      <c r="Q140" s="3" t="n">
        <v>1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1</v>
      </c>
      <c r="AE140" s="3" t="n">
        <v>0</v>
      </c>
      <c r="AF140" s="3" t="n">
        <v>0</v>
      </c>
      <c r="AG140" s="3" t="n">
        <v>1</v>
      </c>
      <c r="AH140" s="3" t="n">
        <v>0</v>
      </c>
      <c r="AI140" s="3" t="n">
        <v>0</v>
      </c>
      <c r="AJ140" s="4" t="n">
        <f aca="false">SUM(G140:AI140)</f>
        <v>6</v>
      </c>
      <c r="AK140" s="4" t="n">
        <f aca="false">ROUND(SUMPRODUCT(G140:AI140,Gene_Weights!$B$2:$AD$2),3)</f>
        <v>-4.35</v>
      </c>
      <c r="AL140" s="2" t="n">
        <v>8</v>
      </c>
      <c r="AM140" s="2" t="n">
        <v>2</v>
      </c>
      <c r="AN140" s="2" t="n">
        <v>25</v>
      </c>
      <c r="AO140" s="5" t="n">
        <v>55.12</v>
      </c>
      <c r="AP140" s="5" t="n">
        <v>56.02</v>
      </c>
      <c r="AQ140" s="5" t="n">
        <v>56.92</v>
      </c>
      <c r="AR140" s="5" t="n">
        <v>57.82</v>
      </c>
      <c r="AS140" s="5" t="n">
        <v>58.72</v>
      </c>
      <c r="AT140" s="5" t="n">
        <v>59.62</v>
      </c>
      <c r="AU140" s="5" t="n">
        <v>60.52</v>
      </c>
      <c r="AV140" s="5" t="s">
        <v>51</v>
      </c>
    </row>
    <row r="141" customFormat="false" ht="15" hidden="false" customHeight="false" outlineLevel="0" collapsed="false">
      <c r="A141" s="2" t="s">
        <v>79</v>
      </c>
      <c r="B141" s="2" t="n">
        <v>2000</v>
      </c>
      <c r="C141" s="2" t="s">
        <v>52</v>
      </c>
      <c r="D141" s="2" t="n">
        <v>0</v>
      </c>
      <c r="E141" s="2" t="n">
        <v>16</v>
      </c>
      <c r="F141" s="2" t="s">
        <v>50</v>
      </c>
      <c r="G141" s="3" t="n">
        <v>0</v>
      </c>
      <c r="H141" s="3" t="n">
        <v>0</v>
      </c>
      <c r="I141" s="3" t="n">
        <v>1</v>
      </c>
      <c r="J141" s="3" t="n">
        <v>0</v>
      </c>
      <c r="K141" s="3" t="n">
        <v>1</v>
      </c>
      <c r="L141" s="3" t="n">
        <v>0</v>
      </c>
      <c r="M141" s="3" t="n">
        <v>0</v>
      </c>
      <c r="N141" s="3" t="n">
        <v>1</v>
      </c>
      <c r="O141" s="3" t="n">
        <v>0</v>
      </c>
      <c r="P141" s="3" t="n">
        <v>0</v>
      </c>
      <c r="Q141" s="3" t="n">
        <v>1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1</v>
      </c>
      <c r="AE141" s="3" t="n">
        <v>0</v>
      </c>
      <c r="AF141" s="3" t="n">
        <v>0</v>
      </c>
      <c r="AG141" s="3" t="n">
        <v>1</v>
      </c>
      <c r="AH141" s="3" t="n">
        <v>0</v>
      </c>
      <c r="AI141" s="3" t="n">
        <v>0</v>
      </c>
      <c r="AJ141" s="4" t="n">
        <f aca="false">SUM(G141:AI141)</f>
        <v>6</v>
      </c>
      <c r="AK141" s="4" t="n">
        <f aca="false">ROUND(SUMPRODUCT(G141:AI141,Gene_Weights!$B$2:$AD$2),3)</f>
        <v>-4.35</v>
      </c>
      <c r="AL141" s="2" t="n">
        <v>8</v>
      </c>
      <c r="AM141" s="2" t="n">
        <v>2</v>
      </c>
      <c r="AN141" s="2" t="n">
        <v>25</v>
      </c>
      <c r="AO141" s="5" t="n">
        <v>64.53</v>
      </c>
      <c r="AP141" s="5" t="n">
        <v>66.13</v>
      </c>
      <c r="AQ141" s="5" t="n">
        <v>67.73</v>
      </c>
      <c r="AR141" s="5" t="n">
        <v>69.33</v>
      </c>
      <c r="AS141" s="5" t="n">
        <v>70.93</v>
      </c>
      <c r="AT141" s="5" t="n">
        <v>72.53</v>
      </c>
      <c r="AU141" s="5" t="n">
        <v>74.13</v>
      </c>
      <c r="AV141" s="5" t="s">
        <v>51</v>
      </c>
    </row>
    <row r="142" customFormat="false" ht="15" hidden="false" customHeight="false" outlineLevel="0" collapsed="false">
      <c r="A142" s="2" t="s">
        <v>79</v>
      </c>
      <c r="B142" s="2" t="n">
        <v>2000</v>
      </c>
      <c r="C142" s="2" t="s">
        <v>53</v>
      </c>
      <c r="D142" s="2" t="n">
        <v>0</v>
      </c>
      <c r="E142" s="2" t="n">
        <v>16</v>
      </c>
      <c r="F142" s="2" t="s">
        <v>50</v>
      </c>
      <c r="G142" s="3" t="n">
        <v>0</v>
      </c>
      <c r="H142" s="3" t="n">
        <v>0</v>
      </c>
      <c r="I142" s="3" t="n">
        <v>1</v>
      </c>
      <c r="J142" s="3" t="n">
        <v>0</v>
      </c>
      <c r="K142" s="3" t="n">
        <v>1</v>
      </c>
      <c r="L142" s="3" t="n">
        <v>0</v>
      </c>
      <c r="M142" s="3" t="n">
        <v>0</v>
      </c>
      <c r="N142" s="3" t="n">
        <v>1</v>
      </c>
      <c r="O142" s="3" t="n">
        <v>0</v>
      </c>
      <c r="P142" s="3" t="n">
        <v>0</v>
      </c>
      <c r="Q142" s="3" t="n">
        <v>1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1</v>
      </c>
      <c r="AE142" s="3" t="n">
        <v>0</v>
      </c>
      <c r="AF142" s="3" t="n">
        <v>0</v>
      </c>
      <c r="AG142" s="3" t="n">
        <v>1</v>
      </c>
      <c r="AH142" s="3" t="n">
        <v>0</v>
      </c>
      <c r="AI142" s="3" t="n">
        <v>0</v>
      </c>
      <c r="AJ142" s="4" t="n">
        <f aca="false">SUM(G142:AI142)</f>
        <v>6</v>
      </c>
      <c r="AK142" s="4" t="n">
        <f aca="false">ROUND(SUMPRODUCT(G142:AI142,Gene_Weights!$B$2:$AD$2),3)</f>
        <v>-4.35</v>
      </c>
      <c r="AL142" s="2" t="n">
        <v>8</v>
      </c>
      <c r="AM142" s="2" t="n">
        <v>1</v>
      </c>
      <c r="AN142" s="2" t="n">
        <v>12.5</v>
      </c>
      <c r="AO142" s="5" t="n">
        <v>52.86</v>
      </c>
      <c r="AP142" s="5" t="n">
        <v>53.65</v>
      </c>
      <c r="AQ142" s="5" t="n">
        <v>54.45</v>
      </c>
      <c r="AR142" s="5" t="n">
        <v>55.24</v>
      </c>
      <c r="AS142" s="5" t="n">
        <v>56.03</v>
      </c>
      <c r="AT142" s="5" t="n">
        <v>56.83</v>
      </c>
      <c r="AU142" s="5" t="n">
        <v>57.62</v>
      </c>
      <c r="AV142" s="5" t="s">
        <v>51</v>
      </c>
    </row>
    <row r="143" customFormat="false" ht="15" hidden="false" customHeight="false" outlineLevel="0" collapsed="false">
      <c r="A143" s="2" t="s">
        <v>79</v>
      </c>
      <c r="B143" s="2" t="n">
        <v>2000</v>
      </c>
      <c r="C143" s="2" t="s">
        <v>54</v>
      </c>
      <c r="D143" s="2" t="n">
        <v>0</v>
      </c>
      <c r="E143" s="2" t="n">
        <v>4</v>
      </c>
      <c r="F143" s="2" t="s">
        <v>50</v>
      </c>
      <c r="G143" s="3" t="n">
        <v>0</v>
      </c>
      <c r="H143" s="3" t="n">
        <v>0</v>
      </c>
      <c r="I143" s="3" t="n">
        <v>1</v>
      </c>
      <c r="J143" s="3" t="n">
        <v>0</v>
      </c>
      <c r="K143" s="3" t="n">
        <v>1</v>
      </c>
      <c r="L143" s="3" t="n">
        <v>0</v>
      </c>
      <c r="M143" s="3" t="n">
        <v>0</v>
      </c>
      <c r="N143" s="3" t="n">
        <v>1</v>
      </c>
      <c r="O143" s="3" t="n">
        <v>0</v>
      </c>
      <c r="P143" s="3" t="n">
        <v>0</v>
      </c>
      <c r="Q143" s="3" t="n">
        <v>1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1</v>
      </c>
      <c r="AE143" s="3" t="n">
        <v>0</v>
      </c>
      <c r="AF143" s="3" t="n">
        <v>0</v>
      </c>
      <c r="AG143" s="3" t="n">
        <v>1</v>
      </c>
      <c r="AH143" s="3" t="n">
        <v>0</v>
      </c>
      <c r="AI143" s="3" t="n">
        <v>0</v>
      </c>
      <c r="AJ143" s="4" t="n">
        <f aca="false">SUM(G143:AI143)</f>
        <v>6</v>
      </c>
      <c r="AK143" s="4" t="n">
        <f aca="false">ROUND(SUMPRODUCT(G143:AI143,Gene_Weights!$B$2:$AD$2),3)</f>
        <v>-4.35</v>
      </c>
      <c r="AL143" s="2" t="n">
        <v>8</v>
      </c>
      <c r="AM143" s="2" t="n">
        <v>1</v>
      </c>
      <c r="AN143" s="2" t="n">
        <v>12.5</v>
      </c>
      <c r="AO143" s="5" t="n">
        <v>81.84</v>
      </c>
      <c r="AP143" s="5" t="n">
        <v>84.45</v>
      </c>
      <c r="AQ143" s="5" t="n">
        <v>87.06</v>
      </c>
      <c r="AR143" s="5" t="n">
        <v>89.67</v>
      </c>
      <c r="AS143" s="5" t="n">
        <v>92.27</v>
      </c>
      <c r="AT143" s="5" t="n">
        <v>94.88</v>
      </c>
      <c r="AU143" s="5" t="n">
        <v>97.49</v>
      </c>
      <c r="AV143" s="5" t="s">
        <v>51</v>
      </c>
    </row>
    <row r="144" customFormat="false" ht="15" hidden="false" customHeight="false" outlineLevel="0" collapsed="false">
      <c r="A144" s="2" t="s">
        <v>79</v>
      </c>
      <c r="B144" s="2" t="n">
        <v>2000</v>
      </c>
      <c r="C144" s="2" t="s">
        <v>55</v>
      </c>
      <c r="D144" s="2" t="n">
        <v>0</v>
      </c>
      <c r="E144" s="2" t="n">
        <v>2</v>
      </c>
      <c r="F144" s="2" t="s">
        <v>50</v>
      </c>
      <c r="G144" s="3" t="n">
        <v>0</v>
      </c>
      <c r="H144" s="3" t="n">
        <v>0</v>
      </c>
      <c r="I144" s="3" t="n">
        <v>1</v>
      </c>
      <c r="J144" s="3" t="n">
        <v>0</v>
      </c>
      <c r="K144" s="3" t="n">
        <v>1</v>
      </c>
      <c r="L144" s="3" t="n">
        <v>0</v>
      </c>
      <c r="M144" s="3" t="n">
        <v>0</v>
      </c>
      <c r="N144" s="3" t="n">
        <v>1</v>
      </c>
      <c r="O144" s="3" t="n">
        <v>0</v>
      </c>
      <c r="P144" s="3" t="n">
        <v>0</v>
      </c>
      <c r="Q144" s="3" t="n">
        <v>1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1</v>
      </c>
      <c r="AE144" s="3" t="n">
        <v>0</v>
      </c>
      <c r="AF144" s="3" t="n">
        <v>0</v>
      </c>
      <c r="AG144" s="3" t="n">
        <v>1</v>
      </c>
      <c r="AH144" s="3" t="n">
        <v>0</v>
      </c>
      <c r="AI144" s="3" t="n">
        <v>0</v>
      </c>
      <c r="AJ144" s="4" t="n">
        <f aca="false">SUM(G144:AI144)</f>
        <v>6</v>
      </c>
      <c r="AK144" s="4" t="n">
        <f aca="false">ROUND(SUMPRODUCT(G144:AI144,Gene_Weights!$B$2:$AD$2),3)</f>
        <v>-4.35</v>
      </c>
      <c r="AL144" s="2" t="n">
        <v>8</v>
      </c>
      <c r="AM144" s="2" t="n">
        <v>0</v>
      </c>
      <c r="AN144" s="2" t="n">
        <v>0</v>
      </c>
      <c r="AO144" s="5" t="n">
        <v>58.19</v>
      </c>
      <c r="AP144" s="5" t="n">
        <v>59.74</v>
      </c>
      <c r="AQ144" s="5" t="n">
        <v>61.3</v>
      </c>
      <c r="AR144" s="5" t="n">
        <v>62.86</v>
      </c>
      <c r="AS144" s="5" t="n">
        <v>64.42</v>
      </c>
      <c r="AT144" s="5" t="n">
        <v>65.98</v>
      </c>
      <c r="AU144" s="5" t="n">
        <v>67.53</v>
      </c>
      <c r="AV144" s="5" t="s">
        <v>51</v>
      </c>
    </row>
    <row r="145" customFormat="false" ht="15" hidden="false" customHeight="false" outlineLevel="0" collapsed="false">
      <c r="A145" s="2" t="s">
        <v>79</v>
      </c>
      <c r="B145" s="2" t="n">
        <v>2000</v>
      </c>
      <c r="C145" s="2" t="s">
        <v>56</v>
      </c>
      <c r="D145" s="2" t="n">
        <v>0</v>
      </c>
      <c r="E145" s="2" t="n">
        <v>32</v>
      </c>
      <c r="F145" s="2" t="s">
        <v>50</v>
      </c>
      <c r="G145" s="3" t="n">
        <v>0</v>
      </c>
      <c r="H145" s="3" t="n">
        <v>0</v>
      </c>
      <c r="I145" s="3" t="n">
        <v>1</v>
      </c>
      <c r="J145" s="3" t="n">
        <v>0</v>
      </c>
      <c r="K145" s="3" t="n">
        <v>1</v>
      </c>
      <c r="L145" s="3" t="n">
        <v>0</v>
      </c>
      <c r="M145" s="3" t="n">
        <v>0</v>
      </c>
      <c r="N145" s="3" t="n">
        <v>1</v>
      </c>
      <c r="O145" s="3" t="n">
        <v>0</v>
      </c>
      <c r="P145" s="3" t="n">
        <v>0</v>
      </c>
      <c r="Q145" s="3" t="n">
        <v>1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1</v>
      </c>
      <c r="AE145" s="3" t="n">
        <v>0</v>
      </c>
      <c r="AF145" s="3" t="n">
        <v>0</v>
      </c>
      <c r="AG145" s="3" t="n">
        <v>1</v>
      </c>
      <c r="AH145" s="3" t="n">
        <v>0</v>
      </c>
      <c r="AI145" s="3" t="n">
        <v>0</v>
      </c>
      <c r="AJ145" s="4" t="n">
        <f aca="false">SUM(G145:AI145)</f>
        <v>6</v>
      </c>
      <c r="AK145" s="4" t="n">
        <f aca="false">ROUND(SUMPRODUCT(G145:AI145,Gene_Weights!$B$2:$AD$2),3)</f>
        <v>-4.35</v>
      </c>
      <c r="AL145" s="2" t="n">
        <v>8</v>
      </c>
      <c r="AM145" s="2" t="n">
        <v>2</v>
      </c>
      <c r="AN145" s="2" t="n">
        <v>25</v>
      </c>
      <c r="AO145" s="5" t="n">
        <v>75.59</v>
      </c>
      <c r="AP145" s="5" t="n">
        <v>78.01</v>
      </c>
      <c r="AQ145" s="5" t="n">
        <v>80.42</v>
      </c>
      <c r="AR145" s="5" t="n">
        <v>82.83</v>
      </c>
      <c r="AS145" s="5" t="n">
        <v>85.24</v>
      </c>
      <c r="AT145" s="5" t="n">
        <v>87.66</v>
      </c>
      <c r="AU145" s="5" t="n">
        <v>90.07</v>
      </c>
      <c r="AV145" s="5" t="s">
        <v>51</v>
      </c>
    </row>
    <row r="146" customFormat="false" ht="15" hidden="false" customHeight="false" outlineLevel="0" collapsed="false">
      <c r="A146" s="2" t="s">
        <v>80</v>
      </c>
      <c r="B146" s="2" t="n">
        <v>2024</v>
      </c>
      <c r="C146" s="2" t="s">
        <v>49</v>
      </c>
      <c r="D146" s="2" t="n">
        <v>1</v>
      </c>
      <c r="E146" s="2" t="n">
        <v>2</v>
      </c>
      <c r="F146" s="2" t="s">
        <v>50</v>
      </c>
      <c r="G146" s="3" t="n">
        <v>0</v>
      </c>
      <c r="H146" s="3" t="n">
        <v>1</v>
      </c>
      <c r="I146" s="3" t="n">
        <v>1</v>
      </c>
      <c r="J146" s="3" t="n">
        <v>1</v>
      </c>
      <c r="K146" s="3" t="n">
        <v>0</v>
      </c>
      <c r="L146" s="3" t="n">
        <v>0</v>
      </c>
      <c r="M146" s="3" t="n">
        <v>0</v>
      </c>
      <c r="N146" s="3" t="n">
        <v>1</v>
      </c>
      <c r="O146" s="3" t="n">
        <v>0</v>
      </c>
      <c r="P146" s="3" t="n">
        <v>0</v>
      </c>
      <c r="Q146" s="3" t="n">
        <v>0</v>
      </c>
      <c r="R146" s="3" t="n">
        <v>1</v>
      </c>
      <c r="S146" s="3" t="n">
        <v>0</v>
      </c>
      <c r="T146" s="3" t="n">
        <v>0</v>
      </c>
      <c r="U146" s="3" t="n">
        <v>1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</v>
      </c>
      <c r="AB146" s="3" t="n">
        <v>1</v>
      </c>
      <c r="AC146" s="3" t="n">
        <v>1</v>
      </c>
      <c r="AD146" s="3" t="n">
        <v>0</v>
      </c>
      <c r="AE146" s="3" t="n">
        <v>1</v>
      </c>
      <c r="AF146" s="3" t="n">
        <v>1</v>
      </c>
      <c r="AG146" s="3" t="n">
        <v>1</v>
      </c>
      <c r="AH146" s="3" t="n">
        <v>1</v>
      </c>
      <c r="AI146" s="3" t="n">
        <v>0</v>
      </c>
      <c r="AJ146" s="4" t="n">
        <f aca="false">SUM(G146:AI146)</f>
        <v>13</v>
      </c>
      <c r="AK146" s="4" t="n">
        <f aca="false">ROUND(SUMPRODUCT(G146:AI146,Gene_Weights!$B$2:$AD$2),3)</f>
        <v>-8.61</v>
      </c>
      <c r="AL146" s="2" t="n">
        <v>7</v>
      </c>
      <c r="AM146" s="2" t="n">
        <v>6</v>
      </c>
      <c r="AN146" s="2" t="n">
        <v>85.71</v>
      </c>
      <c r="AO146" s="5" t="n">
        <v>55.12</v>
      </c>
      <c r="AP146" s="5" t="n">
        <v>56.02</v>
      </c>
      <c r="AQ146" s="5" t="n">
        <v>56.92</v>
      </c>
      <c r="AR146" s="5" t="n">
        <v>57.82</v>
      </c>
      <c r="AS146" s="5" t="n">
        <v>58.72</v>
      </c>
      <c r="AT146" s="5" t="n">
        <v>59.62</v>
      </c>
      <c r="AU146" s="5" t="n">
        <v>60.52</v>
      </c>
      <c r="AV146" s="5" t="s">
        <v>51</v>
      </c>
    </row>
    <row r="147" customFormat="false" ht="15" hidden="false" customHeight="false" outlineLevel="0" collapsed="false">
      <c r="A147" s="2" t="s">
        <v>80</v>
      </c>
      <c r="B147" s="2" t="n">
        <v>2024</v>
      </c>
      <c r="C147" s="2" t="s">
        <v>52</v>
      </c>
      <c r="D147" s="2" t="n">
        <v>1</v>
      </c>
      <c r="E147" s="2" t="n">
        <v>32</v>
      </c>
      <c r="F147" s="2" t="s">
        <v>50</v>
      </c>
      <c r="G147" s="3" t="n">
        <v>0</v>
      </c>
      <c r="H147" s="3" t="n">
        <v>1</v>
      </c>
      <c r="I147" s="3" t="n">
        <v>1</v>
      </c>
      <c r="J147" s="3" t="n">
        <v>1</v>
      </c>
      <c r="K147" s="3" t="n">
        <v>0</v>
      </c>
      <c r="L147" s="3" t="n">
        <v>0</v>
      </c>
      <c r="M147" s="3" t="n">
        <v>0</v>
      </c>
      <c r="N147" s="3" t="n">
        <v>1</v>
      </c>
      <c r="O147" s="3" t="n">
        <v>0</v>
      </c>
      <c r="P147" s="3" t="n">
        <v>0</v>
      </c>
      <c r="Q147" s="3" t="n">
        <v>0</v>
      </c>
      <c r="R147" s="3" t="n">
        <v>1</v>
      </c>
      <c r="S147" s="3" t="n">
        <v>0</v>
      </c>
      <c r="T147" s="3" t="n">
        <v>0</v>
      </c>
      <c r="U147" s="3" t="n">
        <v>1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1</v>
      </c>
      <c r="AB147" s="3" t="n">
        <v>1</v>
      </c>
      <c r="AC147" s="3" t="n">
        <v>1</v>
      </c>
      <c r="AD147" s="3" t="n">
        <v>0</v>
      </c>
      <c r="AE147" s="3" t="n">
        <v>1</v>
      </c>
      <c r="AF147" s="3" t="n">
        <v>1</v>
      </c>
      <c r="AG147" s="3" t="n">
        <v>1</v>
      </c>
      <c r="AH147" s="3" t="n">
        <v>1</v>
      </c>
      <c r="AI147" s="3" t="n">
        <v>0</v>
      </c>
      <c r="AJ147" s="4" t="n">
        <f aca="false">SUM(G147:AI147)</f>
        <v>13</v>
      </c>
      <c r="AK147" s="4" t="n">
        <f aca="false">ROUND(SUMPRODUCT(G147:AI147,Gene_Weights!$B$2:$AD$2),3)</f>
        <v>-8.61</v>
      </c>
      <c r="AL147" s="2" t="n">
        <v>7</v>
      </c>
      <c r="AM147" s="2" t="n">
        <v>7</v>
      </c>
      <c r="AN147" s="2" t="n">
        <v>100</v>
      </c>
      <c r="AO147" s="5" t="n">
        <v>64.53</v>
      </c>
      <c r="AP147" s="5" t="n">
        <v>66.13</v>
      </c>
      <c r="AQ147" s="5" t="n">
        <v>67.73</v>
      </c>
      <c r="AR147" s="5" t="n">
        <v>69.33</v>
      </c>
      <c r="AS147" s="5" t="n">
        <v>70.93</v>
      </c>
      <c r="AT147" s="5" t="n">
        <v>72.53</v>
      </c>
      <c r="AU147" s="5" t="n">
        <v>74.13</v>
      </c>
      <c r="AV147" s="5" t="s">
        <v>51</v>
      </c>
    </row>
    <row r="148" customFormat="false" ht="15" hidden="false" customHeight="false" outlineLevel="0" collapsed="false">
      <c r="A148" s="2" t="s">
        <v>80</v>
      </c>
      <c r="B148" s="2" t="n">
        <v>2024</v>
      </c>
      <c r="C148" s="2" t="s">
        <v>53</v>
      </c>
      <c r="D148" s="2" t="n">
        <v>1</v>
      </c>
      <c r="E148" s="2" t="n">
        <v>2</v>
      </c>
      <c r="F148" s="2" t="s">
        <v>50</v>
      </c>
      <c r="G148" s="3" t="n">
        <v>0</v>
      </c>
      <c r="H148" s="3" t="n">
        <v>1</v>
      </c>
      <c r="I148" s="3" t="n">
        <v>1</v>
      </c>
      <c r="J148" s="3" t="n">
        <v>1</v>
      </c>
      <c r="K148" s="3" t="n">
        <v>0</v>
      </c>
      <c r="L148" s="3" t="n">
        <v>0</v>
      </c>
      <c r="M148" s="3" t="n">
        <v>0</v>
      </c>
      <c r="N148" s="3" t="n">
        <v>1</v>
      </c>
      <c r="O148" s="3" t="n">
        <v>0</v>
      </c>
      <c r="P148" s="3" t="n">
        <v>0</v>
      </c>
      <c r="Q148" s="3" t="n">
        <v>0</v>
      </c>
      <c r="R148" s="3" t="n">
        <v>1</v>
      </c>
      <c r="S148" s="3" t="n">
        <v>0</v>
      </c>
      <c r="T148" s="3" t="n">
        <v>0</v>
      </c>
      <c r="U148" s="3" t="n">
        <v>1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1</v>
      </c>
      <c r="AB148" s="3" t="n">
        <v>1</v>
      </c>
      <c r="AC148" s="3" t="n">
        <v>1</v>
      </c>
      <c r="AD148" s="3" t="n">
        <v>0</v>
      </c>
      <c r="AE148" s="3" t="n">
        <v>1</v>
      </c>
      <c r="AF148" s="3" t="n">
        <v>1</v>
      </c>
      <c r="AG148" s="3" t="n">
        <v>1</v>
      </c>
      <c r="AH148" s="3" t="n">
        <v>1</v>
      </c>
      <c r="AI148" s="3" t="n">
        <v>0</v>
      </c>
      <c r="AJ148" s="4" t="n">
        <f aca="false">SUM(G148:AI148)</f>
        <v>13</v>
      </c>
      <c r="AK148" s="4" t="n">
        <f aca="false">ROUND(SUMPRODUCT(G148:AI148,Gene_Weights!$B$2:$AD$2),3)</f>
        <v>-8.61</v>
      </c>
      <c r="AL148" s="2" t="n">
        <v>7</v>
      </c>
      <c r="AM148" s="2" t="n">
        <v>5</v>
      </c>
      <c r="AN148" s="2" t="n">
        <v>71.43</v>
      </c>
      <c r="AO148" s="5" t="n">
        <v>52.86</v>
      </c>
      <c r="AP148" s="5" t="n">
        <v>53.65</v>
      </c>
      <c r="AQ148" s="5" t="n">
        <v>54.45</v>
      </c>
      <c r="AR148" s="5" t="n">
        <v>55.24</v>
      </c>
      <c r="AS148" s="5" t="n">
        <v>56.03</v>
      </c>
      <c r="AT148" s="5" t="n">
        <v>56.83</v>
      </c>
      <c r="AU148" s="5" t="n">
        <v>57.62</v>
      </c>
      <c r="AV148" s="5" t="s">
        <v>51</v>
      </c>
    </row>
    <row r="149" customFormat="false" ht="15" hidden="false" customHeight="false" outlineLevel="0" collapsed="false">
      <c r="A149" s="2" t="s">
        <v>80</v>
      </c>
      <c r="B149" s="2" t="n">
        <v>2024</v>
      </c>
      <c r="C149" s="2" t="s">
        <v>54</v>
      </c>
      <c r="D149" s="2" t="n">
        <v>1</v>
      </c>
      <c r="E149" s="2" t="n">
        <v>2</v>
      </c>
      <c r="F149" s="2" t="s">
        <v>50</v>
      </c>
      <c r="G149" s="3" t="n">
        <v>0</v>
      </c>
      <c r="H149" s="3" t="n">
        <v>1</v>
      </c>
      <c r="I149" s="3" t="n">
        <v>1</v>
      </c>
      <c r="J149" s="3" t="n">
        <v>1</v>
      </c>
      <c r="K149" s="3" t="n">
        <v>0</v>
      </c>
      <c r="L149" s="3" t="n">
        <v>0</v>
      </c>
      <c r="M149" s="3" t="n">
        <v>0</v>
      </c>
      <c r="N149" s="3" t="n">
        <v>1</v>
      </c>
      <c r="O149" s="3" t="n">
        <v>0</v>
      </c>
      <c r="P149" s="3" t="n">
        <v>0</v>
      </c>
      <c r="Q149" s="3" t="n">
        <v>0</v>
      </c>
      <c r="R149" s="3" t="n">
        <v>1</v>
      </c>
      <c r="S149" s="3" t="n">
        <v>0</v>
      </c>
      <c r="T149" s="3" t="n">
        <v>0</v>
      </c>
      <c r="U149" s="3" t="n">
        <v>1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1</v>
      </c>
      <c r="AB149" s="3" t="n">
        <v>1</v>
      </c>
      <c r="AC149" s="3" t="n">
        <v>1</v>
      </c>
      <c r="AD149" s="3" t="n">
        <v>0</v>
      </c>
      <c r="AE149" s="3" t="n">
        <v>1</v>
      </c>
      <c r="AF149" s="3" t="n">
        <v>1</v>
      </c>
      <c r="AG149" s="3" t="n">
        <v>1</v>
      </c>
      <c r="AH149" s="3" t="n">
        <v>1</v>
      </c>
      <c r="AI149" s="3" t="n">
        <v>0</v>
      </c>
      <c r="AJ149" s="4" t="n">
        <f aca="false">SUM(G149:AI149)</f>
        <v>13</v>
      </c>
      <c r="AK149" s="4" t="n">
        <f aca="false">ROUND(SUMPRODUCT(G149:AI149,Gene_Weights!$B$2:$AD$2),3)</f>
        <v>-8.61</v>
      </c>
      <c r="AL149" s="2" t="n">
        <v>7</v>
      </c>
      <c r="AM149" s="2" t="n">
        <v>6</v>
      </c>
      <c r="AN149" s="2" t="n">
        <v>85.71</v>
      </c>
      <c r="AO149" s="5" t="n">
        <v>81.84</v>
      </c>
      <c r="AP149" s="5" t="n">
        <v>84.45</v>
      </c>
      <c r="AQ149" s="5" t="n">
        <v>87.06</v>
      </c>
      <c r="AR149" s="5" t="n">
        <v>89.67</v>
      </c>
      <c r="AS149" s="5" t="n">
        <v>92.27</v>
      </c>
      <c r="AT149" s="5" t="n">
        <v>94.88</v>
      </c>
      <c r="AU149" s="5" t="n">
        <v>97.49</v>
      </c>
      <c r="AV149" s="5" t="s">
        <v>51</v>
      </c>
    </row>
    <row r="150" customFormat="false" ht="15" hidden="false" customHeight="false" outlineLevel="0" collapsed="false">
      <c r="A150" s="2" t="s">
        <v>80</v>
      </c>
      <c r="B150" s="2" t="n">
        <v>2024</v>
      </c>
      <c r="C150" s="2" t="s">
        <v>55</v>
      </c>
      <c r="D150" s="2" t="n">
        <v>1</v>
      </c>
      <c r="E150" s="2" t="n">
        <v>32</v>
      </c>
      <c r="F150" s="2" t="s">
        <v>50</v>
      </c>
      <c r="G150" s="3" t="n">
        <v>0</v>
      </c>
      <c r="H150" s="3" t="n">
        <v>1</v>
      </c>
      <c r="I150" s="3" t="n">
        <v>1</v>
      </c>
      <c r="J150" s="3" t="n">
        <v>1</v>
      </c>
      <c r="K150" s="3" t="n">
        <v>0</v>
      </c>
      <c r="L150" s="3" t="n">
        <v>0</v>
      </c>
      <c r="M150" s="3" t="n">
        <v>0</v>
      </c>
      <c r="N150" s="3" t="n">
        <v>1</v>
      </c>
      <c r="O150" s="3" t="n">
        <v>0</v>
      </c>
      <c r="P150" s="3" t="n">
        <v>0</v>
      </c>
      <c r="Q150" s="3" t="n">
        <v>0</v>
      </c>
      <c r="R150" s="3" t="n">
        <v>1</v>
      </c>
      <c r="S150" s="3" t="n">
        <v>0</v>
      </c>
      <c r="T150" s="3" t="n">
        <v>0</v>
      </c>
      <c r="U150" s="3" t="n">
        <v>1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1</v>
      </c>
      <c r="AB150" s="3" t="n">
        <v>1</v>
      </c>
      <c r="AC150" s="3" t="n">
        <v>1</v>
      </c>
      <c r="AD150" s="3" t="n">
        <v>0</v>
      </c>
      <c r="AE150" s="3" t="n">
        <v>1</v>
      </c>
      <c r="AF150" s="3" t="n">
        <v>1</v>
      </c>
      <c r="AG150" s="3" t="n">
        <v>1</v>
      </c>
      <c r="AH150" s="3" t="n">
        <v>1</v>
      </c>
      <c r="AI150" s="3" t="n">
        <v>0</v>
      </c>
      <c r="AJ150" s="4" t="n">
        <f aca="false">SUM(G150:AI150)</f>
        <v>13</v>
      </c>
      <c r="AK150" s="4" t="n">
        <f aca="false">ROUND(SUMPRODUCT(G150:AI150,Gene_Weights!$B$2:$AD$2),3)</f>
        <v>-8.61</v>
      </c>
      <c r="AL150" s="2" t="n">
        <v>7</v>
      </c>
      <c r="AM150" s="2" t="n">
        <v>5</v>
      </c>
      <c r="AN150" s="2" t="n">
        <v>71.43</v>
      </c>
      <c r="AO150" s="5" t="n">
        <v>58.19</v>
      </c>
      <c r="AP150" s="5" t="n">
        <v>59.74</v>
      </c>
      <c r="AQ150" s="5" t="n">
        <v>61.3</v>
      </c>
      <c r="AR150" s="5" t="n">
        <v>62.86</v>
      </c>
      <c r="AS150" s="5" t="n">
        <v>64.42</v>
      </c>
      <c r="AT150" s="5" t="n">
        <v>65.98</v>
      </c>
      <c r="AU150" s="5" t="n">
        <v>67.53</v>
      </c>
      <c r="AV150" s="5" t="s">
        <v>51</v>
      </c>
    </row>
    <row r="151" customFormat="false" ht="15" hidden="false" customHeight="false" outlineLevel="0" collapsed="false">
      <c r="A151" s="2" t="s">
        <v>80</v>
      </c>
      <c r="B151" s="2" t="n">
        <v>2024</v>
      </c>
      <c r="C151" s="2" t="s">
        <v>56</v>
      </c>
      <c r="D151" s="2" t="n">
        <v>1</v>
      </c>
      <c r="E151" s="2" t="n">
        <v>2</v>
      </c>
      <c r="F151" s="2" t="s">
        <v>50</v>
      </c>
      <c r="G151" s="3" t="n">
        <v>0</v>
      </c>
      <c r="H151" s="3" t="n">
        <v>1</v>
      </c>
      <c r="I151" s="3" t="n">
        <v>1</v>
      </c>
      <c r="J151" s="3" t="n">
        <v>1</v>
      </c>
      <c r="K151" s="3" t="n">
        <v>0</v>
      </c>
      <c r="L151" s="3" t="n">
        <v>0</v>
      </c>
      <c r="M151" s="3" t="n">
        <v>0</v>
      </c>
      <c r="N151" s="3" t="n">
        <v>1</v>
      </c>
      <c r="O151" s="3" t="n">
        <v>0</v>
      </c>
      <c r="P151" s="3" t="n">
        <v>0</v>
      </c>
      <c r="Q151" s="3" t="n">
        <v>0</v>
      </c>
      <c r="R151" s="3" t="n">
        <v>1</v>
      </c>
      <c r="S151" s="3" t="n">
        <v>0</v>
      </c>
      <c r="T151" s="3" t="n">
        <v>0</v>
      </c>
      <c r="U151" s="3" t="n">
        <v>1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1</v>
      </c>
      <c r="AB151" s="3" t="n">
        <v>1</v>
      </c>
      <c r="AC151" s="3" t="n">
        <v>1</v>
      </c>
      <c r="AD151" s="3" t="n">
        <v>0</v>
      </c>
      <c r="AE151" s="3" t="n">
        <v>1</v>
      </c>
      <c r="AF151" s="3" t="n">
        <v>1</v>
      </c>
      <c r="AG151" s="3" t="n">
        <v>1</v>
      </c>
      <c r="AH151" s="3" t="n">
        <v>1</v>
      </c>
      <c r="AI151" s="3" t="n">
        <v>0</v>
      </c>
      <c r="AJ151" s="4" t="n">
        <f aca="false">SUM(G151:AI151)</f>
        <v>13</v>
      </c>
      <c r="AK151" s="4" t="n">
        <f aca="false">ROUND(SUMPRODUCT(G151:AI151,Gene_Weights!$B$2:$AD$2),3)</f>
        <v>-8.61</v>
      </c>
      <c r="AL151" s="2" t="n">
        <v>7</v>
      </c>
      <c r="AM151" s="2" t="n">
        <v>5</v>
      </c>
      <c r="AN151" s="2" t="n">
        <v>71.43</v>
      </c>
      <c r="AO151" s="5" t="n">
        <v>75.59</v>
      </c>
      <c r="AP151" s="5" t="n">
        <v>78.01</v>
      </c>
      <c r="AQ151" s="5" t="n">
        <v>80.42</v>
      </c>
      <c r="AR151" s="5" t="n">
        <v>82.83</v>
      </c>
      <c r="AS151" s="5" t="n">
        <v>85.24</v>
      </c>
      <c r="AT151" s="5" t="n">
        <v>87.66</v>
      </c>
      <c r="AU151" s="5" t="n">
        <v>90.07</v>
      </c>
      <c r="AV151" s="5" t="s">
        <v>51</v>
      </c>
    </row>
    <row r="152" customFormat="false" ht="15" hidden="false" customHeight="false" outlineLevel="0" collapsed="false">
      <c r="A152" s="2" t="s">
        <v>81</v>
      </c>
      <c r="B152" s="2" t="n">
        <v>2014</v>
      </c>
      <c r="C152" s="2" t="s">
        <v>49</v>
      </c>
      <c r="D152" s="2" t="n">
        <v>0</v>
      </c>
      <c r="E152" s="2" t="n">
        <v>4</v>
      </c>
      <c r="F152" s="2" t="s">
        <v>50</v>
      </c>
      <c r="G152" s="3" t="n">
        <v>1</v>
      </c>
      <c r="H152" s="3" t="n">
        <v>0</v>
      </c>
      <c r="I152" s="3" t="n">
        <v>1</v>
      </c>
      <c r="J152" s="3" t="n">
        <v>0</v>
      </c>
      <c r="K152" s="3" t="n">
        <v>0</v>
      </c>
      <c r="L152" s="3" t="n">
        <v>0</v>
      </c>
      <c r="M152" s="3" t="n">
        <v>1</v>
      </c>
      <c r="N152" s="3" t="n">
        <v>0</v>
      </c>
      <c r="O152" s="3" t="n">
        <v>0</v>
      </c>
      <c r="P152" s="3" t="n">
        <v>0</v>
      </c>
      <c r="Q152" s="3" t="n">
        <v>1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1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</v>
      </c>
      <c r="AH152" s="3" t="n">
        <v>0</v>
      </c>
      <c r="AI152" s="3" t="n">
        <v>0</v>
      </c>
      <c r="AJ152" s="4" t="n">
        <f aca="false">SUM(G152:AI152)</f>
        <v>6</v>
      </c>
      <c r="AK152" s="4" t="n">
        <f aca="false">ROUND(SUMPRODUCT(G152:AI152,Gene_Weights!$B$2:$AD$2),3)</f>
        <v>-4.5</v>
      </c>
      <c r="AL152" s="2" t="n">
        <v>8</v>
      </c>
      <c r="AM152" s="2" t="n">
        <v>3</v>
      </c>
      <c r="AN152" s="2" t="n">
        <v>37.5</v>
      </c>
      <c r="AO152" s="5" t="n">
        <v>55.12</v>
      </c>
      <c r="AP152" s="5" t="n">
        <v>56.02</v>
      </c>
      <c r="AQ152" s="5" t="n">
        <v>56.92</v>
      </c>
      <c r="AR152" s="5" t="n">
        <v>57.82</v>
      </c>
      <c r="AS152" s="5" t="n">
        <v>58.72</v>
      </c>
      <c r="AT152" s="5" t="n">
        <v>59.62</v>
      </c>
      <c r="AU152" s="5" t="n">
        <v>60.52</v>
      </c>
      <c r="AV152" s="5" t="s">
        <v>51</v>
      </c>
    </row>
    <row r="153" customFormat="false" ht="15" hidden="false" customHeight="false" outlineLevel="0" collapsed="false">
      <c r="A153" s="2" t="s">
        <v>81</v>
      </c>
      <c r="B153" s="2" t="n">
        <v>2014</v>
      </c>
      <c r="C153" s="2" t="s">
        <v>52</v>
      </c>
      <c r="D153" s="2" t="n">
        <v>0</v>
      </c>
      <c r="E153" s="2" t="n">
        <v>2</v>
      </c>
      <c r="F153" s="2" t="s">
        <v>50</v>
      </c>
      <c r="G153" s="3" t="n">
        <v>1</v>
      </c>
      <c r="H153" s="3" t="n">
        <v>0</v>
      </c>
      <c r="I153" s="3" t="n">
        <v>1</v>
      </c>
      <c r="J153" s="3" t="n">
        <v>0</v>
      </c>
      <c r="K153" s="3" t="n">
        <v>0</v>
      </c>
      <c r="L153" s="3" t="n">
        <v>0</v>
      </c>
      <c r="M153" s="3" t="n">
        <v>1</v>
      </c>
      <c r="N153" s="3" t="n">
        <v>0</v>
      </c>
      <c r="O153" s="3" t="n">
        <v>0</v>
      </c>
      <c r="P153" s="3" t="n">
        <v>0</v>
      </c>
      <c r="Q153" s="3" t="n">
        <v>1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1</v>
      </c>
      <c r="AH153" s="3" t="n">
        <v>0</v>
      </c>
      <c r="AI153" s="3" t="n">
        <v>0</v>
      </c>
      <c r="AJ153" s="4" t="n">
        <f aca="false">SUM(G153:AI153)</f>
        <v>6</v>
      </c>
      <c r="AK153" s="4" t="n">
        <f aca="false">ROUND(SUMPRODUCT(G153:AI153,Gene_Weights!$B$2:$AD$2),3)</f>
        <v>-4.5</v>
      </c>
      <c r="AL153" s="2" t="n">
        <v>8</v>
      </c>
      <c r="AM153" s="2" t="n">
        <v>4</v>
      </c>
      <c r="AN153" s="2" t="n">
        <v>50</v>
      </c>
      <c r="AO153" s="5" t="n">
        <v>64.53</v>
      </c>
      <c r="AP153" s="5" t="n">
        <v>66.13</v>
      </c>
      <c r="AQ153" s="5" t="n">
        <v>67.73</v>
      </c>
      <c r="AR153" s="5" t="n">
        <v>69.33</v>
      </c>
      <c r="AS153" s="5" t="n">
        <v>70.93</v>
      </c>
      <c r="AT153" s="5" t="n">
        <v>72.53</v>
      </c>
      <c r="AU153" s="5" t="n">
        <v>74.13</v>
      </c>
      <c r="AV153" s="5" t="s">
        <v>51</v>
      </c>
    </row>
    <row r="154" customFormat="false" ht="15" hidden="false" customHeight="false" outlineLevel="0" collapsed="false">
      <c r="A154" s="2" t="s">
        <v>81</v>
      </c>
      <c r="B154" s="2" t="n">
        <v>2014</v>
      </c>
      <c r="C154" s="2" t="s">
        <v>53</v>
      </c>
      <c r="D154" s="2" t="n">
        <v>0</v>
      </c>
      <c r="E154" s="2" t="n">
        <v>32</v>
      </c>
      <c r="F154" s="2" t="s">
        <v>50</v>
      </c>
      <c r="G154" s="3" t="n">
        <v>1</v>
      </c>
      <c r="H154" s="3" t="n">
        <v>0</v>
      </c>
      <c r="I154" s="3" t="n">
        <v>1</v>
      </c>
      <c r="J154" s="3" t="n">
        <v>0</v>
      </c>
      <c r="K154" s="3" t="n">
        <v>0</v>
      </c>
      <c r="L154" s="3" t="n">
        <v>0</v>
      </c>
      <c r="M154" s="3" t="n">
        <v>1</v>
      </c>
      <c r="N154" s="3" t="n">
        <v>0</v>
      </c>
      <c r="O154" s="3" t="n">
        <v>0</v>
      </c>
      <c r="P154" s="3" t="n">
        <v>0</v>
      </c>
      <c r="Q154" s="3" t="n">
        <v>1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1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1</v>
      </c>
      <c r="AH154" s="3" t="n">
        <v>0</v>
      </c>
      <c r="AI154" s="3" t="n">
        <v>0</v>
      </c>
      <c r="AJ154" s="4" t="n">
        <f aca="false">SUM(G154:AI154)</f>
        <v>6</v>
      </c>
      <c r="AK154" s="4" t="n">
        <f aca="false">ROUND(SUMPRODUCT(G154:AI154,Gene_Weights!$B$2:$AD$2),3)</f>
        <v>-4.5</v>
      </c>
      <c r="AL154" s="2" t="n">
        <v>8</v>
      </c>
      <c r="AM154" s="2" t="n">
        <v>2</v>
      </c>
      <c r="AN154" s="2" t="n">
        <v>25</v>
      </c>
      <c r="AO154" s="5" t="n">
        <v>52.86</v>
      </c>
      <c r="AP154" s="5" t="n">
        <v>53.65</v>
      </c>
      <c r="AQ154" s="5" t="n">
        <v>54.45</v>
      </c>
      <c r="AR154" s="5" t="n">
        <v>55.24</v>
      </c>
      <c r="AS154" s="5" t="n">
        <v>56.03</v>
      </c>
      <c r="AT154" s="5" t="n">
        <v>56.83</v>
      </c>
      <c r="AU154" s="5" t="n">
        <v>57.62</v>
      </c>
      <c r="AV154" s="5" t="s">
        <v>51</v>
      </c>
    </row>
    <row r="155" customFormat="false" ht="15" hidden="false" customHeight="false" outlineLevel="0" collapsed="false">
      <c r="A155" s="2" t="s">
        <v>81</v>
      </c>
      <c r="B155" s="2" t="n">
        <v>2014</v>
      </c>
      <c r="C155" s="2" t="s">
        <v>54</v>
      </c>
      <c r="D155" s="2" t="n">
        <v>1</v>
      </c>
      <c r="E155" s="2" t="n">
        <v>32</v>
      </c>
      <c r="F155" s="2" t="s">
        <v>50</v>
      </c>
      <c r="G155" s="3" t="n">
        <v>1</v>
      </c>
      <c r="H155" s="3" t="n">
        <v>0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1</v>
      </c>
      <c r="N155" s="3" t="n">
        <v>0</v>
      </c>
      <c r="O155" s="3" t="n">
        <v>0</v>
      </c>
      <c r="P155" s="3" t="n">
        <v>0</v>
      </c>
      <c r="Q155" s="3" t="n">
        <v>1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1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1</v>
      </c>
      <c r="AH155" s="3" t="n">
        <v>0</v>
      </c>
      <c r="AI155" s="3" t="n">
        <v>0</v>
      </c>
      <c r="AJ155" s="4" t="n">
        <f aca="false">SUM(G155:AI155)</f>
        <v>6</v>
      </c>
      <c r="AK155" s="4" t="n">
        <f aca="false">ROUND(SUMPRODUCT(G155:AI155,Gene_Weights!$B$2:$AD$2),3)</f>
        <v>-4.5</v>
      </c>
      <c r="AL155" s="2" t="n">
        <v>8</v>
      </c>
      <c r="AM155" s="2" t="n">
        <v>5</v>
      </c>
      <c r="AN155" s="2" t="n">
        <v>62.5</v>
      </c>
      <c r="AO155" s="5" t="n">
        <v>81.84</v>
      </c>
      <c r="AP155" s="5" t="n">
        <v>84.45</v>
      </c>
      <c r="AQ155" s="5" t="n">
        <v>87.06</v>
      </c>
      <c r="AR155" s="5" t="n">
        <v>89.67</v>
      </c>
      <c r="AS155" s="5" t="n">
        <v>92.27</v>
      </c>
      <c r="AT155" s="5" t="n">
        <v>94.88</v>
      </c>
      <c r="AU155" s="5" t="n">
        <v>97.49</v>
      </c>
      <c r="AV155" s="5" t="s">
        <v>51</v>
      </c>
    </row>
    <row r="156" customFormat="false" ht="15" hidden="false" customHeight="false" outlineLevel="0" collapsed="false">
      <c r="A156" s="2" t="s">
        <v>81</v>
      </c>
      <c r="B156" s="2" t="n">
        <v>2014</v>
      </c>
      <c r="C156" s="2" t="s">
        <v>55</v>
      </c>
      <c r="D156" s="2" t="n">
        <v>1</v>
      </c>
      <c r="E156" s="2" t="n">
        <v>4</v>
      </c>
      <c r="F156" s="2" t="s">
        <v>50</v>
      </c>
      <c r="G156" s="3" t="n">
        <v>1</v>
      </c>
      <c r="H156" s="3" t="n">
        <v>0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1</v>
      </c>
      <c r="N156" s="3" t="n">
        <v>0</v>
      </c>
      <c r="O156" s="3" t="n">
        <v>0</v>
      </c>
      <c r="P156" s="3" t="n">
        <v>0</v>
      </c>
      <c r="Q156" s="3" t="n">
        <v>1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1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1</v>
      </c>
      <c r="AH156" s="3" t="n">
        <v>0</v>
      </c>
      <c r="AI156" s="3" t="n">
        <v>0</v>
      </c>
      <c r="AJ156" s="4" t="n">
        <f aca="false">SUM(G156:AI156)</f>
        <v>6</v>
      </c>
      <c r="AK156" s="4" t="n">
        <f aca="false">ROUND(SUMPRODUCT(G156:AI156,Gene_Weights!$B$2:$AD$2),3)</f>
        <v>-4.5</v>
      </c>
      <c r="AL156" s="2" t="n">
        <v>8</v>
      </c>
      <c r="AM156" s="2" t="n">
        <v>3</v>
      </c>
      <c r="AN156" s="2" t="n">
        <v>37.5</v>
      </c>
      <c r="AO156" s="5" t="n">
        <v>58.19</v>
      </c>
      <c r="AP156" s="5" t="n">
        <v>59.74</v>
      </c>
      <c r="AQ156" s="5" t="n">
        <v>61.3</v>
      </c>
      <c r="AR156" s="5" t="n">
        <v>62.86</v>
      </c>
      <c r="AS156" s="5" t="n">
        <v>64.42</v>
      </c>
      <c r="AT156" s="5" t="n">
        <v>65.98</v>
      </c>
      <c r="AU156" s="5" t="n">
        <v>67.53</v>
      </c>
      <c r="AV156" s="5" t="s">
        <v>51</v>
      </c>
    </row>
    <row r="157" customFormat="false" ht="15" hidden="false" customHeight="false" outlineLevel="0" collapsed="false">
      <c r="A157" s="2" t="s">
        <v>81</v>
      </c>
      <c r="B157" s="2" t="n">
        <v>2014</v>
      </c>
      <c r="C157" s="2" t="s">
        <v>56</v>
      </c>
      <c r="D157" s="2" t="n">
        <v>0</v>
      </c>
      <c r="E157" s="2" t="n">
        <v>16</v>
      </c>
      <c r="F157" s="2" t="s">
        <v>50</v>
      </c>
      <c r="G157" s="3" t="n">
        <v>1</v>
      </c>
      <c r="H157" s="3" t="n">
        <v>0</v>
      </c>
      <c r="I157" s="3" t="n">
        <v>1</v>
      </c>
      <c r="J157" s="3" t="n">
        <v>0</v>
      </c>
      <c r="K157" s="3" t="n">
        <v>0</v>
      </c>
      <c r="L157" s="3" t="n">
        <v>0</v>
      </c>
      <c r="M157" s="3" t="n">
        <v>1</v>
      </c>
      <c r="N157" s="3" t="n">
        <v>0</v>
      </c>
      <c r="O157" s="3" t="n">
        <v>0</v>
      </c>
      <c r="P157" s="3" t="n">
        <v>0</v>
      </c>
      <c r="Q157" s="3" t="n">
        <v>1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1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1</v>
      </c>
      <c r="AH157" s="3" t="n">
        <v>0</v>
      </c>
      <c r="AI157" s="3" t="n">
        <v>0</v>
      </c>
      <c r="AJ157" s="4" t="n">
        <f aca="false">SUM(G157:AI157)</f>
        <v>6</v>
      </c>
      <c r="AK157" s="4" t="n">
        <f aca="false">ROUND(SUMPRODUCT(G157:AI157,Gene_Weights!$B$2:$AD$2),3)</f>
        <v>-4.5</v>
      </c>
      <c r="AL157" s="2" t="n">
        <v>8</v>
      </c>
      <c r="AM157" s="2" t="n">
        <v>3</v>
      </c>
      <c r="AN157" s="2" t="n">
        <v>37.5</v>
      </c>
      <c r="AO157" s="5" t="n">
        <v>75.59</v>
      </c>
      <c r="AP157" s="5" t="n">
        <v>78.01</v>
      </c>
      <c r="AQ157" s="5" t="n">
        <v>80.42</v>
      </c>
      <c r="AR157" s="5" t="n">
        <v>82.83</v>
      </c>
      <c r="AS157" s="5" t="n">
        <v>85.24</v>
      </c>
      <c r="AT157" s="5" t="n">
        <v>87.66</v>
      </c>
      <c r="AU157" s="5" t="n">
        <v>90.07</v>
      </c>
      <c r="AV157" s="5" t="s">
        <v>51</v>
      </c>
    </row>
    <row r="158" customFormat="false" ht="15" hidden="false" customHeight="false" outlineLevel="0" collapsed="false">
      <c r="A158" s="2" t="s">
        <v>82</v>
      </c>
      <c r="B158" s="2" t="n">
        <v>1998</v>
      </c>
      <c r="C158" s="2" t="s">
        <v>49</v>
      </c>
      <c r="D158" s="2" t="n">
        <v>1</v>
      </c>
      <c r="E158" s="2" t="n">
        <v>2</v>
      </c>
      <c r="F158" s="2" t="s">
        <v>50</v>
      </c>
      <c r="G158" s="3" t="n">
        <v>0</v>
      </c>
      <c r="H158" s="3" t="n">
        <v>1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1</v>
      </c>
      <c r="O158" s="3" t="n">
        <v>1</v>
      </c>
      <c r="P158" s="3" t="n">
        <v>0</v>
      </c>
      <c r="Q158" s="3" t="n">
        <v>1</v>
      </c>
      <c r="R158" s="3" t="n">
        <v>0</v>
      </c>
      <c r="S158" s="3" t="n">
        <v>0</v>
      </c>
      <c r="T158" s="3" t="n">
        <v>0</v>
      </c>
      <c r="U158" s="3" t="n">
        <v>1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1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</v>
      </c>
      <c r="AH158" s="3" t="n">
        <v>0</v>
      </c>
      <c r="AI158" s="3" t="n">
        <v>0</v>
      </c>
      <c r="AJ158" s="4" t="n">
        <f aca="false">SUM(G158:AI158)</f>
        <v>7</v>
      </c>
      <c r="AK158" s="4" t="n">
        <f aca="false">ROUND(SUMPRODUCT(G158:AI158,Gene_Weights!$B$2:$AD$2),3)</f>
        <v>-3.81</v>
      </c>
      <c r="AL158" s="2" t="n">
        <v>4</v>
      </c>
      <c r="AM158" s="2" t="n">
        <v>3</v>
      </c>
      <c r="AN158" s="2" t="n">
        <v>75</v>
      </c>
      <c r="AO158" s="5" t="n">
        <v>55.12</v>
      </c>
      <c r="AP158" s="5" t="n">
        <v>56.02</v>
      </c>
      <c r="AQ158" s="5" t="n">
        <v>56.92</v>
      </c>
      <c r="AR158" s="5" t="n">
        <v>57.82</v>
      </c>
      <c r="AS158" s="5" t="n">
        <v>58.72</v>
      </c>
      <c r="AT158" s="5" t="n">
        <v>59.62</v>
      </c>
      <c r="AU158" s="5" t="n">
        <v>60.52</v>
      </c>
      <c r="AV158" s="5" t="s">
        <v>51</v>
      </c>
    </row>
    <row r="159" customFormat="false" ht="15" hidden="false" customHeight="false" outlineLevel="0" collapsed="false">
      <c r="A159" s="2" t="s">
        <v>82</v>
      </c>
      <c r="B159" s="2" t="n">
        <v>1998</v>
      </c>
      <c r="C159" s="2" t="s">
        <v>52</v>
      </c>
      <c r="D159" s="2" t="n">
        <v>0</v>
      </c>
      <c r="E159" s="2" t="n">
        <v>16</v>
      </c>
      <c r="F159" s="2" t="s">
        <v>50</v>
      </c>
      <c r="G159" s="3" t="n">
        <v>0</v>
      </c>
      <c r="H159" s="3" t="n">
        <v>1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</v>
      </c>
      <c r="O159" s="3" t="n">
        <v>1</v>
      </c>
      <c r="P159" s="3" t="n">
        <v>0</v>
      </c>
      <c r="Q159" s="3" t="n">
        <v>1</v>
      </c>
      <c r="R159" s="3" t="n">
        <v>0</v>
      </c>
      <c r="S159" s="3" t="n">
        <v>0</v>
      </c>
      <c r="T159" s="3" t="n">
        <v>0</v>
      </c>
      <c r="U159" s="3" t="n">
        <v>1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1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</v>
      </c>
      <c r="AH159" s="3" t="n">
        <v>0</v>
      </c>
      <c r="AI159" s="3" t="n">
        <v>0</v>
      </c>
      <c r="AJ159" s="4" t="n">
        <f aca="false">SUM(G159:AI159)</f>
        <v>7</v>
      </c>
      <c r="AK159" s="4" t="n">
        <f aca="false">ROUND(SUMPRODUCT(G159:AI159,Gene_Weights!$B$2:$AD$2),3)</f>
        <v>-3.81</v>
      </c>
      <c r="AL159" s="2" t="n">
        <v>4</v>
      </c>
      <c r="AM159" s="2" t="n">
        <v>2</v>
      </c>
      <c r="AN159" s="2" t="n">
        <v>50</v>
      </c>
      <c r="AO159" s="5" t="n">
        <v>64.53</v>
      </c>
      <c r="AP159" s="5" t="n">
        <v>66.13</v>
      </c>
      <c r="AQ159" s="5" t="n">
        <v>67.73</v>
      </c>
      <c r="AR159" s="5" t="n">
        <v>69.33</v>
      </c>
      <c r="AS159" s="5" t="n">
        <v>70.93</v>
      </c>
      <c r="AT159" s="5" t="n">
        <v>72.53</v>
      </c>
      <c r="AU159" s="5" t="n">
        <v>74.13</v>
      </c>
      <c r="AV159" s="5" t="s">
        <v>51</v>
      </c>
    </row>
    <row r="160" customFormat="false" ht="15" hidden="false" customHeight="false" outlineLevel="0" collapsed="false">
      <c r="A160" s="2" t="s">
        <v>82</v>
      </c>
      <c r="B160" s="2" t="n">
        <v>1998</v>
      </c>
      <c r="C160" s="2" t="s">
        <v>53</v>
      </c>
      <c r="D160" s="2" t="n">
        <v>0</v>
      </c>
      <c r="E160" s="2" t="n">
        <v>16</v>
      </c>
      <c r="F160" s="2" t="s">
        <v>50</v>
      </c>
      <c r="G160" s="3" t="n">
        <v>0</v>
      </c>
      <c r="H160" s="3" t="n">
        <v>1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</v>
      </c>
      <c r="O160" s="3" t="n">
        <v>1</v>
      </c>
      <c r="P160" s="3" t="n">
        <v>0</v>
      </c>
      <c r="Q160" s="3" t="n">
        <v>1</v>
      </c>
      <c r="R160" s="3" t="n">
        <v>0</v>
      </c>
      <c r="S160" s="3" t="n">
        <v>0</v>
      </c>
      <c r="T160" s="3" t="n">
        <v>0</v>
      </c>
      <c r="U160" s="3" t="n">
        <v>1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1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1</v>
      </c>
      <c r="AH160" s="3" t="n">
        <v>0</v>
      </c>
      <c r="AI160" s="3" t="n">
        <v>0</v>
      </c>
      <c r="AJ160" s="4" t="n">
        <f aca="false">SUM(G160:AI160)</f>
        <v>7</v>
      </c>
      <c r="AK160" s="4" t="n">
        <f aca="false">ROUND(SUMPRODUCT(G160:AI160,Gene_Weights!$B$2:$AD$2),3)</f>
        <v>-3.81</v>
      </c>
      <c r="AL160" s="2" t="n">
        <v>4</v>
      </c>
      <c r="AM160" s="2" t="n">
        <v>1</v>
      </c>
      <c r="AN160" s="2" t="n">
        <v>25</v>
      </c>
      <c r="AO160" s="5" t="n">
        <v>52.86</v>
      </c>
      <c r="AP160" s="5" t="n">
        <v>53.65</v>
      </c>
      <c r="AQ160" s="5" t="n">
        <v>54.45</v>
      </c>
      <c r="AR160" s="5" t="n">
        <v>55.24</v>
      </c>
      <c r="AS160" s="5" t="n">
        <v>56.03</v>
      </c>
      <c r="AT160" s="5" t="n">
        <v>56.83</v>
      </c>
      <c r="AU160" s="5" t="n">
        <v>57.62</v>
      </c>
      <c r="AV160" s="5" t="s">
        <v>51</v>
      </c>
    </row>
    <row r="161" customFormat="false" ht="15" hidden="false" customHeight="false" outlineLevel="0" collapsed="false">
      <c r="A161" s="2" t="s">
        <v>82</v>
      </c>
      <c r="B161" s="2" t="n">
        <v>1998</v>
      </c>
      <c r="C161" s="2" t="s">
        <v>54</v>
      </c>
      <c r="D161" s="2" t="n">
        <v>0</v>
      </c>
      <c r="E161" s="2" t="n">
        <v>2</v>
      </c>
      <c r="F161" s="2" t="s">
        <v>50</v>
      </c>
      <c r="G161" s="3" t="n">
        <v>0</v>
      </c>
      <c r="H161" s="3" t="n">
        <v>1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</v>
      </c>
      <c r="O161" s="3" t="n">
        <v>1</v>
      </c>
      <c r="P161" s="3" t="n">
        <v>0</v>
      </c>
      <c r="Q161" s="3" t="n">
        <v>1</v>
      </c>
      <c r="R161" s="3" t="n">
        <v>0</v>
      </c>
      <c r="S161" s="3" t="n">
        <v>0</v>
      </c>
      <c r="T161" s="3" t="n">
        <v>0</v>
      </c>
      <c r="U161" s="3" t="n">
        <v>1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1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</v>
      </c>
      <c r="AH161" s="3" t="n">
        <v>0</v>
      </c>
      <c r="AI161" s="3" t="n">
        <v>0</v>
      </c>
      <c r="AJ161" s="4" t="n">
        <f aca="false">SUM(G161:AI161)</f>
        <v>7</v>
      </c>
      <c r="AK161" s="4" t="n">
        <f aca="false">ROUND(SUMPRODUCT(G161:AI161,Gene_Weights!$B$2:$AD$2),3)</f>
        <v>-3.81</v>
      </c>
      <c r="AL161" s="2" t="n">
        <v>4</v>
      </c>
      <c r="AM161" s="2" t="n">
        <v>0</v>
      </c>
      <c r="AN161" s="2" t="n">
        <v>0</v>
      </c>
      <c r="AO161" s="5" t="n">
        <v>81.84</v>
      </c>
      <c r="AP161" s="5" t="n">
        <v>84.45</v>
      </c>
      <c r="AQ161" s="5" t="n">
        <v>87.06</v>
      </c>
      <c r="AR161" s="5" t="n">
        <v>89.67</v>
      </c>
      <c r="AS161" s="5" t="n">
        <v>92.27</v>
      </c>
      <c r="AT161" s="5" t="n">
        <v>94.88</v>
      </c>
      <c r="AU161" s="5" t="n">
        <v>97.49</v>
      </c>
      <c r="AV161" s="5" t="s">
        <v>51</v>
      </c>
    </row>
    <row r="162" customFormat="false" ht="15" hidden="false" customHeight="false" outlineLevel="0" collapsed="false">
      <c r="A162" s="2" t="s">
        <v>82</v>
      </c>
      <c r="B162" s="2" t="n">
        <v>1998</v>
      </c>
      <c r="C162" s="2" t="s">
        <v>55</v>
      </c>
      <c r="D162" s="2" t="n">
        <v>0</v>
      </c>
      <c r="E162" s="2" t="n">
        <v>4</v>
      </c>
      <c r="F162" s="2" t="s">
        <v>50</v>
      </c>
      <c r="G162" s="3" t="n">
        <v>0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</v>
      </c>
      <c r="O162" s="3" t="n">
        <v>1</v>
      </c>
      <c r="P162" s="3" t="n">
        <v>0</v>
      </c>
      <c r="Q162" s="3" t="n">
        <v>1</v>
      </c>
      <c r="R162" s="3" t="n">
        <v>0</v>
      </c>
      <c r="S162" s="3" t="n">
        <v>0</v>
      </c>
      <c r="T162" s="3" t="n">
        <v>0</v>
      </c>
      <c r="U162" s="3" t="n">
        <v>1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1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1</v>
      </c>
      <c r="AH162" s="3" t="n">
        <v>0</v>
      </c>
      <c r="AI162" s="3" t="n">
        <v>0</v>
      </c>
      <c r="AJ162" s="4" t="n">
        <f aca="false">SUM(G162:AI162)</f>
        <v>7</v>
      </c>
      <c r="AK162" s="4" t="n">
        <f aca="false">ROUND(SUMPRODUCT(G162:AI162,Gene_Weights!$B$2:$AD$2),3)</f>
        <v>-3.81</v>
      </c>
      <c r="AL162" s="2" t="n">
        <v>4</v>
      </c>
      <c r="AM162" s="2" t="n">
        <v>1</v>
      </c>
      <c r="AN162" s="2" t="n">
        <v>25</v>
      </c>
      <c r="AO162" s="5" t="n">
        <v>58.19</v>
      </c>
      <c r="AP162" s="5" t="n">
        <v>59.74</v>
      </c>
      <c r="AQ162" s="5" t="n">
        <v>61.3</v>
      </c>
      <c r="AR162" s="5" t="n">
        <v>62.86</v>
      </c>
      <c r="AS162" s="5" t="n">
        <v>64.42</v>
      </c>
      <c r="AT162" s="5" t="n">
        <v>65.98</v>
      </c>
      <c r="AU162" s="5" t="n">
        <v>67.53</v>
      </c>
      <c r="AV162" s="5" t="s">
        <v>51</v>
      </c>
    </row>
    <row r="163" customFormat="false" ht="15" hidden="false" customHeight="false" outlineLevel="0" collapsed="false">
      <c r="A163" s="2" t="s">
        <v>82</v>
      </c>
      <c r="B163" s="2" t="n">
        <v>1998</v>
      </c>
      <c r="C163" s="2" t="s">
        <v>56</v>
      </c>
      <c r="D163" s="2" t="n">
        <v>0</v>
      </c>
      <c r="E163" s="2" t="n">
        <v>32</v>
      </c>
      <c r="F163" s="2" t="s">
        <v>50</v>
      </c>
      <c r="G163" s="3" t="n">
        <v>0</v>
      </c>
      <c r="H163" s="3" t="n">
        <v>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1</v>
      </c>
      <c r="P163" s="3" t="n">
        <v>0</v>
      </c>
      <c r="Q163" s="3" t="n">
        <v>1</v>
      </c>
      <c r="R163" s="3" t="n">
        <v>0</v>
      </c>
      <c r="S163" s="3" t="n">
        <v>0</v>
      </c>
      <c r="T163" s="3" t="n">
        <v>0</v>
      </c>
      <c r="U163" s="3" t="n">
        <v>1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1</v>
      </c>
      <c r="AH163" s="3" t="n">
        <v>0</v>
      </c>
      <c r="AI163" s="3" t="n">
        <v>0</v>
      </c>
      <c r="AJ163" s="4" t="n">
        <f aca="false">SUM(G163:AI163)</f>
        <v>7</v>
      </c>
      <c r="AK163" s="4" t="n">
        <f aca="false">ROUND(SUMPRODUCT(G163:AI163,Gene_Weights!$B$2:$AD$2),3)</f>
        <v>-3.81</v>
      </c>
      <c r="AL163" s="2" t="n">
        <v>4</v>
      </c>
      <c r="AM163" s="2" t="n">
        <v>0</v>
      </c>
      <c r="AN163" s="2" t="n">
        <v>0</v>
      </c>
      <c r="AO163" s="5" t="n">
        <v>75.59</v>
      </c>
      <c r="AP163" s="5" t="n">
        <v>78.01</v>
      </c>
      <c r="AQ163" s="5" t="n">
        <v>80.42</v>
      </c>
      <c r="AR163" s="5" t="n">
        <v>82.83</v>
      </c>
      <c r="AS163" s="5" t="n">
        <v>85.24</v>
      </c>
      <c r="AT163" s="5" t="n">
        <v>87.66</v>
      </c>
      <c r="AU163" s="5" t="n">
        <v>90.07</v>
      </c>
      <c r="AV163" s="5" t="s">
        <v>51</v>
      </c>
    </row>
    <row r="164" customFormat="false" ht="15" hidden="false" customHeight="false" outlineLevel="0" collapsed="false">
      <c r="A164" s="2" t="s">
        <v>83</v>
      </c>
      <c r="B164" s="2" t="n">
        <v>2011</v>
      </c>
      <c r="C164" s="2" t="s">
        <v>49</v>
      </c>
      <c r="D164" s="2" t="n">
        <v>1</v>
      </c>
      <c r="E164" s="2" t="n">
        <v>32</v>
      </c>
      <c r="F164" s="2" t="s">
        <v>50</v>
      </c>
      <c r="G164" s="3" t="n">
        <v>0</v>
      </c>
      <c r="H164" s="3" t="n">
        <v>1</v>
      </c>
      <c r="I164" s="3" t="n">
        <v>1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1</v>
      </c>
      <c r="S164" s="3" t="n">
        <v>0</v>
      </c>
      <c r="T164" s="3" t="n">
        <v>1</v>
      </c>
      <c r="U164" s="3" t="n">
        <v>0</v>
      </c>
      <c r="V164" s="3" t="n">
        <v>1</v>
      </c>
      <c r="W164" s="3" t="n">
        <v>0</v>
      </c>
      <c r="X164" s="3" t="n">
        <v>0</v>
      </c>
      <c r="Y164" s="3" t="n">
        <v>1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1</v>
      </c>
      <c r="AG164" s="3" t="n">
        <v>0</v>
      </c>
      <c r="AH164" s="3" t="n">
        <v>0</v>
      </c>
      <c r="AI164" s="3" t="n">
        <v>1</v>
      </c>
      <c r="AJ164" s="4" t="n">
        <f aca="false">SUM(G164:AI164)</f>
        <v>8</v>
      </c>
      <c r="AK164" s="4" t="n">
        <f aca="false">ROUND(SUMPRODUCT(G164:AI164,Gene_Weights!$B$2:$AD$2),3)</f>
        <v>-6.91</v>
      </c>
      <c r="AL164" s="2" t="n">
        <v>11</v>
      </c>
      <c r="AM164" s="2" t="n">
        <v>5</v>
      </c>
      <c r="AN164" s="2" t="n">
        <v>45.45</v>
      </c>
      <c r="AO164" s="5" t="n">
        <v>55.12</v>
      </c>
      <c r="AP164" s="5" t="n">
        <v>56.02</v>
      </c>
      <c r="AQ164" s="5" t="n">
        <v>56.92</v>
      </c>
      <c r="AR164" s="5" t="n">
        <v>57.82</v>
      </c>
      <c r="AS164" s="5" t="n">
        <v>58.72</v>
      </c>
      <c r="AT164" s="5" t="n">
        <v>59.62</v>
      </c>
      <c r="AU164" s="5" t="n">
        <v>60.52</v>
      </c>
      <c r="AV164" s="5" t="s">
        <v>51</v>
      </c>
    </row>
    <row r="165" customFormat="false" ht="15" hidden="false" customHeight="false" outlineLevel="0" collapsed="false">
      <c r="A165" s="2" t="s">
        <v>83</v>
      </c>
      <c r="B165" s="2" t="n">
        <v>2011</v>
      </c>
      <c r="C165" s="2" t="s">
        <v>52</v>
      </c>
      <c r="D165" s="2" t="n">
        <v>0</v>
      </c>
      <c r="E165" s="2" t="n">
        <v>16</v>
      </c>
      <c r="F165" s="2" t="s">
        <v>50</v>
      </c>
      <c r="G165" s="3" t="n">
        <v>0</v>
      </c>
      <c r="H165" s="3" t="n">
        <v>1</v>
      </c>
      <c r="I165" s="3" t="n">
        <v>1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</v>
      </c>
      <c r="S165" s="3" t="n">
        <v>0</v>
      </c>
      <c r="T165" s="3" t="n">
        <v>1</v>
      </c>
      <c r="U165" s="3" t="n">
        <v>0</v>
      </c>
      <c r="V165" s="3" t="n">
        <v>1</v>
      </c>
      <c r="W165" s="3" t="n">
        <v>0</v>
      </c>
      <c r="X165" s="3" t="n">
        <v>0</v>
      </c>
      <c r="Y165" s="3" t="n">
        <v>1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1</v>
      </c>
      <c r="AG165" s="3" t="n">
        <v>0</v>
      </c>
      <c r="AH165" s="3" t="n">
        <v>0</v>
      </c>
      <c r="AI165" s="3" t="n">
        <v>1</v>
      </c>
      <c r="AJ165" s="4" t="n">
        <f aca="false">SUM(G165:AI165)</f>
        <v>8</v>
      </c>
      <c r="AK165" s="4" t="n">
        <f aca="false">ROUND(SUMPRODUCT(G165:AI165,Gene_Weights!$B$2:$AD$2),3)</f>
        <v>-6.91</v>
      </c>
      <c r="AL165" s="2" t="n">
        <v>11</v>
      </c>
      <c r="AM165" s="2" t="n">
        <v>4</v>
      </c>
      <c r="AN165" s="2" t="n">
        <v>36.36</v>
      </c>
      <c r="AO165" s="5" t="n">
        <v>64.53</v>
      </c>
      <c r="AP165" s="5" t="n">
        <v>66.13</v>
      </c>
      <c r="AQ165" s="5" t="n">
        <v>67.73</v>
      </c>
      <c r="AR165" s="5" t="n">
        <v>69.33</v>
      </c>
      <c r="AS165" s="5" t="n">
        <v>70.93</v>
      </c>
      <c r="AT165" s="5" t="n">
        <v>72.53</v>
      </c>
      <c r="AU165" s="5" t="n">
        <v>74.13</v>
      </c>
      <c r="AV165" s="5" t="s">
        <v>51</v>
      </c>
    </row>
    <row r="166" customFormat="false" ht="15" hidden="false" customHeight="false" outlineLevel="0" collapsed="false">
      <c r="A166" s="2" t="s">
        <v>83</v>
      </c>
      <c r="B166" s="2" t="n">
        <v>2011</v>
      </c>
      <c r="C166" s="2" t="s">
        <v>53</v>
      </c>
      <c r="D166" s="2" t="n">
        <v>1</v>
      </c>
      <c r="E166" s="2" t="n">
        <v>16</v>
      </c>
      <c r="F166" s="2" t="s">
        <v>50</v>
      </c>
      <c r="G166" s="3" t="n">
        <v>0</v>
      </c>
      <c r="H166" s="3" t="n">
        <v>1</v>
      </c>
      <c r="I166" s="3" t="n">
        <v>1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1</v>
      </c>
      <c r="S166" s="3" t="n">
        <v>0</v>
      </c>
      <c r="T166" s="3" t="n">
        <v>1</v>
      </c>
      <c r="U166" s="3" t="n">
        <v>0</v>
      </c>
      <c r="V166" s="3" t="n">
        <v>1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1</v>
      </c>
      <c r="AG166" s="3" t="n">
        <v>0</v>
      </c>
      <c r="AH166" s="3" t="n">
        <v>0</v>
      </c>
      <c r="AI166" s="3" t="n">
        <v>1</v>
      </c>
      <c r="AJ166" s="4" t="n">
        <f aca="false">SUM(G166:AI166)</f>
        <v>8</v>
      </c>
      <c r="AK166" s="4" t="n">
        <f aca="false">ROUND(SUMPRODUCT(G166:AI166,Gene_Weights!$B$2:$AD$2),3)</f>
        <v>-6.91</v>
      </c>
      <c r="AL166" s="2" t="n">
        <v>11</v>
      </c>
      <c r="AM166" s="2" t="n">
        <v>6</v>
      </c>
      <c r="AN166" s="2" t="n">
        <v>54.55</v>
      </c>
      <c r="AO166" s="5" t="n">
        <v>52.86</v>
      </c>
      <c r="AP166" s="5" t="n">
        <v>53.65</v>
      </c>
      <c r="AQ166" s="5" t="n">
        <v>54.45</v>
      </c>
      <c r="AR166" s="5" t="n">
        <v>55.24</v>
      </c>
      <c r="AS166" s="5" t="n">
        <v>56.03</v>
      </c>
      <c r="AT166" s="5" t="n">
        <v>56.83</v>
      </c>
      <c r="AU166" s="5" t="n">
        <v>57.62</v>
      </c>
      <c r="AV166" s="5" t="s">
        <v>51</v>
      </c>
    </row>
    <row r="167" customFormat="false" ht="15" hidden="false" customHeight="false" outlineLevel="0" collapsed="false">
      <c r="A167" s="2" t="s">
        <v>83</v>
      </c>
      <c r="B167" s="2" t="n">
        <v>2011</v>
      </c>
      <c r="C167" s="2" t="s">
        <v>54</v>
      </c>
      <c r="D167" s="2" t="n">
        <v>1</v>
      </c>
      <c r="E167" s="2" t="n">
        <v>4</v>
      </c>
      <c r="F167" s="2" t="s">
        <v>50</v>
      </c>
      <c r="G167" s="3" t="n">
        <v>0</v>
      </c>
      <c r="H167" s="3" t="n">
        <v>1</v>
      </c>
      <c r="I167" s="3" t="n">
        <v>1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1</v>
      </c>
      <c r="S167" s="3" t="n">
        <v>0</v>
      </c>
      <c r="T167" s="3" t="n">
        <v>1</v>
      </c>
      <c r="U167" s="3" t="n">
        <v>0</v>
      </c>
      <c r="V167" s="3" t="n">
        <v>1</v>
      </c>
      <c r="W167" s="3" t="n">
        <v>0</v>
      </c>
      <c r="X167" s="3" t="n">
        <v>0</v>
      </c>
      <c r="Y167" s="3" t="n">
        <v>1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1</v>
      </c>
      <c r="AG167" s="3" t="n">
        <v>0</v>
      </c>
      <c r="AH167" s="3" t="n">
        <v>0</v>
      </c>
      <c r="AI167" s="3" t="n">
        <v>1</v>
      </c>
      <c r="AJ167" s="4" t="n">
        <f aca="false">SUM(G167:AI167)</f>
        <v>8</v>
      </c>
      <c r="AK167" s="4" t="n">
        <f aca="false">ROUND(SUMPRODUCT(G167:AI167,Gene_Weights!$B$2:$AD$2),3)</f>
        <v>-6.91</v>
      </c>
      <c r="AL167" s="2" t="n">
        <v>11</v>
      </c>
      <c r="AM167" s="2" t="n">
        <v>4</v>
      </c>
      <c r="AN167" s="2" t="n">
        <v>36.36</v>
      </c>
      <c r="AO167" s="5" t="n">
        <v>81.84</v>
      </c>
      <c r="AP167" s="5" t="n">
        <v>84.45</v>
      </c>
      <c r="AQ167" s="5" t="n">
        <v>87.06</v>
      </c>
      <c r="AR167" s="5" t="n">
        <v>89.67</v>
      </c>
      <c r="AS167" s="5" t="n">
        <v>92.27</v>
      </c>
      <c r="AT167" s="5" t="n">
        <v>94.88</v>
      </c>
      <c r="AU167" s="5" t="n">
        <v>97.49</v>
      </c>
      <c r="AV167" s="5" t="s">
        <v>51</v>
      </c>
    </row>
    <row r="168" customFormat="false" ht="15" hidden="false" customHeight="false" outlineLevel="0" collapsed="false">
      <c r="A168" s="2" t="s">
        <v>83</v>
      </c>
      <c r="B168" s="2" t="n">
        <v>2011</v>
      </c>
      <c r="C168" s="2" t="s">
        <v>55</v>
      </c>
      <c r="D168" s="2" t="n">
        <v>0</v>
      </c>
      <c r="E168" s="2" t="n">
        <v>2</v>
      </c>
      <c r="F168" s="2" t="s">
        <v>50</v>
      </c>
      <c r="G168" s="3" t="n">
        <v>0</v>
      </c>
      <c r="H168" s="3" t="n">
        <v>1</v>
      </c>
      <c r="I168" s="3" t="n">
        <v>1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1</v>
      </c>
      <c r="S168" s="3" t="n">
        <v>0</v>
      </c>
      <c r="T168" s="3" t="n">
        <v>1</v>
      </c>
      <c r="U168" s="3" t="n">
        <v>0</v>
      </c>
      <c r="V168" s="3" t="n">
        <v>1</v>
      </c>
      <c r="W168" s="3" t="n">
        <v>0</v>
      </c>
      <c r="X168" s="3" t="n">
        <v>0</v>
      </c>
      <c r="Y168" s="3" t="n">
        <v>1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1</v>
      </c>
      <c r="AG168" s="3" t="n">
        <v>0</v>
      </c>
      <c r="AH168" s="3" t="n">
        <v>0</v>
      </c>
      <c r="AI168" s="3" t="n">
        <v>1</v>
      </c>
      <c r="AJ168" s="4" t="n">
        <f aca="false">SUM(G168:AI168)</f>
        <v>8</v>
      </c>
      <c r="AK168" s="4" t="n">
        <f aca="false">ROUND(SUMPRODUCT(G168:AI168,Gene_Weights!$B$2:$AD$2),3)</f>
        <v>-6.91</v>
      </c>
      <c r="AL168" s="2" t="n">
        <v>11</v>
      </c>
      <c r="AM168" s="2" t="n">
        <v>7</v>
      </c>
      <c r="AN168" s="2" t="n">
        <v>63.64</v>
      </c>
      <c r="AO168" s="5" t="n">
        <v>58.19</v>
      </c>
      <c r="AP168" s="5" t="n">
        <v>59.74</v>
      </c>
      <c r="AQ168" s="5" t="n">
        <v>61.3</v>
      </c>
      <c r="AR168" s="5" t="n">
        <v>62.86</v>
      </c>
      <c r="AS168" s="5" t="n">
        <v>64.42</v>
      </c>
      <c r="AT168" s="5" t="n">
        <v>65.98</v>
      </c>
      <c r="AU168" s="5" t="n">
        <v>67.53</v>
      </c>
      <c r="AV168" s="5" t="s">
        <v>51</v>
      </c>
    </row>
    <row r="169" customFormat="false" ht="15" hidden="false" customHeight="false" outlineLevel="0" collapsed="false">
      <c r="A169" s="2" t="s">
        <v>83</v>
      </c>
      <c r="B169" s="2" t="n">
        <v>2011</v>
      </c>
      <c r="C169" s="2" t="s">
        <v>56</v>
      </c>
      <c r="D169" s="2" t="n">
        <v>1</v>
      </c>
      <c r="E169" s="2" t="n">
        <v>4</v>
      </c>
      <c r="F169" s="2" t="s">
        <v>50</v>
      </c>
      <c r="G169" s="3" t="n">
        <v>0</v>
      </c>
      <c r="H169" s="3" t="n">
        <v>1</v>
      </c>
      <c r="I169" s="3" t="n">
        <v>1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1</v>
      </c>
      <c r="S169" s="3" t="n">
        <v>0</v>
      </c>
      <c r="T169" s="3" t="n">
        <v>1</v>
      </c>
      <c r="U169" s="3" t="n">
        <v>0</v>
      </c>
      <c r="V169" s="3" t="n">
        <v>1</v>
      </c>
      <c r="W169" s="3" t="n">
        <v>0</v>
      </c>
      <c r="X169" s="3" t="n">
        <v>0</v>
      </c>
      <c r="Y169" s="3" t="n">
        <v>1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1</v>
      </c>
      <c r="AG169" s="3" t="n">
        <v>0</v>
      </c>
      <c r="AH169" s="3" t="n">
        <v>0</v>
      </c>
      <c r="AI169" s="3" t="n">
        <v>1</v>
      </c>
      <c r="AJ169" s="4" t="n">
        <f aca="false">SUM(G169:AI169)</f>
        <v>8</v>
      </c>
      <c r="AK169" s="4" t="n">
        <f aca="false">ROUND(SUMPRODUCT(G169:AI169,Gene_Weights!$B$2:$AD$2),3)</f>
        <v>-6.91</v>
      </c>
      <c r="AL169" s="2" t="n">
        <v>11</v>
      </c>
      <c r="AM169" s="2" t="n">
        <v>7</v>
      </c>
      <c r="AN169" s="2" t="n">
        <v>63.64</v>
      </c>
      <c r="AO169" s="5" t="n">
        <v>75.59</v>
      </c>
      <c r="AP169" s="5" t="n">
        <v>78.01</v>
      </c>
      <c r="AQ169" s="5" t="n">
        <v>80.42</v>
      </c>
      <c r="AR169" s="5" t="n">
        <v>82.83</v>
      </c>
      <c r="AS169" s="5" t="n">
        <v>85.24</v>
      </c>
      <c r="AT169" s="5" t="n">
        <v>87.66</v>
      </c>
      <c r="AU169" s="5" t="n">
        <v>90.07</v>
      </c>
      <c r="AV169" s="5" t="s">
        <v>51</v>
      </c>
    </row>
    <row r="170" customFormat="false" ht="15" hidden="false" customHeight="false" outlineLevel="0" collapsed="false">
      <c r="A170" s="2" t="s">
        <v>84</v>
      </c>
      <c r="B170" s="2" t="n">
        <v>2013</v>
      </c>
      <c r="C170" s="2" t="s">
        <v>49</v>
      </c>
      <c r="D170" s="2" t="n">
        <v>0</v>
      </c>
      <c r="E170" s="2" t="n">
        <v>4</v>
      </c>
      <c r="F170" s="2" t="s">
        <v>50</v>
      </c>
      <c r="G170" s="3" t="n">
        <v>0</v>
      </c>
      <c r="H170" s="3" t="n">
        <v>0</v>
      </c>
      <c r="I170" s="3" t="n">
        <v>0</v>
      </c>
      <c r="J170" s="3" t="n">
        <v>1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</v>
      </c>
      <c r="U170" s="3" t="n">
        <v>0</v>
      </c>
      <c r="V170" s="3" t="n">
        <v>1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</v>
      </c>
      <c r="AB170" s="3" t="n">
        <v>0</v>
      </c>
      <c r="AC170" s="3" t="n">
        <v>0</v>
      </c>
      <c r="AD170" s="3" t="n">
        <v>1</v>
      </c>
      <c r="AE170" s="3" t="n">
        <v>0</v>
      </c>
      <c r="AF170" s="3" t="n">
        <v>1</v>
      </c>
      <c r="AG170" s="3" t="n">
        <v>1</v>
      </c>
      <c r="AH170" s="3" t="n">
        <v>0</v>
      </c>
      <c r="AI170" s="3" t="n">
        <v>0</v>
      </c>
      <c r="AJ170" s="4" t="n">
        <f aca="false">SUM(G170:AI170)</f>
        <v>7</v>
      </c>
      <c r="AK170" s="4" t="n">
        <f aca="false">ROUND(SUMPRODUCT(G170:AI170,Gene_Weights!$B$2:$AD$2),3)</f>
        <v>-4.51</v>
      </c>
      <c r="AL170" s="2" t="n">
        <v>2</v>
      </c>
      <c r="AM170" s="2" t="n">
        <v>1</v>
      </c>
      <c r="AN170" s="2" t="n">
        <v>50</v>
      </c>
      <c r="AO170" s="5" t="n">
        <v>55.12</v>
      </c>
      <c r="AP170" s="5" t="n">
        <v>56.02</v>
      </c>
      <c r="AQ170" s="5" t="n">
        <v>56.92</v>
      </c>
      <c r="AR170" s="5" t="n">
        <v>57.82</v>
      </c>
      <c r="AS170" s="5" t="n">
        <v>58.72</v>
      </c>
      <c r="AT170" s="5" t="n">
        <v>59.62</v>
      </c>
      <c r="AU170" s="5" t="n">
        <v>60.52</v>
      </c>
      <c r="AV170" s="5" t="s">
        <v>51</v>
      </c>
    </row>
    <row r="171" customFormat="false" ht="15" hidden="false" customHeight="false" outlineLevel="0" collapsed="false">
      <c r="A171" s="2" t="s">
        <v>84</v>
      </c>
      <c r="B171" s="2" t="n">
        <v>2013</v>
      </c>
      <c r="C171" s="2" t="s">
        <v>52</v>
      </c>
      <c r="D171" s="2" t="n">
        <v>0</v>
      </c>
      <c r="E171" s="2" t="n">
        <v>16</v>
      </c>
      <c r="F171" s="2" t="s">
        <v>50</v>
      </c>
      <c r="G171" s="3" t="n">
        <v>0</v>
      </c>
      <c r="H171" s="3" t="n">
        <v>0</v>
      </c>
      <c r="I171" s="3" t="n">
        <v>0</v>
      </c>
      <c r="J171" s="3" t="n">
        <v>1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1</v>
      </c>
      <c r="U171" s="3" t="n">
        <v>0</v>
      </c>
      <c r="V171" s="3" t="n">
        <v>1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1</v>
      </c>
      <c r="AB171" s="3" t="n">
        <v>0</v>
      </c>
      <c r="AC171" s="3" t="n">
        <v>0</v>
      </c>
      <c r="AD171" s="3" t="n">
        <v>1</v>
      </c>
      <c r="AE171" s="3" t="n">
        <v>0</v>
      </c>
      <c r="AF171" s="3" t="n">
        <v>1</v>
      </c>
      <c r="AG171" s="3" t="n">
        <v>1</v>
      </c>
      <c r="AH171" s="3" t="n">
        <v>0</v>
      </c>
      <c r="AI171" s="3" t="n">
        <v>0</v>
      </c>
      <c r="AJ171" s="4" t="n">
        <f aca="false">SUM(G171:AI171)</f>
        <v>7</v>
      </c>
      <c r="AK171" s="4" t="n">
        <f aca="false">ROUND(SUMPRODUCT(G171:AI171,Gene_Weights!$B$2:$AD$2),3)</f>
        <v>-4.51</v>
      </c>
      <c r="AL171" s="2" t="n">
        <v>2</v>
      </c>
      <c r="AM171" s="2" t="n">
        <v>0</v>
      </c>
      <c r="AN171" s="2" t="n">
        <v>0</v>
      </c>
      <c r="AO171" s="5" t="n">
        <v>64.53</v>
      </c>
      <c r="AP171" s="5" t="n">
        <v>66.13</v>
      </c>
      <c r="AQ171" s="5" t="n">
        <v>67.73</v>
      </c>
      <c r="AR171" s="5" t="n">
        <v>69.33</v>
      </c>
      <c r="AS171" s="5" t="n">
        <v>70.93</v>
      </c>
      <c r="AT171" s="5" t="n">
        <v>72.53</v>
      </c>
      <c r="AU171" s="5" t="n">
        <v>74.13</v>
      </c>
      <c r="AV171" s="5" t="s">
        <v>51</v>
      </c>
    </row>
    <row r="172" customFormat="false" ht="15" hidden="false" customHeight="false" outlineLevel="0" collapsed="false">
      <c r="A172" s="2" t="s">
        <v>84</v>
      </c>
      <c r="B172" s="2" t="n">
        <v>2013</v>
      </c>
      <c r="C172" s="2" t="s">
        <v>53</v>
      </c>
      <c r="D172" s="2" t="n">
        <v>1</v>
      </c>
      <c r="E172" s="2" t="n">
        <v>32</v>
      </c>
      <c r="F172" s="2" t="s">
        <v>50</v>
      </c>
      <c r="G172" s="3" t="n">
        <v>0</v>
      </c>
      <c r="H172" s="3" t="n">
        <v>0</v>
      </c>
      <c r="I172" s="3" t="n">
        <v>0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1</v>
      </c>
      <c r="U172" s="3" t="n">
        <v>0</v>
      </c>
      <c r="V172" s="3" t="n">
        <v>1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1</v>
      </c>
      <c r="AB172" s="3" t="n">
        <v>0</v>
      </c>
      <c r="AC172" s="3" t="n">
        <v>0</v>
      </c>
      <c r="AD172" s="3" t="n">
        <v>1</v>
      </c>
      <c r="AE172" s="3" t="n">
        <v>0</v>
      </c>
      <c r="AF172" s="3" t="n">
        <v>1</v>
      </c>
      <c r="AG172" s="3" t="n">
        <v>1</v>
      </c>
      <c r="AH172" s="3" t="n">
        <v>0</v>
      </c>
      <c r="AI172" s="3" t="n">
        <v>0</v>
      </c>
      <c r="AJ172" s="4" t="n">
        <f aca="false">SUM(G172:AI172)</f>
        <v>7</v>
      </c>
      <c r="AK172" s="4" t="n">
        <f aca="false">ROUND(SUMPRODUCT(G172:AI172,Gene_Weights!$B$2:$AD$2),3)</f>
        <v>-4.51</v>
      </c>
      <c r="AL172" s="2" t="n">
        <v>2</v>
      </c>
      <c r="AM172" s="2" t="n">
        <v>1</v>
      </c>
      <c r="AN172" s="2" t="n">
        <v>50</v>
      </c>
      <c r="AO172" s="5" t="n">
        <v>52.86</v>
      </c>
      <c r="AP172" s="5" t="n">
        <v>53.65</v>
      </c>
      <c r="AQ172" s="5" t="n">
        <v>54.45</v>
      </c>
      <c r="AR172" s="5" t="n">
        <v>55.24</v>
      </c>
      <c r="AS172" s="5" t="n">
        <v>56.03</v>
      </c>
      <c r="AT172" s="5" t="n">
        <v>56.83</v>
      </c>
      <c r="AU172" s="5" t="n">
        <v>57.62</v>
      </c>
      <c r="AV172" s="5" t="s">
        <v>51</v>
      </c>
    </row>
    <row r="173" customFormat="false" ht="15" hidden="false" customHeight="false" outlineLevel="0" collapsed="false">
      <c r="A173" s="2" t="s">
        <v>84</v>
      </c>
      <c r="B173" s="2" t="n">
        <v>2013</v>
      </c>
      <c r="C173" s="2" t="s">
        <v>54</v>
      </c>
      <c r="D173" s="2" t="n">
        <v>0</v>
      </c>
      <c r="E173" s="2" t="n">
        <v>4</v>
      </c>
      <c r="F173" s="2" t="s">
        <v>50</v>
      </c>
      <c r="G173" s="3" t="n">
        <v>0</v>
      </c>
      <c r="H173" s="3" t="n">
        <v>0</v>
      </c>
      <c r="I173" s="3" t="n">
        <v>0</v>
      </c>
      <c r="J173" s="3" t="n">
        <v>1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1</v>
      </c>
      <c r="U173" s="3" t="n">
        <v>0</v>
      </c>
      <c r="V173" s="3" t="n">
        <v>1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1</v>
      </c>
      <c r="AB173" s="3" t="n">
        <v>0</v>
      </c>
      <c r="AC173" s="3" t="n">
        <v>0</v>
      </c>
      <c r="AD173" s="3" t="n">
        <v>1</v>
      </c>
      <c r="AE173" s="3" t="n">
        <v>0</v>
      </c>
      <c r="AF173" s="3" t="n">
        <v>1</v>
      </c>
      <c r="AG173" s="3" t="n">
        <v>1</v>
      </c>
      <c r="AH173" s="3" t="n">
        <v>0</v>
      </c>
      <c r="AI173" s="3" t="n">
        <v>0</v>
      </c>
      <c r="AJ173" s="4" t="n">
        <f aca="false">SUM(G173:AI173)</f>
        <v>7</v>
      </c>
      <c r="AK173" s="4" t="n">
        <f aca="false">ROUND(SUMPRODUCT(G173:AI173,Gene_Weights!$B$2:$AD$2),3)</f>
        <v>-4.51</v>
      </c>
      <c r="AL173" s="2" t="n">
        <v>2</v>
      </c>
      <c r="AM173" s="2" t="n">
        <v>0</v>
      </c>
      <c r="AN173" s="2" t="n">
        <v>0</v>
      </c>
      <c r="AO173" s="5" t="n">
        <v>81.84</v>
      </c>
      <c r="AP173" s="5" t="n">
        <v>84.45</v>
      </c>
      <c r="AQ173" s="5" t="n">
        <v>87.06</v>
      </c>
      <c r="AR173" s="5" t="n">
        <v>89.67</v>
      </c>
      <c r="AS173" s="5" t="n">
        <v>92.27</v>
      </c>
      <c r="AT173" s="5" t="n">
        <v>94.88</v>
      </c>
      <c r="AU173" s="5" t="n">
        <v>97.49</v>
      </c>
      <c r="AV173" s="5" t="s">
        <v>51</v>
      </c>
    </row>
    <row r="174" customFormat="false" ht="15" hidden="false" customHeight="false" outlineLevel="0" collapsed="false">
      <c r="A174" s="2" t="s">
        <v>84</v>
      </c>
      <c r="B174" s="2" t="n">
        <v>2013</v>
      </c>
      <c r="C174" s="2" t="s">
        <v>55</v>
      </c>
      <c r="D174" s="2" t="n">
        <v>1</v>
      </c>
      <c r="E174" s="2" t="n">
        <v>32</v>
      </c>
      <c r="F174" s="2" t="s">
        <v>50</v>
      </c>
      <c r="G174" s="3" t="n">
        <v>0</v>
      </c>
      <c r="H174" s="3" t="n">
        <v>0</v>
      </c>
      <c r="I174" s="3" t="n">
        <v>0</v>
      </c>
      <c r="J174" s="3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1</v>
      </c>
      <c r="U174" s="3" t="n">
        <v>0</v>
      </c>
      <c r="V174" s="3" t="n">
        <v>1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1</v>
      </c>
      <c r="AB174" s="3" t="n">
        <v>0</v>
      </c>
      <c r="AC174" s="3" t="n">
        <v>0</v>
      </c>
      <c r="AD174" s="3" t="n">
        <v>1</v>
      </c>
      <c r="AE174" s="3" t="n">
        <v>0</v>
      </c>
      <c r="AF174" s="3" t="n">
        <v>1</v>
      </c>
      <c r="AG174" s="3" t="n">
        <v>1</v>
      </c>
      <c r="AH174" s="3" t="n">
        <v>0</v>
      </c>
      <c r="AI174" s="3" t="n">
        <v>0</v>
      </c>
      <c r="AJ174" s="4" t="n">
        <f aca="false">SUM(G174:AI174)</f>
        <v>7</v>
      </c>
      <c r="AK174" s="4" t="n">
        <f aca="false">ROUND(SUMPRODUCT(G174:AI174,Gene_Weights!$B$2:$AD$2),3)</f>
        <v>-4.51</v>
      </c>
      <c r="AL174" s="2" t="n">
        <v>2</v>
      </c>
      <c r="AM174" s="2" t="n">
        <v>2</v>
      </c>
      <c r="AN174" s="2" t="n">
        <v>100</v>
      </c>
      <c r="AO174" s="5" t="n">
        <v>58.19</v>
      </c>
      <c r="AP174" s="5" t="n">
        <v>59.74</v>
      </c>
      <c r="AQ174" s="5" t="n">
        <v>61.3</v>
      </c>
      <c r="AR174" s="5" t="n">
        <v>62.86</v>
      </c>
      <c r="AS174" s="5" t="n">
        <v>64.42</v>
      </c>
      <c r="AT174" s="5" t="n">
        <v>65.98</v>
      </c>
      <c r="AU174" s="5" t="n">
        <v>67.53</v>
      </c>
      <c r="AV174" s="5" t="s">
        <v>51</v>
      </c>
    </row>
    <row r="175" customFormat="false" ht="15" hidden="false" customHeight="false" outlineLevel="0" collapsed="false">
      <c r="A175" s="2" t="s">
        <v>84</v>
      </c>
      <c r="B175" s="2" t="n">
        <v>2013</v>
      </c>
      <c r="C175" s="2" t="s">
        <v>56</v>
      </c>
      <c r="D175" s="2" t="n">
        <v>0</v>
      </c>
      <c r="E175" s="2" t="n">
        <v>2</v>
      </c>
      <c r="F175" s="2" t="s">
        <v>50</v>
      </c>
      <c r="G175" s="3" t="n">
        <v>0</v>
      </c>
      <c r="H175" s="3" t="n">
        <v>0</v>
      </c>
      <c r="I175" s="3" t="n">
        <v>0</v>
      </c>
      <c r="J175" s="3" t="n">
        <v>1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</v>
      </c>
      <c r="U175" s="3" t="n">
        <v>0</v>
      </c>
      <c r="V175" s="3" t="n">
        <v>1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1</v>
      </c>
      <c r="AB175" s="3" t="n">
        <v>0</v>
      </c>
      <c r="AC175" s="3" t="n">
        <v>0</v>
      </c>
      <c r="AD175" s="3" t="n">
        <v>1</v>
      </c>
      <c r="AE175" s="3" t="n">
        <v>0</v>
      </c>
      <c r="AF175" s="3" t="n">
        <v>1</v>
      </c>
      <c r="AG175" s="3" t="n">
        <v>1</v>
      </c>
      <c r="AH175" s="3" t="n">
        <v>0</v>
      </c>
      <c r="AI175" s="3" t="n">
        <v>0</v>
      </c>
      <c r="AJ175" s="4" t="n">
        <f aca="false">SUM(G175:AI175)</f>
        <v>7</v>
      </c>
      <c r="AK175" s="4" t="n">
        <f aca="false">ROUND(SUMPRODUCT(G175:AI175,Gene_Weights!$B$2:$AD$2),3)</f>
        <v>-4.51</v>
      </c>
      <c r="AL175" s="2" t="n">
        <v>2</v>
      </c>
      <c r="AM175" s="2" t="n">
        <v>1</v>
      </c>
      <c r="AN175" s="2" t="n">
        <v>50</v>
      </c>
      <c r="AO175" s="5" t="n">
        <v>75.59</v>
      </c>
      <c r="AP175" s="5" t="n">
        <v>78.01</v>
      </c>
      <c r="AQ175" s="5" t="n">
        <v>80.42</v>
      </c>
      <c r="AR175" s="5" t="n">
        <v>82.83</v>
      </c>
      <c r="AS175" s="5" t="n">
        <v>85.24</v>
      </c>
      <c r="AT175" s="5" t="n">
        <v>87.66</v>
      </c>
      <c r="AU175" s="5" t="n">
        <v>90.07</v>
      </c>
      <c r="AV175" s="5" t="s">
        <v>51</v>
      </c>
    </row>
    <row r="176" customFormat="false" ht="15" hidden="false" customHeight="false" outlineLevel="0" collapsed="false">
      <c r="A176" s="2" t="s">
        <v>85</v>
      </c>
      <c r="B176" s="2" t="n">
        <v>2005</v>
      </c>
      <c r="C176" s="2" t="s">
        <v>49</v>
      </c>
      <c r="D176" s="2" t="n">
        <v>0</v>
      </c>
      <c r="E176" s="2" t="n">
        <v>32</v>
      </c>
      <c r="F176" s="2" t="s">
        <v>50</v>
      </c>
      <c r="G176" s="3" t="n">
        <v>0</v>
      </c>
      <c r="H176" s="3" t="n">
        <v>0</v>
      </c>
      <c r="I176" s="3" t="n">
        <v>0</v>
      </c>
      <c r="J176" s="3" t="n">
        <v>1</v>
      </c>
      <c r="K176" s="3" t="n">
        <v>0</v>
      </c>
      <c r="L176" s="3" t="n">
        <v>0</v>
      </c>
      <c r="M176" s="3" t="n">
        <v>1</v>
      </c>
      <c r="N176" s="3" t="n">
        <v>0</v>
      </c>
      <c r="O176" s="3" t="n">
        <v>1</v>
      </c>
      <c r="P176" s="3" t="n">
        <v>0</v>
      </c>
      <c r="Q176" s="3" t="n">
        <v>0</v>
      </c>
      <c r="R176" s="3" t="n">
        <v>1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1</v>
      </c>
      <c r="AD176" s="3" t="n">
        <v>0</v>
      </c>
      <c r="AE176" s="3" t="n">
        <v>0</v>
      </c>
      <c r="AF176" s="3" t="n">
        <v>1</v>
      </c>
      <c r="AG176" s="3" t="n">
        <v>0</v>
      </c>
      <c r="AH176" s="3" t="n">
        <v>0</v>
      </c>
      <c r="AI176" s="3" t="n">
        <v>0</v>
      </c>
      <c r="AJ176" s="4" t="n">
        <f aca="false">SUM(G176:AI176)</f>
        <v>6</v>
      </c>
      <c r="AK176" s="4" t="n">
        <f aca="false">ROUND(SUMPRODUCT(G176:AI176,Gene_Weights!$B$2:$AD$2),3)</f>
        <v>-5.77</v>
      </c>
      <c r="AL176" s="2" t="n">
        <v>6</v>
      </c>
      <c r="AM176" s="2" t="n">
        <v>1</v>
      </c>
      <c r="AN176" s="2" t="n">
        <v>16.67</v>
      </c>
      <c r="AO176" s="5" t="n">
        <v>55.12</v>
      </c>
      <c r="AP176" s="5" t="n">
        <v>56.02</v>
      </c>
      <c r="AQ176" s="5" t="n">
        <v>56.92</v>
      </c>
      <c r="AR176" s="5" t="n">
        <v>57.82</v>
      </c>
      <c r="AS176" s="5" t="n">
        <v>58.72</v>
      </c>
      <c r="AT176" s="5" t="n">
        <v>59.62</v>
      </c>
      <c r="AU176" s="5" t="n">
        <v>60.52</v>
      </c>
      <c r="AV176" s="5" t="s">
        <v>51</v>
      </c>
    </row>
    <row r="177" customFormat="false" ht="15" hidden="false" customHeight="false" outlineLevel="0" collapsed="false">
      <c r="A177" s="2" t="s">
        <v>85</v>
      </c>
      <c r="B177" s="2" t="n">
        <v>2005</v>
      </c>
      <c r="C177" s="2" t="s">
        <v>52</v>
      </c>
      <c r="D177" s="2" t="n">
        <v>1</v>
      </c>
      <c r="E177" s="2" t="n">
        <v>16</v>
      </c>
      <c r="F177" s="2" t="s">
        <v>50</v>
      </c>
      <c r="G177" s="3" t="n">
        <v>0</v>
      </c>
      <c r="H177" s="3" t="n">
        <v>0</v>
      </c>
      <c r="I177" s="3" t="n">
        <v>0</v>
      </c>
      <c r="J177" s="3" t="n">
        <v>1</v>
      </c>
      <c r="K177" s="3" t="n">
        <v>0</v>
      </c>
      <c r="L177" s="3" t="n">
        <v>0</v>
      </c>
      <c r="M177" s="3" t="n">
        <v>1</v>
      </c>
      <c r="N177" s="3" t="n">
        <v>0</v>
      </c>
      <c r="O177" s="3" t="n">
        <v>1</v>
      </c>
      <c r="P177" s="3" t="n">
        <v>0</v>
      </c>
      <c r="Q177" s="3" t="n">
        <v>0</v>
      </c>
      <c r="R177" s="3" t="n">
        <v>1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1</v>
      </c>
      <c r="AD177" s="3" t="n">
        <v>0</v>
      </c>
      <c r="AE177" s="3" t="n">
        <v>0</v>
      </c>
      <c r="AF177" s="3" t="n">
        <v>1</v>
      </c>
      <c r="AG177" s="3" t="n">
        <v>0</v>
      </c>
      <c r="AH177" s="3" t="n">
        <v>0</v>
      </c>
      <c r="AI177" s="3" t="n">
        <v>0</v>
      </c>
      <c r="AJ177" s="4" t="n">
        <f aca="false">SUM(G177:AI177)</f>
        <v>6</v>
      </c>
      <c r="AK177" s="4" t="n">
        <f aca="false">ROUND(SUMPRODUCT(G177:AI177,Gene_Weights!$B$2:$AD$2),3)</f>
        <v>-5.77</v>
      </c>
      <c r="AL177" s="2" t="n">
        <v>6</v>
      </c>
      <c r="AM177" s="2" t="n">
        <v>2</v>
      </c>
      <c r="AN177" s="2" t="n">
        <v>33.33</v>
      </c>
      <c r="AO177" s="5" t="n">
        <v>64.53</v>
      </c>
      <c r="AP177" s="5" t="n">
        <v>66.13</v>
      </c>
      <c r="AQ177" s="5" t="n">
        <v>67.73</v>
      </c>
      <c r="AR177" s="5" t="n">
        <v>69.33</v>
      </c>
      <c r="AS177" s="5" t="n">
        <v>70.93</v>
      </c>
      <c r="AT177" s="5" t="n">
        <v>72.53</v>
      </c>
      <c r="AU177" s="5" t="n">
        <v>74.13</v>
      </c>
      <c r="AV177" s="5" t="s">
        <v>51</v>
      </c>
    </row>
    <row r="178" customFormat="false" ht="15" hidden="false" customHeight="false" outlineLevel="0" collapsed="false">
      <c r="A178" s="2" t="s">
        <v>85</v>
      </c>
      <c r="B178" s="2" t="n">
        <v>2005</v>
      </c>
      <c r="C178" s="2" t="s">
        <v>53</v>
      </c>
      <c r="D178" s="2" t="n">
        <v>0</v>
      </c>
      <c r="E178" s="2" t="n">
        <v>32</v>
      </c>
      <c r="F178" s="2" t="s">
        <v>50</v>
      </c>
      <c r="G178" s="3" t="n">
        <v>0</v>
      </c>
      <c r="H178" s="3" t="n">
        <v>0</v>
      </c>
      <c r="I178" s="3" t="n">
        <v>0</v>
      </c>
      <c r="J178" s="3" t="n">
        <v>1</v>
      </c>
      <c r="K178" s="3" t="n">
        <v>0</v>
      </c>
      <c r="L178" s="3" t="n">
        <v>0</v>
      </c>
      <c r="M178" s="3" t="n">
        <v>1</v>
      </c>
      <c r="N178" s="3" t="n">
        <v>0</v>
      </c>
      <c r="O178" s="3" t="n">
        <v>1</v>
      </c>
      <c r="P178" s="3" t="n">
        <v>0</v>
      </c>
      <c r="Q178" s="3" t="n">
        <v>0</v>
      </c>
      <c r="R178" s="3" t="n">
        <v>1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1</v>
      </c>
      <c r="AD178" s="3" t="n">
        <v>0</v>
      </c>
      <c r="AE178" s="3" t="n">
        <v>0</v>
      </c>
      <c r="AF178" s="3" t="n">
        <v>1</v>
      </c>
      <c r="AG178" s="3" t="n">
        <v>0</v>
      </c>
      <c r="AH178" s="3" t="n">
        <v>0</v>
      </c>
      <c r="AI178" s="3" t="n">
        <v>0</v>
      </c>
      <c r="AJ178" s="4" t="n">
        <f aca="false">SUM(G178:AI178)</f>
        <v>6</v>
      </c>
      <c r="AK178" s="4" t="n">
        <f aca="false">ROUND(SUMPRODUCT(G178:AI178,Gene_Weights!$B$2:$AD$2),3)</f>
        <v>-5.77</v>
      </c>
      <c r="AL178" s="2" t="n">
        <v>6</v>
      </c>
      <c r="AM178" s="2" t="n">
        <v>0</v>
      </c>
      <c r="AN178" s="2" t="n">
        <v>0</v>
      </c>
      <c r="AO178" s="5" t="n">
        <v>52.86</v>
      </c>
      <c r="AP178" s="5" t="n">
        <v>53.65</v>
      </c>
      <c r="AQ178" s="5" t="n">
        <v>54.45</v>
      </c>
      <c r="AR178" s="5" t="n">
        <v>55.24</v>
      </c>
      <c r="AS178" s="5" t="n">
        <v>56.03</v>
      </c>
      <c r="AT178" s="5" t="n">
        <v>56.83</v>
      </c>
      <c r="AU178" s="5" t="n">
        <v>57.62</v>
      </c>
      <c r="AV178" s="5" t="s">
        <v>51</v>
      </c>
    </row>
    <row r="179" customFormat="false" ht="15" hidden="false" customHeight="false" outlineLevel="0" collapsed="false">
      <c r="A179" s="2" t="s">
        <v>85</v>
      </c>
      <c r="B179" s="2" t="n">
        <v>2005</v>
      </c>
      <c r="C179" s="2" t="s">
        <v>54</v>
      </c>
      <c r="D179" s="2" t="n">
        <v>0</v>
      </c>
      <c r="E179" s="2" t="n">
        <v>32</v>
      </c>
      <c r="F179" s="2" t="s">
        <v>50</v>
      </c>
      <c r="G179" s="3" t="n">
        <v>0</v>
      </c>
      <c r="H179" s="3" t="n">
        <v>0</v>
      </c>
      <c r="I179" s="3" t="n">
        <v>0</v>
      </c>
      <c r="J179" s="3" t="n">
        <v>1</v>
      </c>
      <c r="K179" s="3" t="n">
        <v>0</v>
      </c>
      <c r="L179" s="3" t="n">
        <v>0</v>
      </c>
      <c r="M179" s="3" t="n">
        <v>1</v>
      </c>
      <c r="N179" s="3" t="n">
        <v>0</v>
      </c>
      <c r="O179" s="3" t="n">
        <v>1</v>
      </c>
      <c r="P179" s="3" t="n">
        <v>0</v>
      </c>
      <c r="Q179" s="3" t="n">
        <v>0</v>
      </c>
      <c r="R179" s="3" t="n">
        <v>1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1</v>
      </c>
      <c r="AD179" s="3" t="n">
        <v>0</v>
      </c>
      <c r="AE179" s="3" t="n">
        <v>0</v>
      </c>
      <c r="AF179" s="3" t="n">
        <v>1</v>
      </c>
      <c r="AG179" s="3" t="n">
        <v>0</v>
      </c>
      <c r="AH179" s="3" t="n">
        <v>0</v>
      </c>
      <c r="AI179" s="3" t="n">
        <v>0</v>
      </c>
      <c r="AJ179" s="4" t="n">
        <f aca="false">SUM(G179:AI179)</f>
        <v>6</v>
      </c>
      <c r="AK179" s="4" t="n">
        <f aca="false">ROUND(SUMPRODUCT(G179:AI179,Gene_Weights!$B$2:$AD$2),3)</f>
        <v>-5.77</v>
      </c>
      <c r="AL179" s="2" t="n">
        <v>6</v>
      </c>
      <c r="AM179" s="2" t="n">
        <v>0</v>
      </c>
      <c r="AN179" s="2" t="n">
        <v>0</v>
      </c>
      <c r="AO179" s="5" t="n">
        <v>81.84</v>
      </c>
      <c r="AP179" s="5" t="n">
        <v>84.45</v>
      </c>
      <c r="AQ179" s="5" t="n">
        <v>87.06</v>
      </c>
      <c r="AR179" s="5" t="n">
        <v>89.67</v>
      </c>
      <c r="AS179" s="5" t="n">
        <v>92.27</v>
      </c>
      <c r="AT179" s="5" t="n">
        <v>94.88</v>
      </c>
      <c r="AU179" s="5" t="n">
        <v>97.49</v>
      </c>
      <c r="AV179" s="5" t="s">
        <v>51</v>
      </c>
    </row>
    <row r="180" customFormat="false" ht="15" hidden="false" customHeight="false" outlineLevel="0" collapsed="false">
      <c r="A180" s="2" t="s">
        <v>85</v>
      </c>
      <c r="B180" s="2" t="n">
        <v>2005</v>
      </c>
      <c r="C180" s="2" t="s">
        <v>55</v>
      </c>
      <c r="D180" s="2" t="n">
        <v>0</v>
      </c>
      <c r="E180" s="2" t="n">
        <v>4</v>
      </c>
      <c r="F180" s="2" t="s">
        <v>50</v>
      </c>
      <c r="G180" s="3" t="n">
        <v>0</v>
      </c>
      <c r="H180" s="3" t="n">
        <v>0</v>
      </c>
      <c r="I180" s="3" t="n">
        <v>0</v>
      </c>
      <c r="J180" s="3" t="n">
        <v>1</v>
      </c>
      <c r="K180" s="3" t="n">
        <v>0</v>
      </c>
      <c r="L180" s="3" t="n">
        <v>0</v>
      </c>
      <c r="M180" s="3" t="n">
        <v>1</v>
      </c>
      <c r="N180" s="3" t="n">
        <v>0</v>
      </c>
      <c r="O180" s="3" t="n">
        <v>1</v>
      </c>
      <c r="P180" s="3" t="n">
        <v>0</v>
      </c>
      <c r="Q180" s="3" t="n">
        <v>0</v>
      </c>
      <c r="R180" s="3" t="n">
        <v>1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1</v>
      </c>
      <c r="AD180" s="3" t="n">
        <v>0</v>
      </c>
      <c r="AE180" s="3" t="n">
        <v>0</v>
      </c>
      <c r="AF180" s="3" t="n">
        <v>1</v>
      </c>
      <c r="AG180" s="3" t="n">
        <v>0</v>
      </c>
      <c r="AH180" s="3" t="n">
        <v>0</v>
      </c>
      <c r="AI180" s="3" t="n">
        <v>0</v>
      </c>
      <c r="AJ180" s="4" t="n">
        <f aca="false">SUM(G180:AI180)</f>
        <v>6</v>
      </c>
      <c r="AK180" s="4" t="n">
        <f aca="false">ROUND(SUMPRODUCT(G180:AI180,Gene_Weights!$B$2:$AD$2),3)</f>
        <v>-5.77</v>
      </c>
      <c r="AL180" s="2" t="n">
        <v>6</v>
      </c>
      <c r="AM180" s="2" t="n">
        <v>1</v>
      </c>
      <c r="AN180" s="2" t="n">
        <v>16.67</v>
      </c>
      <c r="AO180" s="5" t="n">
        <v>58.19</v>
      </c>
      <c r="AP180" s="5" t="n">
        <v>59.74</v>
      </c>
      <c r="AQ180" s="5" t="n">
        <v>61.3</v>
      </c>
      <c r="AR180" s="5" t="n">
        <v>62.86</v>
      </c>
      <c r="AS180" s="5" t="n">
        <v>64.42</v>
      </c>
      <c r="AT180" s="5" t="n">
        <v>65.98</v>
      </c>
      <c r="AU180" s="5" t="n">
        <v>67.53</v>
      </c>
      <c r="AV180" s="5" t="s">
        <v>51</v>
      </c>
    </row>
    <row r="181" customFormat="false" ht="15" hidden="false" customHeight="false" outlineLevel="0" collapsed="false">
      <c r="A181" s="2" t="s">
        <v>85</v>
      </c>
      <c r="B181" s="2" t="n">
        <v>2005</v>
      </c>
      <c r="C181" s="2" t="s">
        <v>56</v>
      </c>
      <c r="D181" s="2" t="n">
        <v>0</v>
      </c>
      <c r="E181" s="2" t="n">
        <v>4</v>
      </c>
      <c r="F181" s="2" t="s">
        <v>50</v>
      </c>
      <c r="G181" s="3" t="n">
        <v>0</v>
      </c>
      <c r="H181" s="3" t="n">
        <v>0</v>
      </c>
      <c r="I181" s="3" t="n">
        <v>0</v>
      </c>
      <c r="J181" s="3" t="n">
        <v>1</v>
      </c>
      <c r="K181" s="3" t="n">
        <v>0</v>
      </c>
      <c r="L181" s="3" t="n">
        <v>0</v>
      </c>
      <c r="M181" s="3" t="n">
        <v>1</v>
      </c>
      <c r="N181" s="3" t="n">
        <v>0</v>
      </c>
      <c r="O181" s="3" t="n">
        <v>1</v>
      </c>
      <c r="P181" s="3" t="n">
        <v>0</v>
      </c>
      <c r="Q181" s="3" t="n">
        <v>0</v>
      </c>
      <c r="R181" s="3" t="n">
        <v>1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1</v>
      </c>
      <c r="AD181" s="3" t="n">
        <v>0</v>
      </c>
      <c r="AE181" s="3" t="n">
        <v>0</v>
      </c>
      <c r="AF181" s="3" t="n">
        <v>1</v>
      </c>
      <c r="AG181" s="3" t="n">
        <v>0</v>
      </c>
      <c r="AH181" s="3" t="n">
        <v>0</v>
      </c>
      <c r="AI181" s="3" t="n">
        <v>0</v>
      </c>
      <c r="AJ181" s="4" t="n">
        <f aca="false">SUM(G181:AI181)</f>
        <v>6</v>
      </c>
      <c r="AK181" s="4" t="n">
        <f aca="false">ROUND(SUMPRODUCT(G181:AI181,Gene_Weights!$B$2:$AD$2),3)</f>
        <v>-5.77</v>
      </c>
      <c r="AL181" s="2" t="n">
        <v>6</v>
      </c>
      <c r="AM181" s="2" t="n">
        <v>1</v>
      </c>
      <c r="AN181" s="2" t="n">
        <v>16.67</v>
      </c>
      <c r="AO181" s="5" t="n">
        <v>75.59</v>
      </c>
      <c r="AP181" s="5" t="n">
        <v>78.01</v>
      </c>
      <c r="AQ181" s="5" t="n">
        <v>80.42</v>
      </c>
      <c r="AR181" s="5" t="n">
        <v>82.83</v>
      </c>
      <c r="AS181" s="5" t="n">
        <v>85.24</v>
      </c>
      <c r="AT181" s="5" t="n">
        <v>87.66</v>
      </c>
      <c r="AU181" s="5" t="n">
        <v>90.07</v>
      </c>
      <c r="AV181" s="5" t="s">
        <v>51</v>
      </c>
    </row>
    <row r="182" customFormat="false" ht="15" hidden="false" customHeight="false" outlineLevel="0" collapsed="false">
      <c r="A182" s="2" t="s">
        <v>86</v>
      </c>
      <c r="B182" s="2" t="n">
        <v>2019</v>
      </c>
      <c r="C182" s="2" t="s">
        <v>49</v>
      </c>
      <c r="D182" s="2" t="n">
        <v>0</v>
      </c>
      <c r="E182" s="2" t="n">
        <v>4</v>
      </c>
      <c r="F182" s="2" t="s">
        <v>50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1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</v>
      </c>
      <c r="T182" s="3" t="n">
        <v>1</v>
      </c>
      <c r="U182" s="3" t="n">
        <v>0</v>
      </c>
      <c r="V182" s="3" t="n">
        <v>0</v>
      </c>
      <c r="W182" s="3" t="n">
        <v>1</v>
      </c>
      <c r="X182" s="3" t="n">
        <v>1</v>
      </c>
      <c r="Y182" s="3" t="n">
        <v>1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1</v>
      </c>
      <c r="AE182" s="3" t="n">
        <v>1</v>
      </c>
      <c r="AF182" s="3" t="n">
        <v>0</v>
      </c>
      <c r="AG182" s="3" t="n">
        <v>0</v>
      </c>
      <c r="AH182" s="3" t="n">
        <v>0</v>
      </c>
      <c r="AI182" s="3" t="n">
        <v>0</v>
      </c>
      <c r="AJ182" s="4" t="n">
        <f aca="false">SUM(G182:AI182)</f>
        <v>8</v>
      </c>
      <c r="AK182" s="4" t="n">
        <f aca="false">ROUND(SUMPRODUCT(G182:AI182,Gene_Weights!$B$2:$AD$2),3)</f>
        <v>-3.73</v>
      </c>
      <c r="AL182" s="2" t="n">
        <v>7</v>
      </c>
      <c r="AM182" s="2" t="n">
        <v>4</v>
      </c>
      <c r="AN182" s="2" t="n">
        <v>57.14</v>
      </c>
      <c r="AO182" s="5" t="n">
        <v>55.12</v>
      </c>
      <c r="AP182" s="5" t="n">
        <v>56.02</v>
      </c>
      <c r="AQ182" s="5" t="n">
        <v>56.92</v>
      </c>
      <c r="AR182" s="5" t="n">
        <v>57.82</v>
      </c>
      <c r="AS182" s="5" t="n">
        <v>58.72</v>
      </c>
      <c r="AT182" s="5" t="n">
        <v>59.62</v>
      </c>
      <c r="AU182" s="5" t="n">
        <v>60.52</v>
      </c>
      <c r="AV182" s="5" t="s">
        <v>51</v>
      </c>
    </row>
    <row r="183" customFormat="false" ht="15" hidden="false" customHeight="false" outlineLevel="0" collapsed="false">
      <c r="A183" s="2" t="s">
        <v>86</v>
      </c>
      <c r="B183" s="2" t="n">
        <v>2019</v>
      </c>
      <c r="C183" s="2" t="s">
        <v>52</v>
      </c>
      <c r="D183" s="2" t="n">
        <v>1</v>
      </c>
      <c r="E183" s="2" t="n">
        <v>4</v>
      </c>
      <c r="F183" s="2" t="s">
        <v>50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1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1</v>
      </c>
      <c r="T183" s="3" t="n">
        <v>1</v>
      </c>
      <c r="U183" s="3" t="n">
        <v>0</v>
      </c>
      <c r="V183" s="3" t="n">
        <v>0</v>
      </c>
      <c r="W183" s="3" t="n">
        <v>1</v>
      </c>
      <c r="X183" s="3" t="n">
        <v>1</v>
      </c>
      <c r="Y183" s="3" t="n">
        <v>1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1</v>
      </c>
      <c r="AE183" s="3" t="n">
        <v>1</v>
      </c>
      <c r="AF183" s="3" t="n">
        <v>0</v>
      </c>
      <c r="AG183" s="3" t="n">
        <v>0</v>
      </c>
      <c r="AH183" s="3" t="n">
        <v>0</v>
      </c>
      <c r="AI183" s="3" t="n">
        <v>0</v>
      </c>
      <c r="AJ183" s="4" t="n">
        <f aca="false">SUM(G183:AI183)</f>
        <v>8</v>
      </c>
      <c r="AK183" s="4" t="n">
        <f aca="false">ROUND(SUMPRODUCT(G183:AI183,Gene_Weights!$B$2:$AD$2),3)</f>
        <v>-3.73</v>
      </c>
      <c r="AL183" s="2" t="n">
        <v>7</v>
      </c>
      <c r="AM183" s="2" t="n">
        <v>5</v>
      </c>
      <c r="AN183" s="2" t="n">
        <v>71.43</v>
      </c>
      <c r="AO183" s="5" t="n">
        <v>64.53</v>
      </c>
      <c r="AP183" s="5" t="n">
        <v>66.13</v>
      </c>
      <c r="AQ183" s="5" t="n">
        <v>67.73</v>
      </c>
      <c r="AR183" s="5" t="n">
        <v>69.33</v>
      </c>
      <c r="AS183" s="5" t="n">
        <v>70.93</v>
      </c>
      <c r="AT183" s="5" t="n">
        <v>72.53</v>
      </c>
      <c r="AU183" s="5" t="n">
        <v>74.13</v>
      </c>
      <c r="AV183" s="5" t="s">
        <v>51</v>
      </c>
    </row>
    <row r="184" customFormat="false" ht="15" hidden="false" customHeight="false" outlineLevel="0" collapsed="false">
      <c r="A184" s="2" t="s">
        <v>86</v>
      </c>
      <c r="B184" s="2" t="n">
        <v>2019</v>
      </c>
      <c r="C184" s="2" t="s">
        <v>53</v>
      </c>
      <c r="D184" s="2" t="n">
        <v>0</v>
      </c>
      <c r="E184" s="2" t="n">
        <v>4</v>
      </c>
      <c r="F184" s="2" t="s">
        <v>50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1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1</v>
      </c>
      <c r="T184" s="3" t="n">
        <v>1</v>
      </c>
      <c r="U184" s="3" t="n">
        <v>0</v>
      </c>
      <c r="V184" s="3" t="n">
        <v>0</v>
      </c>
      <c r="W184" s="3" t="n">
        <v>1</v>
      </c>
      <c r="X184" s="3" t="n">
        <v>1</v>
      </c>
      <c r="Y184" s="3" t="n">
        <v>1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1</v>
      </c>
      <c r="AE184" s="3" t="n">
        <v>1</v>
      </c>
      <c r="AF184" s="3" t="n">
        <v>0</v>
      </c>
      <c r="AG184" s="3" t="n">
        <v>0</v>
      </c>
      <c r="AH184" s="3" t="n">
        <v>0</v>
      </c>
      <c r="AI184" s="3" t="n">
        <v>0</v>
      </c>
      <c r="AJ184" s="4" t="n">
        <f aca="false">SUM(G184:AI184)</f>
        <v>8</v>
      </c>
      <c r="AK184" s="4" t="n">
        <f aca="false">ROUND(SUMPRODUCT(G184:AI184,Gene_Weights!$B$2:$AD$2),3)</f>
        <v>-3.73</v>
      </c>
      <c r="AL184" s="2" t="n">
        <v>7</v>
      </c>
      <c r="AM184" s="2" t="n">
        <v>2</v>
      </c>
      <c r="AN184" s="2" t="n">
        <v>28.57</v>
      </c>
      <c r="AO184" s="5" t="n">
        <v>52.86</v>
      </c>
      <c r="AP184" s="5" t="n">
        <v>53.65</v>
      </c>
      <c r="AQ184" s="5" t="n">
        <v>54.45</v>
      </c>
      <c r="AR184" s="5" t="n">
        <v>55.24</v>
      </c>
      <c r="AS184" s="5" t="n">
        <v>56.03</v>
      </c>
      <c r="AT184" s="5" t="n">
        <v>56.83</v>
      </c>
      <c r="AU184" s="5" t="n">
        <v>57.62</v>
      </c>
      <c r="AV184" s="5" t="s">
        <v>51</v>
      </c>
    </row>
    <row r="185" customFormat="false" ht="15" hidden="false" customHeight="false" outlineLevel="0" collapsed="false">
      <c r="A185" s="2" t="s">
        <v>86</v>
      </c>
      <c r="B185" s="2" t="n">
        <v>2019</v>
      </c>
      <c r="C185" s="2" t="s">
        <v>54</v>
      </c>
      <c r="D185" s="2" t="n">
        <v>1</v>
      </c>
      <c r="E185" s="2" t="n">
        <v>2</v>
      </c>
      <c r="F185" s="2" t="s">
        <v>50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1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1</v>
      </c>
      <c r="T185" s="3" t="n">
        <v>1</v>
      </c>
      <c r="U185" s="3" t="n">
        <v>0</v>
      </c>
      <c r="V185" s="3" t="n">
        <v>0</v>
      </c>
      <c r="W185" s="3" t="n">
        <v>1</v>
      </c>
      <c r="X185" s="3" t="n">
        <v>1</v>
      </c>
      <c r="Y185" s="3" t="n">
        <v>1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1</v>
      </c>
      <c r="AE185" s="3" t="n">
        <v>1</v>
      </c>
      <c r="AF185" s="3" t="n">
        <v>0</v>
      </c>
      <c r="AG185" s="3" t="n">
        <v>0</v>
      </c>
      <c r="AH185" s="3" t="n">
        <v>0</v>
      </c>
      <c r="AI185" s="3" t="n">
        <v>0</v>
      </c>
      <c r="AJ185" s="4" t="n">
        <f aca="false">SUM(G185:AI185)</f>
        <v>8</v>
      </c>
      <c r="AK185" s="4" t="n">
        <f aca="false">ROUND(SUMPRODUCT(G185:AI185,Gene_Weights!$B$2:$AD$2),3)</f>
        <v>-3.73</v>
      </c>
      <c r="AL185" s="2" t="n">
        <v>7</v>
      </c>
      <c r="AM185" s="2" t="n">
        <v>5</v>
      </c>
      <c r="AN185" s="2" t="n">
        <v>71.43</v>
      </c>
      <c r="AO185" s="5" t="n">
        <v>81.84</v>
      </c>
      <c r="AP185" s="5" t="n">
        <v>84.45</v>
      </c>
      <c r="AQ185" s="5" t="n">
        <v>87.06</v>
      </c>
      <c r="AR185" s="5" t="n">
        <v>89.67</v>
      </c>
      <c r="AS185" s="5" t="n">
        <v>92.27</v>
      </c>
      <c r="AT185" s="5" t="n">
        <v>94.88</v>
      </c>
      <c r="AU185" s="5" t="n">
        <v>97.49</v>
      </c>
      <c r="AV185" s="5" t="s">
        <v>51</v>
      </c>
    </row>
    <row r="186" customFormat="false" ht="15" hidden="false" customHeight="false" outlineLevel="0" collapsed="false">
      <c r="A186" s="2" t="s">
        <v>86</v>
      </c>
      <c r="B186" s="2" t="n">
        <v>2019</v>
      </c>
      <c r="C186" s="2" t="s">
        <v>55</v>
      </c>
      <c r="D186" s="2" t="n">
        <v>1</v>
      </c>
      <c r="E186" s="2" t="n">
        <v>2</v>
      </c>
      <c r="F186" s="2" t="s">
        <v>50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1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1</v>
      </c>
      <c r="T186" s="3" t="n">
        <v>1</v>
      </c>
      <c r="U186" s="3" t="n">
        <v>0</v>
      </c>
      <c r="V186" s="3" t="n">
        <v>0</v>
      </c>
      <c r="W186" s="3" t="n">
        <v>1</v>
      </c>
      <c r="X186" s="3" t="n">
        <v>1</v>
      </c>
      <c r="Y186" s="3" t="n">
        <v>1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1</v>
      </c>
      <c r="AE186" s="3" t="n">
        <v>1</v>
      </c>
      <c r="AF186" s="3" t="n">
        <v>0</v>
      </c>
      <c r="AG186" s="3" t="n">
        <v>0</v>
      </c>
      <c r="AH186" s="3" t="n">
        <v>0</v>
      </c>
      <c r="AI186" s="3" t="n">
        <v>0</v>
      </c>
      <c r="AJ186" s="4" t="n">
        <f aca="false">SUM(G186:AI186)</f>
        <v>8</v>
      </c>
      <c r="AK186" s="4" t="n">
        <f aca="false">ROUND(SUMPRODUCT(G186:AI186,Gene_Weights!$B$2:$AD$2),3)</f>
        <v>-3.73</v>
      </c>
      <c r="AL186" s="2" t="n">
        <v>7</v>
      </c>
      <c r="AM186" s="2" t="n">
        <v>2</v>
      </c>
      <c r="AN186" s="2" t="n">
        <v>28.57</v>
      </c>
      <c r="AO186" s="5" t="n">
        <v>58.19</v>
      </c>
      <c r="AP186" s="5" t="n">
        <v>59.74</v>
      </c>
      <c r="AQ186" s="5" t="n">
        <v>61.3</v>
      </c>
      <c r="AR186" s="5" t="n">
        <v>62.86</v>
      </c>
      <c r="AS186" s="5" t="n">
        <v>64.42</v>
      </c>
      <c r="AT186" s="5" t="n">
        <v>65.98</v>
      </c>
      <c r="AU186" s="5" t="n">
        <v>67.53</v>
      </c>
      <c r="AV186" s="5" t="s">
        <v>51</v>
      </c>
    </row>
    <row r="187" customFormat="false" ht="15" hidden="false" customHeight="false" outlineLevel="0" collapsed="false">
      <c r="A187" s="2" t="s">
        <v>86</v>
      </c>
      <c r="B187" s="2" t="n">
        <v>2019</v>
      </c>
      <c r="C187" s="2" t="s">
        <v>56</v>
      </c>
      <c r="D187" s="2" t="n">
        <v>1</v>
      </c>
      <c r="E187" s="2" t="n">
        <v>32</v>
      </c>
      <c r="F187" s="2" t="s">
        <v>50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1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1</v>
      </c>
      <c r="T187" s="3" t="n">
        <v>1</v>
      </c>
      <c r="U187" s="3" t="n">
        <v>0</v>
      </c>
      <c r="V187" s="3" t="n">
        <v>0</v>
      </c>
      <c r="W187" s="3" t="n">
        <v>1</v>
      </c>
      <c r="X187" s="3" t="n">
        <v>1</v>
      </c>
      <c r="Y187" s="3" t="n">
        <v>1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1</v>
      </c>
      <c r="AE187" s="3" t="n">
        <v>1</v>
      </c>
      <c r="AF187" s="3" t="n">
        <v>0</v>
      </c>
      <c r="AG187" s="3" t="n">
        <v>0</v>
      </c>
      <c r="AH187" s="3" t="n">
        <v>0</v>
      </c>
      <c r="AI187" s="3" t="n">
        <v>0</v>
      </c>
      <c r="AJ187" s="4" t="n">
        <f aca="false">SUM(G187:AI187)</f>
        <v>8</v>
      </c>
      <c r="AK187" s="4" t="n">
        <f aca="false">ROUND(SUMPRODUCT(G187:AI187,Gene_Weights!$B$2:$AD$2),3)</f>
        <v>-3.73</v>
      </c>
      <c r="AL187" s="2" t="n">
        <v>7</v>
      </c>
      <c r="AM187" s="2" t="n">
        <v>3</v>
      </c>
      <c r="AN187" s="2" t="n">
        <v>42.86</v>
      </c>
      <c r="AO187" s="5" t="n">
        <v>75.59</v>
      </c>
      <c r="AP187" s="5" t="n">
        <v>78.01</v>
      </c>
      <c r="AQ187" s="5" t="n">
        <v>80.42</v>
      </c>
      <c r="AR187" s="5" t="n">
        <v>82.83</v>
      </c>
      <c r="AS187" s="5" t="n">
        <v>85.24</v>
      </c>
      <c r="AT187" s="5" t="n">
        <v>87.66</v>
      </c>
      <c r="AU187" s="5" t="n">
        <v>90.07</v>
      </c>
      <c r="AV187" s="5" t="s">
        <v>51</v>
      </c>
    </row>
    <row r="188" customFormat="false" ht="15" hidden="false" customHeight="false" outlineLevel="0" collapsed="false">
      <c r="A188" s="2" t="s">
        <v>87</v>
      </c>
      <c r="B188" s="2" t="n">
        <v>2002</v>
      </c>
      <c r="C188" s="2" t="s">
        <v>49</v>
      </c>
      <c r="D188" s="2" t="n">
        <v>0</v>
      </c>
      <c r="E188" s="2" t="n">
        <v>4</v>
      </c>
      <c r="F188" s="2" t="s">
        <v>50</v>
      </c>
      <c r="G188" s="3" t="n">
        <v>1</v>
      </c>
      <c r="H188" s="3" t="n">
        <v>0</v>
      </c>
      <c r="I188" s="3" t="n">
        <v>0</v>
      </c>
      <c r="J188" s="3" t="n">
        <v>1</v>
      </c>
      <c r="K188" s="3" t="n">
        <v>0</v>
      </c>
      <c r="L188" s="3" t="n">
        <v>1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1</v>
      </c>
      <c r="S188" s="3" t="n">
        <v>0</v>
      </c>
      <c r="T188" s="3" t="n">
        <v>1</v>
      </c>
      <c r="U188" s="3" t="n">
        <v>1</v>
      </c>
      <c r="V188" s="3" t="n">
        <v>1</v>
      </c>
      <c r="W188" s="3" t="n">
        <v>1</v>
      </c>
      <c r="X188" s="3" t="n">
        <v>1</v>
      </c>
      <c r="Y188" s="3" t="n">
        <v>1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1</v>
      </c>
      <c r="AE188" s="3" t="n">
        <v>1</v>
      </c>
      <c r="AF188" s="3" t="n">
        <v>1</v>
      </c>
      <c r="AG188" s="3" t="n">
        <v>1</v>
      </c>
      <c r="AH188" s="3" t="n">
        <v>1</v>
      </c>
      <c r="AI188" s="3" t="n">
        <v>0</v>
      </c>
      <c r="AJ188" s="4" t="n">
        <f aca="false">SUM(G188:AI188)</f>
        <v>15</v>
      </c>
      <c r="AK188" s="4" t="n">
        <f aca="false">ROUND(SUMPRODUCT(G188:AI188,Gene_Weights!$B$2:$AD$2),3)</f>
        <v>-12.01</v>
      </c>
      <c r="AL188" s="2" t="n">
        <v>5</v>
      </c>
      <c r="AM188" s="2" t="n">
        <v>1</v>
      </c>
      <c r="AN188" s="2" t="n">
        <v>20</v>
      </c>
      <c r="AO188" s="5" t="n">
        <v>55.12</v>
      </c>
      <c r="AP188" s="5" t="n">
        <v>56.02</v>
      </c>
      <c r="AQ188" s="5" t="n">
        <v>56.92</v>
      </c>
      <c r="AR188" s="5" t="n">
        <v>57.82</v>
      </c>
      <c r="AS188" s="5" t="n">
        <v>58.72</v>
      </c>
      <c r="AT188" s="5" t="n">
        <v>59.62</v>
      </c>
      <c r="AU188" s="5" t="n">
        <v>60.52</v>
      </c>
      <c r="AV188" s="5" t="s">
        <v>51</v>
      </c>
    </row>
    <row r="189" customFormat="false" ht="15" hidden="false" customHeight="false" outlineLevel="0" collapsed="false">
      <c r="A189" s="2" t="s">
        <v>87</v>
      </c>
      <c r="B189" s="2" t="n">
        <v>2002</v>
      </c>
      <c r="C189" s="2" t="s">
        <v>52</v>
      </c>
      <c r="D189" s="2" t="n">
        <v>1</v>
      </c>
      <c r="E189" s="2" t="n">
        <v>32</v>
      </c>
      <c r="F189" s="2" t="s">
        <v>50</v>
      </c>
      <c r="G189" s="3" t="n">
        <v>1</v>
      </c>
      <c r="H189" s="3" t="n">
        <v>0</v>
      </c>
      <c r="I189" s="3" t="n">
        <v>0</v>
      </c>
      <c r="J189" s="3" t="n">
        <v>1</v>
      </c>
      <c r="K189" s="3" t="n">
        <v>0</v>
      </c>
      <c r="L189" s="3" t="n">
        <v>1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1</v>
      </c>
      <c r="S189" s="3" t="n">
        <v>0</v>
      </c>
      <c r="T189" s="3" t="n">
        <v>1</v>
      </c>
      <c r="U189" s="3" t="n">
        <v>1</v>
      </c>
      <c r="V189" s="3" t="n">
        <v>1</v>
      </c>
      <c r="W189" s="3" t="n">
        <v>1</v>
      </c>
      <c r="X189" s="3" t="n">
        <v>1</v>
      </c>
      <c r="Y189" s="3" t="n">
        <v>1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1</v>
      </c>
      <c r="AE189" s="3" t="n">
        <v>1</v>
      </c>
      <c r="AF189" s="3" t="n">
        <v>1</v>
      </c>
      <c r="AG189" s="3" t="n">
        <v>1</v>
      </c>
      <c r="AH189" s="3" t="n">
        <v>1</v>
      </c>
      <c r="AI189" s="3" t="n">
        <v>0</v>
      </c>
      <c r="AJ189" s="4" t="n">
        <f aca="false">SUM(G189:AI189)</f>
        <v>15</v>
      </c>
      <c r="AK189" s="4" t="n">
        <f aca="false">ROUND(SUMPRODUCT(G189:AI189,Gene_Weights!$B$2:$AD$2),3)</f>
        <v>-12.01</v>
      </c>
      <c r="AL189" s="2" t="n">
        <v>5</v>
      </c>
      <c r="AM189" s="2" t="n">
        <v>3</v>
      </c>
      <c r="AN189" s="2" t="n">
        <v>60</v>
      </c>
      <c r="AO189" s="5" t="n">
        <v>64.53</v>
      </c>
      <c r="AP189" s="5" t="n">
        <v>66.13</v>
      </c>
      <c r="AQ189" s="5" t="n">
        <v>67.73</v>
      </c>
      <c r="AR189" s="5" t="n">
        <v>69.33</v>
      </c>
      <c r="AS189" s="5" t="n">
        <v>70.93</v>
      </c>
      <c r="AT189" s="5" t="n">
        <v>72.53</v>
      </c>
      <c r="AU189" s="5" t="n">
        <v>74.13</v>
      </c>
      <c r="AV189" s="5" t="s">
        <v>51</v>
      </c>
    </row>
    <row r="190" customFormat="false" ht="15" hidden="false" customHeight="false" outlineLevel="0" collapsed="false">
      <c r="A190" s="2" t="s">
        <v>87</v>
      </c>
      <c r="B190" s="2" t="n">
        <v>2002</v>
      </c>
      <c r="C190" s="2" t="s">
        <v>53</v>
      </c>
      <c r="D190" s="2" t="n">
        <v>0</v>
      </c>
      <c r="E190" s="2" t="n">
        <v>16</v>
      </c>
      <c r="F190" s="2" t="s">
        <v>50</v>
      </c>
      <c r="G190" s="3" t="n">
        <v>1</v>
      </c>
      <c r="H190" s="3" t="n">
        <v>0</v>
      </c>
      <c r="I190" s="3" t="n">
        <v>0</v>
      </c>
      <c r="J190" s="3" t="n">
        <v>1</v>
      </c>
      <c r="K190" s="3" t="n">
        <v>0</v>
      </c>
      <c r="L190" s="3" t="n">
        <v>1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</v>
      </c>
      <c r="S190" s="3" t="n">
        <v>0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1</v>
      </c>
      <c r="Y190" s="3" t="n">
        <v>1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1</v>
      </c>
      <c r="AE190" s="3" t="n">
        <v>1</v>
      </c>
      <c r="AF190" s="3" t="n">
        <v>1</v>
      </c>
      <c r="AG190" s="3" t="n">
        <v>1</v>
      </c>
      <c r="AH190" s="3" t="n">
        <v>1</v>
      </c>
      <c r="AI190" s="3" t="n">
        <v>0</v>
      </c>
      <c r="AJ190" s="4" t="n">
        <f aca="false">SUM(G190:AI190)</f>
        <v>15</v>
      </c>
      <c r="AK190" s="4" t="n">
        <f aca="false">ROUND(SUMPRODUCT(G190:AI190,Gene_Weights!$B$2:$AD$2),3)</f>
        <v>-12.01</v>
      </c>
      <c r="AL190" s="2" t="n">
        <v>5</v>
      </c>
      <c r="AM190" s="2" t="n">
        <v>0</v>
      </c>
      <c r="AN190" s="2" t="n">
        <v>0</v>
      </c>
      <c r="AO190" s="5" t="n">
        <v>52.86</v>
      </c>
      <c r="AP190" s="5" t="n">
        <v>53.65</v>
      </c>
      <c r="AQ190" s="5" t="n">
        <v>54.45</v>
      </c>
      <c r="AR190" s="5" t="n">
        <v>55.24</v>
      </c>
      <c r="AS190" s="5" t="n">
        <v>56.03</v>
      </c>
      <c r="AT190" s="5" t="n">
        <v>56.83</v>
      </c>
      <c r="AU190" s="5" t="n">
        <v>57.62</v>
      </c>
      <c r="AV190" s="5" t="s">
        <v>51</v>
      </c>
    </row>
    <row r="191" customFormat="false" ht="15" hidden="false" customHeight="false" outlineLevel="0" collapsed="false">
      <c r="A191" s="2" t="s">
        <v>87</v>
      </c>
      <c r="B191" s="2" t="n">
        <v>2002</v>
      </c>
      <c r="C191" s="2" t="s">
        <v>54</v>
      </c>
      <c r="D191" s="2" t="n">
        <v>0</v>
      </c>
      <c r="E191" s="2" t="n">
        <v>32</v>
      </c>
      <c r="F191" s="2" t="s">
        <v>50</v>
      </c>
      <c r="G191" s="3" t="n">
        <v>1</v>
      </c>
      <c r="H191" s="3" t="n">
        <v>0</v>
      </c>
      <c r="I191" s="3" t="n">
        <v>0</v>
      </c>
      <c r="J191" s="3" t="n">
        <v>1</v>
      </c>
      <c r="K191" s="3" t="n">
        <v>0</v>
      </c>
      <c r="L191" s="3" t="n">
        <v>1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1</v>
      </c>
      <c r="S191" s="3" t="n">
        <v>0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1</v>
      </c>
      <c r="Y191" s="3" t="n">
        <v>1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1</v>
      </c>
      <c r="AE191" s="3" t="n">
        <v>1</v>
      </c>
      <c r="AF191" s="3" t="n">
        <v>1</v>
      </c>
      <c r="AG191" s="3" t="n">
        <v>1</v>
      </c>
      <c r="AH191" s="3" t="n">
        <v>1</v>
      </c>
      <c r="AI191" s="3" t="n">
        <v>0</v>
      </c>
      <c r="AJ191" s="4" t="n">
        <f aca="false">SUM(G191:AI191)</f>
        <v>15</v>
      </c>
      <c r="AK191" s="4" t="n">
        <f aca="false">ROUND(SUMPRODUCT(G191:AI191,Gene_Weights!$B$2:$AD$2),3)</f>
        <v>-12.01</v>
      </c>
      <c r="AL191" s="2" t="n">
        <v>5</v>
      </c>
      <c r="AM191" s="2" t="n">
        <v>2</v>
      </c>
      <c r="AN191" s="2" t="n">
        <v>40</v>
      </c>
      <c r="AO191" s="5" t="n">
        <v>81.84</v>
      </c>
      <c r="AP191" s="5" t="n">
        <v>84.45</v>
      </c>
      <c r="AQ191" s="5" t="n">
        <v>87.06</v>
      </c>
      <c r="AR191" s="5" t="n">
        <v>89.67</v>
      </c>
      <c r="AS191" s="5" t="n">
        <v>92.27</v>
      </c>
      <c r="AT191" s="5" t="n">
        <v>94.88</v>
      </c>
      <c r="AU191" s="5" t="n">
        <v>97.49</v>
      </c>
      <c r="AV191" s="5" t="s">
        <v>51</v>
      </c>
    </row>
    <row r="192" customFormat="false" ht="15" hidden="false" customHeight="false" outlineLevel="0" collapsed="false">
      <c r="A192" s="2" t="s">
        <v>87</v>
      </c>
      <c r="B192" s="2" t="n">
        <v>2002</v>
      </c>
      <c r="C192" s="2" t="s">
        <v>55</v>
      </c>
      <c r="D192" s="2" t="n">
        <v>1</v>
      </c>
      <c r="E192" s="2" t="n">
        <v>4</v>
      </c>
      <c r="F192" s="2" t="s">
        <v>50</v>
      </c>
      <c r="G192" s="3" t="n">
        <v>1</v>
      </c>
      <c r="H192" s="3" t="n">
        <v>0</v>
      </c>
      <c r="I192" s="3" t="n">
        <v>0</v>
      </c>
      <c r="J192" s="3" t="n">
        <v>1</v>
      </c>
      <c r="K192" s="3" t="n">
        <v>0</v>
      </c>
      <c r="L192" s="3" t="n">
        <v>1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1</v>
      </c>
      <c r="S192" s="3" t="n">
        <v>0</v>
      </c>
      <c r="T192" s="3" t="n">
        <v>1</v>
      </c>
      <c r="U192" s="3" t="n">
        <v>1</v>
      </c>
      <c r="V192" s="3" t="n">
        <v>1</v>
      </c>
      <c r="W192" s="3" t="n">
        <v>1</v>
      </c>
      <c r="X192" s="3" t="n">
        <v>1</v>
      </c>
      <c r="Y192" s="3" t="n">
        <v>1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1</v>
      </c>
      <c r="AE192" s="3" t="n">
        <v>1</v>
      </c>
      <c r="AF192" s="3" t="n">
        <v>1</v>
      </c>
      <c r="AG192" s="3" t="n">
        <v>1</v>
      </c>
      <c r="AH192" s="3" t="n">
        <v>1</v>
      </c>
      <c r="AI192" s="3" t="n">
        <v>0</v>
      </c>
      <c r="AJ192" s="4" t="n">
        <f aca="false">SUM(G192:AI192)</f>
        <v>15</v>
      </c>
      <c r="AK192" s="4" t="n">
        <f aca="false">ROUND(SUMPRODUCT(G192:AI192,Gene_Weights!$B$2:$AD$2),3)</f>
        <v>-12.01</v>
      </c>
      <c r="AL192" s="2" t="n">
        <v>5</v>
      </c>
      <c r="AM192" s="2" t="n">
        <v>2</v>
      </c>
      <c r="AN192" s="2" t="n">
        <v>40</v>
      </c>
      <c r="AO192" s="5" t="n">
        <v>58.19</v>
      </c>
      <c r="AP192" s="5" t="n">
        <v>59.74</v>
      </c>
      <c r="AQ192" s="5" t="n">
        <v>61.3</v>
      </c>
      <c r="AR192" s="5" t="n">
        <v>62.86</v>
      </c>
      <c r="AS192" s="5" t="n">
        <v>64.42</v>
      </c>
      <c r="AT192" s="5" t="n">
        <v>65.98</v>
      </c>
      <c r="AU192" s="5" t="n">
        <v>67.53</v>
      </c>
      <c r="AV192" s="5" t="s">
        <v>51</v>
      </c>
    </row>
    <row r="193" customFormat="false" ht="15" hidden="false" customHeight="false" outlineLevel="0" collapsed="false">
      <c r="A193" s="2" t="s">
        <v>87</v>
      </c>
      <c r="B193" s="2" t="n">
        <v>2002</v>
      </c>
      <c r="C193" s="2" t="s">
        <v>56</v>
      </c>
      <c r="D193" s="2" t="n">
        <v>0</v>
      </c>
      <c r="E193" s="2" t="n">
        <v>4</v>
      </c>
      <c r="F193" s="2" t="s">
        <v>50</v>
      </c>
      <c r="G193" s="3" t="n">
        <v>1</v>
      </c>
      <c r="H193" s="3" t="n">
        <v>0</v>
      </c>
      <c r="I193" s="3" t="n">
        <v>0</v>
      </c>
      <c r="J193" s="3" t="n">
        <v>1</v>
      </c>
      <c r="K193" s="3" t="n">
        <v>0</v>
      </c>
      <c r="L193" s="3" t="n">
        <v>1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1</v>
      </c>
      <c r="S193" s="3" t="n">
        <v>0</v>
      </c>
      <c r="T193" s="3" t="n">
        <v>1</v>
      </c>
      <c r="U193" s="3" t="n">
        <v>1</v>
      </c>
      <c r="V193" s="3" t="n">
        <v>1</v>
      </c>
      <c r="W193" s="3" t="n">
        <v>1</v>
      </c>
      <c r="X193" s="3" t="n">
        <v>1</v>
      </c>
      <c r="Y193" s="3" t="n">
        <v>1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1</v>
      </c>
      <c r="AE193" s="3" t="n">
        <v>1</v>
      </c>
      <c r="AF193" s="3" t="n">
        <v>1</v>
      </c>
      <c r="AG193" s="3" t="n">
        <v>1</v>
      </c>
      <c r="AH193" s="3" t="n">
        <v>1</v>
      </c>
      <c r="AI193" s="3" t="n">
        <v>0</v>
      </c>
      <c r="AJ193" s="4" t="n">
        <f aca="false">SUM(G193:AI193)</f>
        <v>15</v>
      </c>
      <c r="AK193" s="4" t="n">
        <f aca="false">ROUND(SUMPRODUCT(G193:AI193,Gene_Weights!$B$2:$AD$2),3)</f>
        <v>-12.01</v>
      </c>
      <c r="AL193" s="2" t="n">
        <v>5</v>
      </c>
      <c r="AM193" s="2" t="n">
        <v>2</v>
      </c>
      <c r="AN193" s="2" t="n">
        <v>40</v>
      </c>
      <c r="AO193" s="5" t="n">
        <v>75.59</v>
      </c>
      <c r="AP193" s="5" t="n">
        <v>78.01</v>
      </c>
      <c r="AQ193" s="5" t="n">
        <v>80.42</v>
      </c>
      <c r="AR193" s="5" t="n">
        <v>82.83</v>
      </c>
      <c r="AS193" s="5" t="n">
        <v>85.24</v>
      </c>
      <c r="AT193" s="5" t="n">
        <v>87.66</v>
      </c>
      <c r="AU193" s="5" t="n">
        <v>90.07</v>
      </c>
      <c r="AV193" s="5" t="s">
        <v>51</v>
      </c>
    </row>
    <row r="194" customFormat="false" ht="15" hidden="false" customHeight="false" outlineLevel="0" collapsed="false">
      <c r="A194" s="2" t="s">
        <v>88</v>
      </c>
      <c r="B194" s="2" t="n">
        <v>2016</v>
      </c>
      <c r="C194" s="2" t="s">
        <v>49</v>
      </c>
      <c r="D194" s="2" t="n">
        <v>0</v>
      </c>
      <c r="E194" s="2" t="n">
        <v>16</v>
      </c>
      <c r="F194" s="2" t="s">
        <v>50</v>
      </c>
      <c r="G194" s="3" t="n">
        <v>1</v>
      </c>
      <c r="H194" s="3" t="n">
        <v>0</v>
      </c>
      <c r="I194" s="3" t="n">
        <v>0</v>
      </c>
      <c r="J194" s="3" t="n">
        <v>1</v>
      </c>
      <c r="K194" s="3" t="n">
        <v>0</v>
      </c>
      <c r="L194" s="3" t="n">
        <v>1</v>
      </c>
      <c r="M194" s="3" t="n">
        <v>1</v>
      </c>
      <c r="N194" s="3" t="n">
        <v>0</v>
      </c>
      <c r="O194" s="3" t="n">
        <v>1</v>
      </c>
      <c r="P194" s="3" t="n">
        <v>0</v>
      </c>
      <c r="Q194" s="3" t="n">
        <v>0</v>
      </c>
      <c r="R194" s="3" t="n">
        <v>1</v>
      </c>
      <c r="S194" s="3" t="n">
        <v>0</v>
      </c>
      <c r="T194" s="3" t="n">
        <v>0</v>
      </c>
      <c r="U194" s="3" t="n">
        <v>1</v>
      </c>
      <c r="V194" s="3" t="n">
        <v>0</v>
      </c>
      <c r="W194" s="3" t="n">
        <v>1</v>
      </c>
      <c r="X194" s="3" t="n">
        <v>0</v>
      </c>
      <c r="Y194" s="3" t="n">
        <v>0</v>
      </c>
      <c r="Z194" s="3" t="n">
        <v>0</v>
      </c>
      <c r="AA194" s="3" t="n">
        <v>1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1</v>
      </c>
      <c r="AG194" s="3" t="n">
        <v>0</v>
      </c>
      <c r="AH194" s="3" t="n">
        <v>0</v>
      </c>
      <c r="AI194" s="3" t="n">
        <v>0</v>
      </c>
      <c r="AJ194" s="4" t="n">
        <f aca="false">SUM(G194:AI194)</f>
        <v>10</v>
      </c>
      <c r="AK194" s="4" t="n">
        <f aca="false">ROUND(SUMPRODUCT(G194:AI194,Gene_Weights!$B$2:$AD$2),3)</f>
        <v>-9.08</v>
      </c>
      <c r="AL194" s="2" t="n">
        <v>4</v>
      </c>
      <c r="AM194" s="2" t="n">
        <v>1</v>
      </c>
      <c r="AN194" s="2" t="n">
        <v>25</v>
      </c>
      <c r="AO194" s="5" t="n">
        <v>55.12</v>
      </c>
      <c r="AP194" s="5" t="n">
        <v>56.02</v>
      </c>
      <c r="AQ194" s="5" t="n">
        <v>56.92</v>
      </c>
      <c r="AR194" s="5" t="n">
        <v>57.82</v>
      </c>
      <c r="AS194" s="5" t="n">
        <v>58.72</v>
      </c>
      <c r="AT194" s="5" t="n">
        <v>59.62</v>
      </c>
      <c r="AU194" s="5" t="n">
        <v>60.52</v>
      </c>
      <c r="AV194" s="5" t="s">
        <v>51</v>
      </c>
    </row>
    <row r="195" customFormat="false" ht="15" hidden="false" customHeight="false" outlineLevel="0" collapsed="false">
      <c r="A195" s="2" t="s">
        <v>88</v>
      </c>
      <c r="B195" s="2" t="n">
        <v>2016</v>
      </c>
      <c r="C195" s="2" t="s">
        <v>52</v>
      </c>
      <c r="D195" s="2" t="n">
        <v>1</v>
      </c>
      <c r="E195" s="2" t="n">
        <v>4</v>
      </c>
      <c r="F195" s="2" t="s">
        <v>50</v>
      </c>
      <c r="G195" s="3" t="n">
        <v>1</v>
      </c>
      <c r="H195" s="3" t="n">
        <v>0</v>
      </c>
      <c r="I195" s="3" t="n">
        <v>0</v>
      </c>
      <c r="J195" s="3" t="n">
        <v>1</v>
      </c>
      <c r="K195" s="3" t="n">
        <v>0</v>
      </c>
      <c r="L195" s="3" t="n">
        <v>1</v>
      </c>
      <c r="M195" s="3" t="n">
        <v>1</v>
      </c>
      <c r="N195" s="3" t="n">
        <v>0</v>
      </c>
      <c r="O195" s="3" t="n">
        <v>1</v>
      </c>
      <c r="P195" s="3" t="n">
        <v>0</v>
      </c>
      <c r="Q195" s="3" t="n">
        <v>0</v>
      </c>
      <c r="R195" s="3" t="n">
        <v>1</v>
      </c>
      <c r="S195" s="3" t="n">
        <v>0</v>
      </c>
      <c r="T195" s="3" t="n">
        <v>0</v>
      </c>
      <c r="U195" s="3" t="n">
        <v>1</v>
      </c>
      <c r="V195" s="3" t="n">
        <v>0</v>
      </c>
      <c r="W195" s="3" t="n">
        <v>1</v>
      </c>
      <c r="X195" s="3" t="n">
        <v>0</v>
      </c>
      <c r="Y195" s="3" t="n">
        <v>0</v>
      </c>
      <c r="Z195" s="3" t="n">
        <v>0</v>
      </c>
      <c r="AA195" s="3" t="n">
        <v>1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1</v>
      </c>
      <c r="AG195" s="3" t="n">
        <v>0</v>
      </c>
      <c r="AH195" s="3" t="n">
        <v>0</v>
      </c>
      <c r="AI195" s="3" t="n">
        <v>0</v>
      </c>
      <c r="AJ195" s="4" t="n">
        <f aca="false">SUM(G195:AI195)</f>
        <v>10</v>
      </c>
      <c r="AK195" s="4" t="n">
        <f aca="false">ROUND(SUMPRODUCT(G195:AI195,Gene_Weights!$B$2:$AD$2),3)</f>
        <v>-9.08</v>
      </c>
      <c r="AL195" s="2" t="n">
        <v>4</v>
      </c>
      <c r="AM195" s="2" t="n">
        <v>3</v>
      </c>
      <c r="AN195" s="2" t="n">
        <v>75</v>
      </c>
      <c r="AO195" s="5" t="n">
        <v>64.53</v>
      </c>
      <c r="AP195" s="5" t="n">
        <v>66.13</v>
      </c>
      <c r="AQ195" s="5" t="n">
        <v>67.73</v>
      </c>
      <c r="AR195" s="5" t="n">
        <v>69.33</v>
      </c>
      <c r="AS195" s="5" t="n">
        <v>70.93</v>
      </c>
      <c r="AT195" s="5" t="n">
        <v>72.53</v>
      </c>
      <c r="AU195" s="5" t="n">
        <v>74.13</v>
      </c>
      <c r="AV195" s="5" t="s">
        <v>51</v>
      </c>
    </row>
    <row r="196" customFormat="false" ht="15" hidden="false" customHeight="false" outlineLevel="0" collapsed="false">
      <c r="A196" s="2" t="s">
        <v>88</v>
      </c>
      <c r="B196" s="2" t="n">
        <v>2016</v>
      </c>
      <c r="C196" s="2" t="s">
        <v>53</v>
      </c>
      <c r="D196" s="2" t="n">
        <v>1</v>
      </c>
      <c r="E196" s="2" t="n">
        <v>2</v>
      </c>
      <c r="F196" s="2" t="s">
        <v>50</v>
      </c>
      <c r="G196" s="3" t="n">
        <v>1</v>
      </c>
      <c r="H196" s="3" t="n">
        <v>0</v>
      </c>
      <c r="I196" s="3" t="n">
        <v>0</v>
      </c>
      <c r="J196" s="3" t="n">
        <v>1</v>
      </c>
      <c r="K196" s="3" t="n">
        <v>0</v>
      </c>
      <c r="L196" s="3" t="n">
        <v>1</v>
      </c>
      <c r="M196" s="3" t="n">
        <v>1</v>
      </c>
      <c r="N196" s="3" t="n">
        <v>0</v>
      </c>
      <c r="O196" s="3" t="n">
        <v>1</v>
      </c>
      <c r="P196" s="3" t="n">
        <v>0</v>
      </c>
      <c r="Q196" s="3" t="n">
        <v>0</v>
      </c>
      <c r="R196" s="3" t="n">
        <v>1</v>
      </c>
      <c r="S196" s="3" t="n">
        <v>0</v>
      </c>
      <c r="T196" s="3" t="n">
        <v>0</v>
      </c>
      <c r="U196" s="3" t="n">
        <v>1</v>
      </c>
      <c r="V196" s="3" t="n">
        <v>0</v>
      </c>
      <c r="W196" s="3" t="n">
        <v>1</v>
      </c>
      <c r="X196" s="3" t="n">
        <v>0</v>
      </c>
      <c r="Y196" s="3" t="n">
        <v>0</v>
      </c>
      <c r="Z196" s="3" t="n">
        <v>0</v>
      </c>
      <c r="AA196" s="3" t="n">
        <v>1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1</v>
      </c>
      <c r="AG196" s="3" t="n">
        <v>0</v>
      </c>
      <c r="AH196" s="3" t="n">
        <v>0</v>
      </c>
      <c r="AI196" s="3" t="n">
        <v>0</v>
      </c>
      <c r="AJ196" s="4" t="n">
        <f aca="false">SUM(G196:AI196)</f>
        <v>10</v>
      </c>
      <c r="AK196" s="4" t="n">
        <f aca="false">ROUND(SUMPRODUCT(G196:AI196,Gene_Weights!$B$2:$AD$2),3)</f>
        <v>-9.08</v>
      </c>
      <c r="AL196" s="2" t="n">
        <v>4</v>
      </c>
      <c r="AM196" s="2" t="n">
        <v>3</v>
      </c>
      <c r="AN196" s="2" t="n">
        <v>75</v>
      </c>
      <c r="AO196" s="5" t="n">
        <v>52.86</v>
      </c>
      <c r="AP196" s="5" t="n">
        <v>53.65</v>
      </c>
      <c r="AQ196" s="5" t="n">
        <v>54.45</v>
      </c>
      <c r="AR196" s="5" t="n">
        <v>55.24</v>
      </c>
      <c r="AS196" s="5" t="n">
        <v>56.03</v>
      </c>
      <c r="AT196" s="5" t="n">
        <v>56.83</v>
      </c>
      <c r="AU196" s="5" t="n">
        <v>57.62</v>
      </c>
      <c r="AV196" s="5" t="s">
        <v>51</v>
      </c>
    </row>
    <row r="197" customFormat="false" ht="15" hidden="false" customHeight="false" outlineLevel="0" collapsed="false">
      <c r="A197" s="2" t="s">
        <v>88</v>
      </c>
      <c r="B197" s="2" t="n">
        <v>2016</v>
      </c>
      <c r="C197" s="2" t="s">
        <v>54</v>
      </c>
      <c r="D197" s="2" t="n">
        <v>1</v>
      </c>
      <c r="E197" s="2" t="n">
        <v>4</v>
      </c>
      <c r="F197" s="2" t="s">
        <v>50</v>
      </c>
      <c r="G197" s="3" t="n">
        <v>1</v>
      </c>
      <c r="H197" s="3" t="n">
        <v>0</v>
      </c>
      <c r="I197" s="3" t="n">
        <v>0</v>
      </c>
      <c r="J197" s="3" t="n">
        <v>1</v>
      </c>
      <c r="K197" s="3" t="n">
        <v>0</v>
      </c>
      <c r="L197" s="3" t="n">
        <v>1</v>
      </c>
      <c r="M197" s="3" t="n">
        <v>1</v>
      </c>
      <c r="N197" s="3" t="n">
        <v>0</v>
      </c>
      <c r="O197" s="3" t="n">
        <v>1</v>
      </c>
      <c r="P197" s="3" t="n">
        <v>0</v>
      </c>
      <c r="Q197" s="3" t="n">
        <v>0</v>
      </c>
      <c r="R197" s="3" t="n">
        <v>1</v>
      </c>
      <c r="S197" s="3" t="n">
        <v>0</v>
      </c>
      <c r="T197" s="3" t="n">
        <v>0</v>
      </c>
      <c r="U197" s="3" t="n">
        <v>1</v>
      </c>
      <c r="V197" s="3" t="n">
        <v>0</v>
      </c>
      <c r="W197" s="3" t="n">
        <v>1</v>
      </c>
      <c r="X197" s="3" t="n">
        <v>0</v>
      </c>
      <c r="Y197" s="3" t="n">
        <v>0</v>
      </c>
      <c r="Z197" s="3" t="n">
        <v>0</v>
      </c>
      <c r="AA197" s="3" t="n">
        <v>1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1</v>
      </c>
      <c r="AG197" s="3" t="n">
        <v>0</v>
      </c>
      <c r="AH197" s="3" t="n">
        <v>0</v>
      </c>
      <c r="AI197" s="3" t="n">
        <v>0</v>
      </c>
      <c r="AJ197" s="4" t="n">
        <f aca="false">SUM(G197:AI197)</f>
        <v>10</v>
      </c>
      <c r="AK197" s="4" t="n">
        <f aca="false">ROUND(SUMPRODUCT(G197:AI197,Gene_Weights!$B$2:$AD$2),3)</f>
        <v>-9.08</v>
      </c>
      <c r="AL197" s="2" t="n">
        <v>4</v>
      </c>
      <c r="AM197" s="2" t="n">
        <v>2</v>
      </c>
      <c r="AN197" s="2" t="n">
        <v>50</v>
      </c>
      <c r="AO197" s="5" t="n">
        <v>81.84</v>
      </c>
      <c r="AP197" s="5" t="n">
        <v>84.45</v>
      </c>
      <c r="AQ197" s="5" t="n">
        <v>87.06</v>
      </c>
      <c r="AR197" s="5" t="n">
        <v>89.67</v>
      </c>
      <c r="AS197" s="5" t="n">
        <v>92.27</v>
      </c>
      <c r="AT197" s="5" t="n">
        <v>94.88</v>
      </c>
      <c r="AU197" s="5" t="n">
        <v>97.49</v>
      </c>
      <c r="AV197" s="5" t="s">
        <v>51</v>
      </c>
    </row>
    <row r="198" customFormat="false" ht="15" hidden="false" customHeight="false" outlineLevel="0" collapsed="false">
      <c r="A198" s="2" t="s">
        <v>88</v>
      </c>
      <c r="B198" s="2" t="n">
        <v>2016</v>
      </c>
      <c r="C198" s="2" t="s">
        <v>55</v>
      </c>
      <c r="D198" s="2" t="n">
        <v>0</v>
      </c>
      <c r="E198" s="2" t="n">
        <v>2</v>
      </c>
      <c r="F198" s="2" t="s">
        <v>50</v>
      </c>
      <c r="G198" s="3" t="n">
        <v>1</v>
      </c>
      <c r="H198" s="3" t="n">
        <v>0</v>
      </c>
      <c r="I198" s="3" t="n">
        <v>0</v>
      </c>
      <c r="J198" s="3" t="n">
        <v>1</v>
      </c>
      <c r="K198" s="3" t="n">
        <v>0</v>
      </c>
      <c r="L198" s="3" t="n">
        <v>1</v>
      </c>
      <c r="M198" s="3" t="n">
        <v>1</v>
      </c>
      <c r="N198" s="3" t="n">
        <v>0</v>
      </c>
      <c r="O198" s="3" t="n">
        <v>1</v>
      </c>
      <c r="P198" s="3" t="n">
        <v>0</v>
      </c>
      <c r="Q198" s="3" t="n">
        <v>0</v>
      </c>
      <c r="R198" s="3" t="n">
        <v>1</v>
      </c>
      <c r="S198" s="3" t="n">
        <v>0</v>
      </c>
      <c r="T198" s="3" t="n">
        <v>0</v>
      </c>
      <c r="U198" s="3" t="n">
        <v>1</v>
      </c>
      <c r="V198" s="3" t="n">
        <v>0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1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1</v>
      </c>
      <c r="AG198" s="3" t="n">
        <v>0</v>
      </c>
      <c r="AH198" s="3" t="n">
        <v>0</v>
      </c>
      <c r="AI198" s="3" t="n">
        <v>0</v>
      </c>
      <c r="AJ198" s="4" t="n">
        <f aca="false">SUM(G198:AI198)</f>
        <v>10</v>
      </c>
      <c r="AK198" s="4" t="n">
        <f aca="false">ROUND(SUMPRODUCT(G198:AI198,Gene_Weights!$B$2:$AD$2),3)</f>
        <v>-9.08</v>
      </c>
      <c r="AL198" s="2" t="n">
        <v>4</v>
      </c>
      <c r="AM198" s="2" t="n">
        <v>2</v>
      </c>
      <c r="AN198" s="2" t="n">
        <v>50</v>
      </c>
      <c r="AO198" s="5" t="n">
        <v>58.19</v>
      </c>
      <c r="AP198" s="5" t="n">
        <v>59.74</v>
      </c>
      <c r="AQ198" s="5" t="n">
        <v>61.3</v>
      </c>
      <c r="AR198" s="5" t="n">
        <v>62.86</v>
      </c>
      <c r="AS198" s="5" t="n">
        <v>64.42</v>
      </c>
      <c r="AT198" s="5" t="n">
        <v>65.98</v>
      </c>
      <c r="AU198" s="5" t="n">
        <v>67.53</v>
      </c>
      <c r="AV198" s="5" t="s">
        <v>51</v>
      </c>
    </row>
    <row r="199" customFormat="false" ht="15" hidden="false" customHeight="false" outlineLevel="0" collapsed="false">
      <c r="A199" s="2" t="s">
        <v>88</v>
      </c>
      <c r="B199" s="2" t="n">
        <v>2016</v>
      </c>
      <c r="C199" s="2" t="s">
        <v>56</v>
      </c>
      <c r="D199" s="2" t="n">
        <v>0</v>
      </c>
      <c r="E199" s="2" t="n">
        <v>2</v>
      </c>
      <c r="F199" s="2" t="s">
        <v>50</v>
      </c>
      <c r="G199" s="3" t="n">
        <v>1</v>
      </c>
      <c r="H199" s="3" t="n">
        <v>0</v>
      </c>
      <c r="I199" s="3" t="n">
        <v>0</v>
      </c>
      <c r="J199" s="3" t="n">
        <v>1</v>
      </c>
      <c r="K199" s="3" t="n">
        <v>0</v>
      </c>
      <c r="L199" s="3" t="n">
        <v>1</v>
      </c>
      <c r="M199" s="3" t="n">
        <v>1</v>
      </c>
      <c r="N199" s="3" t="n">
        <v>0</v>
      </c>
      <c r="O199" s="3" t="n">
        <v>1</v>
      </c>
      <c r="P199" s="3" t="n">
        <v>0</v>
      </c>
      <c r="Q199" s="3" t="n">
        <v>0</v>
      </c>
      <c r="R199" s="3" t="n">
        <v>1</v>
      </c>
      <c r="S199" s="3" t="n">
        <v>0</v>
      </c>
      <c r="T199" s="3" t="n">
        <v>0</v>
      </c>
      <c r="U199" s="3" t="n">
        <v>1</v>
      </c>
      <c r="V199" s="3" t="n">
        <v>0</v>
      </c>
      <c r="W199" s="3" t="n">
        <v>1</v>
      </c>
      <c r="X199" s="3" t="n">
        <v>0</v>
      </c>
      <c r="Y199" s="3" t="n">
        <v>0</v>
      </c>
      <c r="Z199" s="3" t="n">
        <v>0</v>
      </c>
      <c r="AA199" s="3" t="n">
        <v>1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1</v>
      </c>
      <c r="AG199" s="3" t="n">
        <v>0</v>
      </c>
      <c r="AH199" s="3" t="n">
        <v>0</v>
      </c>
      <c r="AI199" s="3" t="n">
        <v>0</v>
      </c>
      <c r="AJ199" s="4" t="n">
        <f aca="false">SUM(G199:AI199)</f>
        <v>10</v>
      </c>
      <c r="AK199" s="4" t="n">
        <f aca="false">ROUND(SUMPRODUCT(G199:AI199,Gene_Weights!$B$2:$AD$2),3)</f>
        <v>-9.08</v>
      </c>
      <c r="AL199" s="2" t="n">
        <v>4</v>
      </c>
      <c r="AM199" s="2" t="n">
        <v>2</v>
      </c>
      <c r="AN199" s="2" t="n">
        <v>50</v>
      </c>
      <c r="AO199" s="5" t="n">
        <v>75.59</v>
      </c>
      <c r="AP199" s="5" t="n">
        <v>78.01</v>
      </c>
      <c r="AQ199" s="5" t="n">
        <v>80.42</v>
      </c>
      <c r="AR199" s="5" t="n">
        <v>82.83</v>
      </c>
      <c r="AS199" s="5" t="n">
        <v>85.24</v>
      </c>
      <c r="AT199" s="5" t="n">
        <v>87.66</v>
      </c>
      <c r="AU199" s="5" t="n">
        <v>90.07</v>
      </c>
      <c r="AV199" s="5" t="s">
        <v>51</v>
      </c>
    </row>
    <row r="200" customFormat="false" ht="15" hidden="false" customHeight="false" outlineLevel="0" collapsed="false">
      <c r="A200" s="2" t="s">
        <v>89</v>
      </c>
      <c r="B200" s="2" t="n">
        <v>2023</v>
      </c>
      <c r="C200" s="2" t="s">
        <v>49</v>
      </c>
      <c r="D200" s="2" t="n">
        <v>0</v>
      </c>
      <c r="E200" s="2" t="n">
        <v>16</v>
      </c>
      <c r="F200" s="2" t="s">
        <v>50</v>
      </c>
      <c r="G200" s="3" t="n">
        <v>1</v>
      </c>
      <c r="H200" s="3" t="n">
        <v>0</v>
      </c>
      <c r="I200" s="3" t="n">
        <v>0</v>
      </c>
      <c r="J200" s="3" t="n">
        <v>1</v>
      </c>
      <c r="K200" s="3" t="n">
        <v>1</v>
      </c>
      <c r="L200" s="3" t="n">
        <v>1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1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1</v>
      </c>
      <c r="AA200" s="3" t="n">
        <v>0</v>
      </c>
      <c r="AB200" s="3" t="n">
        <v>1</v>
      </c>
      <c r="AC200" s="3" t="n">
        <v>0</v>
      </c>
      <c r="AD200" s="3" t="n">
        <v>0</v>
      </c>
      <c r="AE200" s="3" t="n">
        <v>1</v>
      </c>
      <c r="AF200" s="3" t="n">
        <v>0</v>
      </c>
      <c r="AG200" s="3" t="n">
        <v>1</v>
      </c>
      <c r="AH200" s="3" t="n">
        <v>0</v>
      </c>
      <c r="AI200" s="3" t="n">
        <v>1</v>
      </c>
      <c r="AJ200" s="4" t="n">
        <f aca="false">SUM(G200:AI200)</f>
        <v>10</v>
      </c>
      <c r="AK200" s="4" t="n">
        <f aca="false">ROUND(SUMPRODUCT(G200:AI200,Gene_Weights!$B$2:$AD$2),3)</f>
        <v>-8.67</v>
      </c>
      <c r="AL200" s="2" t="n">
        <v>9</v>
      </c>
      <c r="AM200" s="2" t="n">
        <v>5</v>
      </c>
      <c r="AN200" s="2" t="n">
        <v>55.56</v>
      </c>
      <c r="AO200" s="5" t="n">
        <v>55.12</v>
      </c>
      <c r="AP200" s="5" t="n">
        <v>56.02</v>
      </c>
      <c r="AQ200" s="5" t="n">
        <v>56.92</v>
      </c>
      <c r="AR200" s="5" t="n">
        <v>57.82</v>
      </c>
      <c r="AS200" s="5" t="n">
        <v>58.72</v>
      </c>
      <c r="AT200" s="5" t="n">
        <v>59.62</v>
      </c>
      <c r="AU200" s="5" t="n">
        <v>60.52</v>
      </c>
      <c r="AV200" s="5" t="s">
        <v>51</v>
      </c>
    </row>
    <row r="201" customFormat="false" ht="15" hidden="false" customHeight="false" outlineLevel="0" collapsed="false">
      <c r="A201" s="2" t="s">
        <v>89</v>
      </c>
      <c r="B201" s="2" t="n">
        <v>2023</v>
      </c>
      <c r="C201" s="2" t="s">
        <v>52</v>
      </c>
      <c r="D201" s="2" t="n">
        <v>1</v>
      </c>
      <c r="E201" s="2" t="n">
        <v>4</v>
      </c>
      <c r="F201" s="2" t="s">
        <v>50</v>
      </c>
      <c r="G201" s="3" t="n">
        <v>1</v>
      </c>
      <c r="H201" s="3" t="n">
        <v>0</v>
      </c>
      <c r="I201" s="3" t="n">
        <v>0</v>
      </c>
      <c r="J201" s="3" t="n">
        <v>1</v>
      </c>
      <c r="K201" s="3" t="n">
        <v>1</v>
      </c>
      <c r="L201" s="3" t="n">
        <v>1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1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1</v>
      </c>
      <c r="AA201" s="3" t="n">
        <v>0</v>
      </c>
      <c r="AB201" s="3" t="n">
        <v>1</v>
      </c>
      <c r="AC201" s="3" t="n">
        <v>0</v>
      </c>
      <c r="AD201" s="3" t="n">
        <v>0</v>
      </c>
      <c r="AE201" s="3" t="n">
        <v>1</v>
      </c>
      <c r="AF201" s="3" t="n">
        <v>0</v>
      </c>
      <c r="AG201" s="3" t="n">
        <v>1</v>
      </c>
      <c r="AH201" s="3" t="n">
        <v>0</v>
      </c>
      <c r="AI201" s="3" t="n">
        <v>1</v>
      </c>
      <c r="AJ201" s="4" t="n">
        <f aca="false">SUM(G201:AI201)</f>
        <v>10</v>
      </c>
      <c r="AK201" s="4" t="n">
        <f aca="false">ROUND(SUMPRODUCT(G201:AI201,Gene_Weights!$B$2:$AD$2),3)</f>
        <v>-8.67</v>
      </c>
      <c r="AL201" s="2" t="n">
        <v>9</v>
      </c>
      <c r="AM201" s="2" t="n">
        <v>7</v>
      </c>
      <c r="AN201" s="2" t="n">
        <v>77.78</v>
      </c>
      <c r="AO201" s="5" t="n">
        <v>64.53</v>
      </c>
      <c r="AP201" s="5" t="n">
        <v>66.13</v>
      </c>
      <c r="AQ201" s="5" t="n">
        <v>67.73</v>
      </c>
      <c r="AR201" s="5" t="n">
        <v>69.33</v>
      </c>
      <c r="AS201" s="5" t="n">
        <v>70.93</v>
      </c>
      <c r="AT201" s="5" t="n">
        <v>72.53</v>
      </c>
      <c r="AU201" s="5" t="n">
        <v>74.13</v>
      </c>
      <c r="AV201" s="5" t="s">
        <v>51</v>
      </c>
    </row>
    <row r="202" customFormat="false" ht="15" hidden="false" customHeight="false" outlineLevel="0" collapsed="false">
      <c r="A202" s="2" t="s">
        <v>89</v>
      </c>
      <c r="B202" s="2" t="n">
        <v>2023</v>
      </c>
      <c r="C202" s="2" t="s">
        <v>53</v>
      </c>
      <c r="D202" s="2" t="n">
        <v>1</v>
      </c>
      <c r="E202" s="2" t="n">
        <v>2</v>
      </c>
      <c r="F202" s="2" t="s">
        <v>50</v>
      </c>
      <c r="G202" s="3" t="n">
        <v>1</v>
      </c>
      <c r="H202" s="3" t="n">
        <v>0</v>
      </c>
      <c r="I202" s="3" t="n">
        <v>0</v>
      </c>
      <c r="J202" s="3" t="n">
        <v>1</v>
      </c>
      <c r="K202" s="3" t="n">
        <v>1</v>
      </c>
      <c r="L202" s="3" t="n">
        <v>1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1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1</v>
      </c>
      <c r="AA202" s="3" t="n">
        <v>0</v>
      </c>
      <c r="AB202" s="3" t="n">
        <v>1</v>
      </c>
      <c r="AC202" s="3" t="n">
        <v>0</v>
      </c>
      <c r="AD202" s="3" t="n">
        <v>0</v>
      </c>
      <c r="AE202" s="3" t="n">
        <v>1</v>
      </c>
      <c r="AF202" s="3" t="n">
        <v>0</v>
      </c>
      <c r="AG202" s="3" t="n">
        <v>1</v>
      </c>
      <c r="AH202" s="3" t="n">
        <v>0</v>
      </c>
      <c r="AI202" s="3" t="n">
        <v>1</v>
      </c>
      <c r="AJ202" s="4" t="n">
        <f aca="false">SUM(G202:AI202)</f>
        <v>10</v>
      </c>
      <c r="AK202" s="4" t="n">
        <f aca="false">ROUND(SUMPRODUCT(G202:AI202,Gene_Weights!$B$2:$AD$2),3)</f>
        <v>-8.67</v>
      </c>
      <c r="AL202" s="2" t="n">
        <v>9</v>
      </c>
      <c r="AM202" s="2" t="n">
        <v>5</v>
      </c>
      <c r="AN202" s="2" t="n">
        <v>55.56</v>
      </c>
      <c r="AO202" s="5" t="n">
        <v>52.86</v>
      </c>
      <c r="AP202" s="5" t="n">
        <v>53.65</v>
      </c>
      <c r="AQ202" s="5" t="n">
        <v>54.45</v>
      </c>
      <c r="AR202" s="5" t="n">
        <v>55.24</v>
      </c>
      <c r="AS202" s="5" t="n">
        <v>56.03</v>
      </c>
      <c r="AT202" s="5" t="n">
        <v>56.83</v>
      </c>
      <c r="AU202" s="5" t="n">
        <v>57.62</v>
      </c>
      <c r="AV202" s="5" t="s">
        <v>51</v>
      </c>
    </row>
    <row r="203" customFormat="false" ht="15" hidden="false" customHeight="false" outlineLevel="0" collapsed="false">
      <c r="A203" s="2" t="s">
        <v>89</v>
      </c>
      <c r="B203" s="2" t="n">
        <v>2023</v>
      </c>
      <c r="C203" s="2" t="s">
        <v>54</v>
      </c>
      <c r="D203" s="2" t="n">
        <v>0</v>
      </c>
      <c r="E203" s="2" t="n">
        <v>2</v>
      </c>
      <c r="F203" s="2" t="s">
        <v>50</v>
      </c>
      <c r="G203" s="3" t="n">
        <v>1</v>
      </c>
      <c r="H203" s="3" t="n">
        <v>0</v>
      </c>
      <c r="I203" s="3" t="n">
        <v>0</v>
      </c>
      <c r="J203" s="3" t="n">
        <v>1</v>
      </c>
      <c r="K203" s="3" t="n">
        <v>1</v>
      </c>
      <c r="L203" s="3" t="n">
        <v>1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1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1</v>
      </c>
      <c r="AA203" s="3" t="n">
        <v>0</v>
      </c>
      <c r="AB203" s="3" t="n">
        <v>1</v>
      </c>
      <c r="AC203" s="3" t="n">
        <v>0</v>
      </c>
      <c r="AD203" s="3" t="n">
        <v>0</v>
      </c>
      <c r="AE203" s="3" t="n">
        <v>1</v>
      </c>
      <c r="AF203" s="3" t="n">
        <v>0</v>
      </c>
      <c r="AG203" s="3" t="n">
        <v>1</v>
      </c>
      <c r="AH203" s="3" t="n">
        <v>0</v>
      </c>
      <c r="AI203" s="3" t="n">
        <v>1</v>
      </c>
      <c r="AJ203" s="4" t="n">
        <f aca="false">SUM(G203:AI203)</f>
        <v>10</v>
      </c>
      <c r="AK203" s="4" t="n">
        <f aca="false">ROUND(SUMPRODUCT(G203:AI203,Gene_Weights!$B$2:$AD$2),3)</f>
        <v>-8.67</v>
      </c>
      <c r="AL203" s="2" t="n">
        <v>9</v>
      </c>
      <c r="AM203" s="2" t="n">
        <v>7</v>
      </c>
      <c r="AN203" s="2" t="n">
        <v>77.78</v>
      </c>
      <c r="AO203" s="5" t="n">
        <v>81.84</v>
      </c>
      <c r="AP203" s="5" t="n">
        <v>84.45</v>
      </c>
      <c r="AQ203" s="5" t="n">
        <v>87.06</v>
      </c>
      <c r="AR203" s="5" t="n">
        <v>89.67</v>
      </c>
      <c r="AS203" s="5" t="n">
        <v>92.27</v>
      </c>
      <c r="AT203" s="5" t="n">
        <v>94.88</v>
      </c>
      <c r="AU203" s="5" t="n">
        <v>97.49</v>
      </c>
      <c r="AV203" s="5" t="s">
        <v>51</v>
      </c>
    </row>
    <row r="204" customFormat="false" ht="15" hidden="false" customHeight="false" outlineLevel="0" collapsed="false">
      <c r="A204" s="2" t="s">
        <v>89</v>
      </c>
      <c r="B204" s="2" t="n">
        <v>2023</v>
      </c>
      <c r="C204" s="2" t="s">
        <v>55</v>
      </c>
      <c r="D204" s="2" t="n">
        <v>1</v>
      </c>
      <c r="E204" s="2" t="n">
        <v>2</v>
      </c>
      <c r="F204" s="2" t="s">
        <v>50</v>
      </c>
      <c r="G204" s="3" t="n">
        <v>1</v>
      </c>
      <c r="H204" s="3" t="n">
        <v>0</v>
      </c>
      <c r="I204" s="3" t="n">
        <v>0</v>
      </c>
      <c r="J204" s="3" t="n">
        <v>1</v>
      </c>
      <c r="K204" s="3" t="n">
        <v>1</v>
      </c>
      <c r="L204" s="3" t="n">
        <v>1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1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1</v>
      </c>
      <c r="AA204" s="3" t="n">
        <v>0</v>
      </c>
      <c r="AB204" s="3" t="n">
        <v>1</v>
      </c>
      <c r="AC204" s="3" t="n">
        <v>0</v>
      </c>
      <c r="AD204" s="3" t="n">
        <v>0</v>
      </c>
      <c r="AE204" s="3" t="n">
        <v>1</v>
      </c>
      <c r="AF204" s="3" t="n">
        <v>0</v>
      </c>
      <c r="AG204" s="3" t="n">
        <v>1</v>
      </c>
      <c r="AH204" s="3" t="n">
        <v>0</v>
      </c>
      <c r="AI204" s="3" t="n">
        <v>1</v>
      </c>
      <c r="AJ204" s="4" t="n">
        <f aca="false">SUM(G204:AI204)</f>
        <v>10</v>
      </c>
      <c r="AK204" s="4" t="n">
        <f aca="false">ROUND(SUMPRODUCT(G204:AI204,Gene_Weights!$B$2:$AD$2),3)</f>
        <v>-8.67</v>
      </c>
      <c r="AL204" s="2" t="n">
        <v>9</v>
      </c>
      <c r="AM204" s="2" t="n">
        <v>2</v>
      </c>
      <c r="AN204" s="2" t="n">
        <v>22.22</v>
      </c>
      <c r="AO204" s="5" t="n">
        <v>58.19</v>
      </c>
      <c r="AP204" s="5" t="n">
        <v>59.74</v>
      </c>
      <c r="AQ204" s="5" t="n">
        <v>61.3</v>
      </c>
      <c r="AR204" s="5" t="n">
        <v>62.86</v>
      </c>
      <c r="AS204" s="5" t="n">
        <v>64.42</v>
      </c>
      <c r="AT204" s="5" t="n">
        <v>65.98</v>
      </c>
      <c r="AU204" s="5" t="n">
        <v>67.53</v>
      </c>
      <c r="AV204" s="5" t="s">
        <v>51</v>
      </c>
    </row>
    <row r="205" customFormat="false" ht="15" hidden="false" customHeight="false" outlineLevel="0" collapsed="false">
      <c r="A205" s="2" t="s">
        <v>89</v>
      </c>
      <c r="B205" s="2" t="n">
        <v>2023</v>
      </c>
      <c r="C205" s="2" t="s">
        <v>56</v>
      </c>
      <c r="D205" s="2" t="n">
        <v>0</v>
      </c>
      <c r="E205" s="2" t="n">
        <v>16</v>
      </c>
      <c r="F205" s="2" t="s">
        <v>50</v>
      </c>
      <c r="G205" s="3" t="n">
        <v>1</v>
      </c>
      <c r="H205" s="3" t="n">
        <v>0</v>
      </c>
      <c r="I205" s="3" t="n">
        <v>0</v>
      </c>
      <c r="J205" s="3" t="n">
        <v>1</v>
      </c>
      <c r="K205" s="3" t="n">
        <v>1</v>
      </c>
      <c r="L205" s="3" t="n">
        <v>1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1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1</v>
      </c>
      <c r="AA205" s="3" t="n">
        <v>0</v>
      </c>
      <c r="AB205" s="3" t="n">
        <v>1</v>
      </c>
      <c r="AC205" s="3" t="n">
        <v>0</v>
      </c>
      <c r="AD205" s="3" t="n">
        <v>0</v>
      </c>
      <c r="AE205" s="3" t="n">
        <v>1</v>
      </c>
      <c r="AF205" s="3" t="n">
        <v>0</v>
      </c>
      <c r="AG205" s="3" t="n">
        <v>1</v>
      </c>
      <c r="AH205" s="3" t="n">
        <v>0</v>
      </c>
      <c r="AI205" s="3" t="n">
        <v>1</v>
      </c>
      <c r="AJ205" s="4" t="n">
        <f aca="false">SUM(G205:AI205)</f>
        <v>10</v>
      </c>
      <c r="AK205" s="4" t="n">
        <f aca="false">ROUND(SUMPRODUCT(G205:AI205,Gene_Weights!$B$2:$AD$2),3)</f>
        <v>-8.67</v>
      </c>
      <c r="AL205" s="2" t="n">
        <v>9</v>
      </c>
      <c r="AM205" s="2" t="n">
        <v>5</v>
      </c>
      <c r="AN205" s="2" t="n">
        <v>55.56</v>
      </c>
      <c r="AO205" s="5" t="n">
        <v>75.59</v>
      </c>
      <c r="AP205" s="5" t="n">
        <v>78.01</v>
      </c>
      <c r="AQ205" s="5" t="n">
        <v>80.42</v>
      </c>
      <c r="AR205" s="5" t="n">
        <v>82.83</v>
      </c>
      <c r="AS205" s="5" t="n">
        <v>85.24</v>
      </c>
      <c r="AT205" s="5" t="n">
        <v>87.66</v>
      </c>
      <c r="AU205" s="5" t="n">
        <v>90.07</v>
      </c>
      <c r="AV205" s="5" t="s">
        <v>51</v>
      </c>
    </row>
    <row r="206" customFormat="false" ht="15" hidden="false" customHeight="false" outlineLevel="0" collapsed="false">
      <c r="A206" s="2" t="s">
        <v>90</v>
      </c>
      <c r="B206" s="2" t="n">
        <v>2002</v>
      </c>
      <c r="C206" s="2" t="s">
        <v>49</v>
      </c>
      <c r="D206" s="2" t="n">
        <v>0</v>
      </c>
      <c r="E206" s="2" t="n">
        <v>16</v>
      </c>
      <c r="F206" s="2" t="s">
        <v>50</v>
      </c>
      <c r="G206" s="3" t="n">
        <v>0</v>
      </c>
      <c r="H206" s="3" t="n">
        <v>1</v>
      </c>
      <c r="I206" s="3" t="n">
        <v>1</v>
      </c>
      <c r="J206" s="3" t="n">
        <v>1</v>
      </c>
      <c r="K206" s="3" t="n">
        <v>1</v>
      </c>
      <c r="L206" s="3" t="n">
        <v>1</v>
      </c>
      <c r="M206" s="3" t="n">
        <v>0</v>
      </c>
      <c r="N206" s="3" t="n">
        <v>0</v>
      </c>
      <c r="O206" s="3" t="n">
        <v>0</v>
      </c>
      <c r="P206" s="3" t="n">
        <v>1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1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1</v>
      </c>
      <c r="AD206" s="3" t="n">
        <v>0</v>
      </c>
      <c r="AE206" s="3" t="n">
        <v>0</v>
      </c>
      <c r="AF206" s="3" t="n">
        <v>0</v>
      </c>
      <c r="AG206" s="3" t="n">
        <v>1</v>
      </c>
      <c r="AH206" s="3" t="n">
        <v>1</v>
      </c>
      <c r="AI206" s="3" t="n">
        <v>1</v>
      </c>
      <c r="AJ206" s="4" t="n">
        <f aca="false">SUM(G206:AI206)</f>
        <v>11</v>
      </c>
      <c r="AK206" s="4" t="n">
        <f aca="false">ROUND(SUMPRODUCT(G206:AI206,Gene_Weights!$B$2:$AD$2),3)</f>
        <v>-9.61</v>
      </c>
      <c r="AL206" s="2" t="n">
        <v>5</v>
      </c>
      <c r="AM206" s="2" t="n">
        <v>1</v>
      </c>
      <c r="AN206" s="2" t="n">
        <v>20</v>
      </c>
      <c r="AO206" s="5" t="n">
        <v>55.12</v>
      </c>
      <c r="AP206" s="5" t="n">
        <v>56.02</v>
      </c>
      <c r="AQ206" s="5" t="n">
        <v>56.92</v>
      </c>
      <c r="AR206" s="5" t="n">
        <v>57.82</v>
      </c>
      <c r="AS206" s="5" t="n">
        <v>58.72</v>
      </c>
      <c r="AT206" s="5" t="n">
        <v>59.62</v>
      </c>
      <c r="AU206" s="5" t="n">
        <v>60.52</v>
      </c>
      <c r="AV206" s="5" t="s">
        <v>51</v>
      </c>
    </row>
    <row r="207" customFormat="false" ht="15" hidden="false" customHeight="false" outlineLevel="0" collapsed="false">
      <c r="A207" s="2" t="s">
        <v>90</v>
      </c>
      <c r="B207" s="2" t="n">
        <v>2002</v>
      </c>
      <c r="C207" s="2" t="s">
        <v>52</v>
      </c>
      <c r="D207" s="2" t="n">
        <v>1</v>
      </c>
      <c r="E207" s="2" t="n">
        <v>4</v>
      </c>
      <c r="F207" s="2" t="s">
        <v>50</v>
      </c>
      <c r="G207" s="3" t="n">
        <v>0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0</v>
      </c>
      <c r="N207" s="3" t="n">
        <v>0</v>
      </c>
      <c r="O207" s="3" t="n">
        <v>0</v>
      </c>
      <c r="P207" s="3" t="n">
        <v>1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1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1</v>
      </c>
      <c r="AD207" s="3" t="n">
        <v>0</v>
      </c>
      <c r="AE207" s="3" t="n">
        <v>0</v>
      </c>
      <c r="AF207" s="3" t="n">
        <v>0</v>
      </c>
      <c r="AG207" s="3" t="n">
        <v>1</v>
      </c>
      <c r="AH207" s="3" t="n">
        <v>1</v>
      </c>
      <c r="AI207" s="3" t="n">
        <v>1</v>
      </c>
      <c r="AJ207" s="4" t="n">
        <f aca="false">SUM(G207:AI207)</f>
        <v>11</v>
      </c>
      <c r="AK207" s="4" t="n">
        <f aca="false">ROUND(SUMPRODUCT(G207:AI207,Gene_Weights!$B$2:$AD$2),3)</f>
        <v>-9.61</v>
      </c>
      <c r="AL207" s="2" t="n">
        <v>5</v>
      </c>
      <c r="AM207" s="2" t="n">
        <v>3</v>
      </c>
      <c r="AN207" s="2" t="n">
        <v>60</v>
      </c>
      <c r="AO207" s="5" t="n">
        <v>64.53</v>
      </c>
      <c r="AP207" s="5" t="n">
        <v>66.13</v>
      </c>
      <c r="AQ207" s="5" t="n">
        <v>67.73</v>
      </c>
      <c r="AR207" s="5" t="n">
        <v>69.33</v>
      </c>
      <c r="AS207" s="5" t="n">
        <v>70.93</v>
      </c>
      <c r="AT207" s="5" t="n">
        <v>72.53</v>
      </c>
      <c r="AU207" s="5" t="n">
        <v>74.13</v>
      </c>
      <c r="AV207" s="5" t="s">
        <v>51</v>
      </c>
    </row>
    <row r="208" customFormat="false" ht="15" hidden="false" customHeight="false" outlineLevel="0" collapsed="false">
      <c r="A208" s="2" t="s">
        <v>90</v>
      </c>
      <c r="B208" s="2" t="n">
        <v>2002</v>
      </c>
      <c r="C208" s="2" t="s">
        <v>53</v>
      </c>
      <c r="D208" s="2" t="n">
        <v>0</v>
      </c>
      <c r="E208" s="2" t="n">
        <v>2</v>
      </c>
      <c r="F208" s="2" t="s">
        <v>50</v>
      </c>
      <c r="G208" s="3" t="n">
        <v>0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1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1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1</v>
      </c>
      <c r="AD208" s="3" t="n">
        <v>0</v>
      </c>
      <c r="AE208" s="3" t="n">
        <v>0</v>
      </c>
      <c r="AF208" s="3" t="n">
        <v>0</v>
      </c>
      <c r="AG208" s="3" t="n">
        <v>1</v>
      </c>
      <c r="AH208" s="3" t="n">
        <v>1</v>
      </c>
      <c r="AI208" s="3" t="n">
        <v>1</v>
      </c>
      <c r="AJ208" s="4" t="n">
        <f aca="false">SUM(G208:AI208)</f>
        <v>11</v>
      </c>
      <c r="AK208" s="4" t="n">
        <f aca="false">ROUND(SUMPRODUCT(G208:AI208,Gene_Weights!$B$2:$AD$2),3)</f>
        <v>-9.61</v>
      </c>
      <c r="AL208" s="2" t="n">
        <v>5</v>
      </c>
      <c r="AM208" s="2" t="n">
        <v>0</v>
      </c>
      <c r="AN208" s="2" t="n">
        <v>0</v>
      </c>
      <c r="AO208" s="5" t="n">
        <v>52.86</v>
      </c>
      <c r="AP208" s="5" t="n">
        <v>53.65</v>
      </c>
      <c r="AQ208" s="5" t="n">
        <v>54.45</v>
      </c>
      <c r="AR208" s="5" t="n">
        <v>55.24</v>
      </c>
      <c r="AS208" s="5" t="n">
        <v>56.03</v>
      </c>
      <c r="AT208" s="5" t="n">
        <v>56.83</v>
      </c>
      <c r="AU208" s="5" t="n">
        <v>57.62</v>
      </c>
      <c r="AV208" s="5" t="s">
        <v>51</v>
      </c>
    </row>
    <row r="209" customFormat="false" ht="15" hidden="false" customHeight="false" outlineLevel="0" collapsed="false">
      <c r="A209" s="2" t="s">
        <v>90</v>
      </c>
      <c r="B209" s="2" t="n">
        <v>2002</v>
      </c>
      <c r="C209" s="2" t="s">
        <v>54</v>
      </c>
      <c r="D209" s="2" t="n">
        <v>1</v>
      </c>
      <c r="E209" s="2" t="n">
        <v>2</v>
      </c>
      <c r="F209" s="2" t="s">
        <v>50</v>
      </c>
      <c r="G209" s="3" t="n">
        <v>0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0</v>
      </c>
      <c r="N209" s="3" t="n">
        <v>0</v>
      </c>
      <c r="O209" s="3" t="n">
        <v>0</v>
      </c>
      <c r="P209" s="3" t="n">
        <v>1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1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1</v>
      </c>
      <c r="AD209" s="3" t="n">
        <v>0</v>
      </c>
      <c r="AE209" s="3" t="n">
        <v>0</v>
      </c>
      <c r="AF209" s="3" t="n">
        <v>0</v>
      </c>
      <c r="AG209" s="3" t="n">
        <v>1</v>
      </c>
      <c r="AH209" s="3" t="n">
        <v>1</v>
      </c>
      <c r="AI209" s="3" t="n">
        <v>1</v>
      </c>
      <c r="AJ209" s="4" t="n">
        <f aca="false">SUM(G209:AI209)</f>
        <v>11</v>
      </c>
      <c r="AK209" s="4" t="n">
        <f aca="false">ROUND(SUMPRODUCT(G209:AI209,Gene_Weights!$B$2:$AD$2),3)</f>
        <v>-9.61</v>
      </c>
      <c r="AL209" s="2" t="n">
        <v>5</v>
      </c>
      <c r="AM209" s="2" t="n">
        <v>2</v>
      </c>
      <c r="AN209" s="2" t="n">
        <v>40</v>
      </c>
      <c r="AO209" s="5" t="n">
        <v>81.84</v>
      </c>
      <c r="AP209" s="5" t="n">
        <v>84.45</v>
      </c>
      <c r="AQ209" s="5" t="n">
        <v>87.06</v>
      </c>
      <c r="AR209" s="5" t="n">
        <v>89.67</v>
      </c>
      <c r="AS209" s="5" t="n">
        <v>92.27</v>
      </c>
      <c r="AT209" s="5" t="n">
        <v>94.88</v>
      </c>
      <c r="AU209" s="5" t="n">
        <v>97.49</v>
      </c>
      <c r="AV209" s="5" t="s">
        <v>51</v>
      </c>
    </row>
    <row r="210" customFormat="false" ht="15" hidden="false" customHeight="false" outlineLevel="0" collapsed="false">
      <c r="A210" s="2" t="s">
        <v>90</v>
      </c>
      <c r="B210" s="2" t="n">
        <v>2002</v>
      </c>
      <c r="C210" s="2" t="s">
        <v>55</v>
      </c>
      <c r="D210" s="2" t="n">
        <v>1</v>
      </c>
      <c r="E210" s="2" t="n">
        <v>2</v>
      </c>
      <c r="F210" s="2" t="s">
        <v>50</v>
      </c>
      <c r="G210" s="3" t="n">
        <v>0</v>
      </c>
      <c r="H210" s="3" t="n">
        <v>1</v>
      </c>
      <c r="I210" s="3" t="n">
        <v>1</v>
      </c>
      <c r="J210" s="3" t="n">
        <v>1</v>
      </c>
      <c r="K210" s="3" t="n">
        <v>1</v>
      </c>
      <c r="L210" s="3" t="n">
        <v>1</v>
      </c>
      <c r="M210" s="3" t="n">
        <v>0</v>
      </c>
      <c r="N210" s="3" t="n">
        <v>0</v>
      </c>
      <c r="O210" s="3" t="n">
        <v>0</v>
      </c>
      <c r="P210" s="3" t="n">
        <v>1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1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1</v>
      </c>
      <c r="AD210" s="3" t="n">
        <v>0</v>
      </c>
      <c r="AE210" s="3" t="n">
        <v>0</v>
      </c>
      <c r="AF210" s="3" t="n">
        <v>0</v>
      </c>
      <c r="AG210" s="3" t="n">
        <v>1</v>
      </c>
      <c r="AH210" s="3" t="n">
        <v>1</v>
      </c>
      <c r="AI210" s="3" t="n">
        <v>1</v>
      </c>
      <c r="AJ210" s="4" t="n">
        <f aca="false">SUM(G210:AI210)</f>
        <v>11</v>
      </c>
      <c r="AK210" s="4" t="n">
        <f aca="false">ROUND(SUMPRODUCT(G210:AI210,Gene_Weights!$B$2:$AD$2),3)</f>
        <v>-9.61</v>
      </c>
      <c r="AL210" s="2" t="n">
        <v>5</v>
      </c>
      <c r="AM210" s="2" t="n">
        <v>2</v>
      </c>
      <c r="AN210" s="2" t="n">
        <v>40</v>
      </c>
      <c r="AO210" s="5" t="n">
        <v>58.19</v>
      </c>
      <c r="AP210" s="5" t="n">
        <v>59.74</v>
      </c>
      <c r="AQ210" s="5" t="n">
        <v>61.3</v>
      </c>
      <c r="AR210" s="5" t="n">
        <v>62.86</v>
      </c>
      <c r="AS210" s="5" t="n">
        <v>64.42</v>
      </c>
      <c r="AT210" s="5" t="n">
        <v>65.98</v>
      </c>
      <c r="AU210" s="5" t="n">
        <v>67.53</v>
      </c>
      <c r="AV210" s="5" t="s">
        <v>51</v>
      </c>
    </row>
    <row r="211" customFormat="false" ht="15" hidden="false" customHeight="false" outlineLevel="0" collapsed="false">
      <c r="A211" s="2" t="s">
        <v>90</v>
      </c>
      <c r="B211" s="2" t="n">
        <v>2002</v>
      </c>
      <c r="C211" s="2" t="s">
        <v>56</v>
      </c>
      <c r="D211" s="2" t="n">
        <v>1</v>
      </c>
      <c r="E211" s="2" t="n">
        <v>4</v>
      </c>
      <c r="F211" s="2" t="s">
        <v>50</v>
      </c>
      <c r="G211" s="3" t="n">
        <v>0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0</v>
      </c>
      <c r="N211" s="3" t="n">
        <v>0</v>
      </c>
      <c r="O211" s="3" t="n">
        <v>0</v>
      </c>
      <c r="P211" s="3" t="n">
        <v>1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1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1</v>
      </c>
      <c r="AD211" s="3" t="n">
        <v>0</v>
      </c>
      <c r="AE211" s="3" t="n">
        <v>0</v>
      </c>
      <c r="AF211" s="3" t="n">
        <v>0</v>
      </c>
      <c r="AG211" s="3" t="n">
        <v>1</v>
      </c>
      <c r="AH211" s="3" t="n">
        <v>1</v>
      </c>
      <c r="AI211" s="3" t="n">
        <v>1</v>
      </c>
      <c r="AJ211" s="4" t="n">
        <f aca="false">SUM(G211:AI211)</f>
        <v>11</v>
      </c>
      <c r="AK211" s="4" t="n">
        <f aca="false">ROUND(SUMPRODUCT(G211:AI211,Gene_Weights!$B$2:$AD$2),3)</f>
        <v>-9.61</v>
      </c>
      <c r="AL211" s="2" t="n">
        <v>5</v>
      </c>
      <c r="AM211" s="2" t="n">
        <v>2</v>
      </c>
      <c r="AN211" s="2" t="n">
        <v>40</v>
      </c>
      <c r="AO211" s="5" t="n">
        <v>75.59</v>
      </c>
      <c r="AP211" s="5" t="n">
        <v>78.01</v>
      </c>
      <c r="AQ211" s="5" t="n">
        <v>80.42</v>
      </c>
      <c r="AR211" s="5" t="n">
        <v>82.83</v>
      </c>
      <c r="AS211" s="5" t="n">
        <v>85.24</v>
      </c>
      <c r="AT211" s="5" t="n">
        <v>87.66</v>
      </c>
      <c r="AU211" s="5" t="n">
        <v>90.07</v>
      </c>
      <c r="AV211" s="5" t="s">
        <v>51</v>
      </c>
    </row>
    <row r="212" customFormat="false" ht="15" hidden="false" customHeight="false" outlineLevel="0" collapsed="false">
      <c r="A212" s="2" t="s">
        <v>91</v>
      </c>
      <c r="B212" s="2" t="n">
        <v>2011</v>
      </c>
      <c r="C212" s="2" t="s">
        <v>49</v>
      </c>
      <c r="D212" s="2" t="n">
        <v>0</v>
      </c>
      <c r="E212" s="2" t="n">
        <v>2</v>
      </c>
      <c r="F212" s="2" t="s">
        <v>50</v>
      </c>
      <c r="G212" s="3" t="n">
        <v>0</v>
      </c>
      <c r="H212" s="3" t="n">
        <v>0</v>
      </c>
      <c r="I212" s="3" t="n">
        <v>1</v>
      </c>
      <c r="J212" s="3" t="n">
        <v>1</v>
      </c>
      <c r="K212" s="3" t="n">
        <v>0</v>
      </c>
      <c r="L212" s="3" t="n">
        <v>1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1</v>
      </c>
      <c r="U212" s="3" t="n">
        <v>0</v>
      </c>
      <c r="V212" s="3" t="n">
        <v>0</v>
      </c>
      <c r="W212" s="3" t="n">
        <v>0</v>
      </c>
      <c r="X212" s="3" t="n">
        <v>1</v>
      </c>
      <c r="Y212" s="3" t="n">
        <v>1</v>
      </c>
      <c r="Z212" s="3" t="n">
        <v>1</v>
      </c>
      <c r="AA212" s="3" t="n">
        <v>0</v>
      </c>
      <c r="AB212" s="3" t="n">
        <v>1</v>
      </c>
      <c r="AC212" s="3" t="n">
        <v>1</v>
      </c>
      <c r="AD212" s="3" t="n">
        <v>1</v>
      </c>
      <c r="AE212" s="3" t="n">
        <v>0</v>
      </c>
      <c r="AF212" s="3" t="n">
        <v>1</v>
      </c>
      <c r="AG212" s="3" t="n">
        <v>1</v>
      </c>
      <c r="AH212" s="3" t="n">
        <v>0</v>
      </c>
      <c r="AI212" s="3" t="n">
        <v>0</v>
      </c>
      <c r="AJ212" s="4" t="n">
        <f aca="false">SUM(G212:AI212)</f>
        <v>12</v>
      </c>
      <c r="AK212" s="4" t="n">
        <f aca="false">ROUND(SUMPRODUCT(G212:AI212,Gene_Weights!$B$2:$AD$2),3)</f>
        <v>-8.59</v>
      </c>
      <c r="AL212" s="2" t="n">
        <v>11</v>
      </c>
      <c r="AM212" s="2" t="n">
        <v>5</v>
      </c>
      <c r="AN212" s="2" t="n">
        <v>45.45</v>
      </c>
      <c r="AO212" s="5" t="n">
        <v>55.12</v>
      </c>
      <c r="AP212" s="5" t="n">
        <v>56.02</v>
      </c>
      <c r="AQ212" s="5" t="n">
        <v>56.92</v>
      </c>
      <c r="AR212" s="5" t="n">
        <v>57.82</v>
      </c>
      <c r="AS212" s="5" t="n">
        <v>58.72</v>
      </c>
      <c r="AT212" s="5" t="n">
        <v>59.62</v>
      </c>
      <c r="AU212" s="5" t="n">
        <v>60.52</v>
      </c>
      <c r="AV212" s="5" t="s">
        <v>51</v>
      </c>
    </row>
    <row r="213" customFormat="false" ht="15" hidden="false" customHeight="false" outlineLevel="0" collapsed="false">
      <c r="A213" s="2" t="s">
        <v>91</v>
      </c>
      <c r="B213" s="2" t="n">
        <v>2011</v>
      </c>
      <c r="C213" s="2" t="s">
        <v>52</v>
      </c>
      <c r="D213" s="2" t="n">
        <v>0</v>
      </c>
      <c r="E213" s="2" t="n">
        <v>4</v>
      </c>
      <c r="F213" s="2" t="s">
        <v>50</v>
      </c>
      <c r="G213" s="3" t="n">
        <v>0</v>
      </c>
      <c r="H213" s="3" t="n">
        <v>0</v>
      </c>
      <c r="I213" s="3" t="n">
        <v>1</v>
      </c>
      <c r="J213" s="3" t="n">
        <v>1</v>
      </c>
      <c r="K213" s="3" t="n">
        <v>0</v>
      </c>
      <c r="L213" s="3" t="n">
        <v>1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1</v>
      </c>
      <c r="U213" s="3" t="n">
        <v>0</v>
      </c>
      <c r="V213" s="3" t="n">
        <v>0</v>
      </c>
      <c r="W213" s="3" t="n">
        <v>0</v>
      </c>
      <c r="X213" s="3" t="n">
        <v>1</v>
      </c>
      <c r="Y213" s="3" t="n">
        <v>1</v>
      </c>
      <c r="Z213" s="3" t="n">
        <v>1</v>
      </c>
      <c r="AA213" s="3" t="n">
        <v>0</v>
      </c>
      <c r="AB213" s="3" t="n">
        <v>1</v>
      </c>
      <c r="AC213" s="3" t="n">
        <v>1</v>
      </c>
      <c r="AD213" s="3" t="n">
        <v>1</v>
      </c>
      <c r="AE213" s="3" t="n">
        <v>0</v>
      </c>
      <c r="AF213" s="3" t="n">
        <v>1</v>
      </c>
      <c r="AG213" s="3" t="n">
        <v>1</v>
      </c>
      <c r="AH213" s="3" t="n">
        <v>0</v>
      </c>
      <c r="AI213" s="3" t="n">
        <v>0</v>
      </c>
      <c r="AJ213" s="4" t="n">
        <f aca="false">SUM(G213:AI213)</f>
        <v>12</v>
      </c>
      <c r="AK213" s="4" t="n">
        <f aca="false">ROUND(SUMPRODUCT(G213:AI213,Gene_Weights!$B$2:$AD$2),3)</f>
        <v>-8.59</v>
      </c>
      <c r="AL213" s="2" t="n">
        <v>11</v>
      </c>
      <c r="AM213" s="2" t="n">
        <v>4</v>
      </c>
      <c r="AN213" s="2" t="n">
        <v>36.36</v>
      </c>
      <c r="AO213" s="5" t="n">
        <v>64.53</v>
      </c>
      <c r="AP213" s="5" t="n">
        <v>66.13</v>
      </c>
      <c r="AQ213" s="5" t="n">
        <v>67.73</v>
      </c>
      <c r="AR213" s="5" t="n">
        <v>69.33</v>
      </c>
      <c r="AS213" s="5" t="n">
        <v>70.93</v>
      </c>
      <c r="AT213" s="5" t="n">
        <v>72.53</v>
      </c>
      <c r="AU213" s="5" t="n">
        <v>74.13</v>
      </c>
      <c r="AV213" s="5" t="s">
        <v>51</v>
      </c>
    </row>
    <row r="214" customFormat="false" ht="15" hidden="false" customHeight="false" outlineLevel="0" collapsed="false">
      <c r="A214" s="2" t="s">
        <v>91</v>
      </c>
      <c r="B214" s="2" t="n">
        <v>2011</v>
      </c>
      <c r="C214" s="2" t="s">
        <v>53</v>
      </c>
      <c r="D214" s="2" t="n">
        <v>0</v>
      </c>
      <c r="E214" s="2" t="n">
        <v>2</v>
      </c>
      <c r="F214" s="2" t="s">
        <v>50</v>
      </c>
      <c r="G214" s="3" t="n">
        <v>0</v>
      </c>
      <c r="H214" s="3" t="n">
        <v>0</v>
      </c>
      <c r="I214" s="3" t="n">
        <v>1</v>
      </c>
      <c r="J214" s="3" t="n">
        <v>1</v>
      </c>
      <c r="K214" s="3" t="n">
        <v>0</v>
      </c>
      <c r="L214" s="3" t="n">
        <v>1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1</v>
      </c>
      <c r="U214" s="3" t="n">
        <v>0</v>
      </c>
      <c r="V214" s="3" t="n">
        <v>0</v>
      </c>
      <c r="W214" s="3" t="n">
        <v>0</v>
      </c>
      <c r="X214" s="3" t="n">
        <v>1</v>
      </c>
      <c r="Y214" s="3" t="n">
        <v>1</v>
      </c>
      <c r="Z214" s="3" t="n">
        <v>1</v>
      </c>
      <c r="AA214" s="3" t="n">
        <v>0</v>
      </c>
      <c r="AB214" s="3" t="n">
        <v>1</v>
      </c>
      <c r="AC214" s="3" t="n">
        <v>1</v>
      </c>
      <c r="AD214" s="3" t="n">
        <v>1</v>
      </c>
      <c r="AE214" s="3" t="n">
        <v>0</v>
      </c>
      <c r="AF214" s="3" t="n">
        <v>1</v>
      </c>
      <c r="AG214" s="3" t="n">
        <v>1</v>
      </c>
      <c r="AH214" s="3" t="n">
        <v>0</v>
      </c>
      <c r="AI214" s="3" t="n">
        <v>0</v>
      </c>
      <c r="AJ214" s="4" t="n">
        <f aca="false">SUM(G214:AI214)</f>
        <v>12</v>
      </c>
      <c r="AK214" s="4" t="n">
        <f aca="false">ROUND(SUMPRODUCT(G214:AI214,Gene_Weights!$B$2:$AD$2),3)</f>
        <v>-8.59</v>
      </c>
      <c r="AL214" s="2" t="n">
        <v>11</v>
      </c>
      <c r="AM214" s="2" t="n">
        <v>6</v>
      </c>
      <c r="AN214" s="2" t="n">
        <v>54.55</v>
      </c>
      <c r="AO214" s="5" t="n">
        <v>52.86</v>
      </c>
      <c r="AP214" s="5" t="n">
        <v>53.65</v>
      </c>
      <c r="AQ214" s="5" t="n">
        <v>54.45</v>
      </c>
      <c r="AR214" s="5" t="n">
        <v>55.24</v>
      </c>
      <c r="AS214" s="5" t="n">
        <v>56.03</v>
      </c>
      <c r="AT214" s="5" t="n">
        <v>56.83</v>
      </c>
      <c r="AU214" s="5" t="n">
        <v>57.62</v>
      </c>
      <c r="AV214" s="5" t="s">
        <v>51</v>
      </c>
    </row>
    <row r="215" customFormat="false" ht="15" hidden="false" customHeight="false" outlineLevel="0" collapsed="false">
      <c r="A215" s="2" t="s">
        <v>91</v>
      </c>
      <c r="B215" s="2" t="n">
        <v>2011</v>
      </c>
      <c r="C215" s="2" t="s">
        <v>54</v>
      </c>
      <c r="D215" s="2" t="n">
        <v>0</v>
      </c>
      <c r="E215" s="2" t="n">
        <v>2</v>
      </c>
      <c r="F215" s="2" t="s">
        <v>50</v>
      </c>
      <c r="G215" s="3" t="n">
        <v>0</v>
      </c>
      <c r="H215" s="3" t="n">
        <v>0</v>
      </c>
      <c r="I215" s="3" t="n">
        <v>1</v>
      </c>
      <c r="J215" s="3" t="n">
        <v>1</v>
      </c>
      <c r="K215" s="3" t="n">
        <v>0</v>
      </c>
      <c r="L215" s="3" t="n">
        <v>1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1</v>
      </c>
      <c r="U215" s="3" t="n">
        <v>0</v>
      </c>
      <c r="V215" s="3" t="n">
        <v>0</v>
      </c>
      <c r="W215" s="3" t="n">
        <v>0</v>
      </c>
      <c r="X215" s="3" t="n">
        <v>1</v>
      </c>
      <c r="Y215" s="3" t="n">
        <v>1</v>
      </c>
      <c r="Z215" s="3" t="n">
        <v>1</v>
      </c>
      <c r="AA215" s="3" t="n">
        <v>0</v>
      </c>
      <c r="AB215" s="3" t="n">
        <v>1</v>
      </c>
      <c r="AC215" s="3" t="n">
        <v>1</v>
      </c>
      <c r="AD215" s="3" t="n">
        <v>1</v>
      </c>
      <c r="AE215" s="3" t="n">
        <v>0</v>
      </c>
      <c r="AF215" s="3" t="n">
        <v>1</v>
      </c>
      <c r="AG215" s="3" t="n">
        <v>1</v>
      </c>
      <c r="AH215" s="3" t="n">
        <v>0</v>
      </c>
      <c r="AI215" s="3" t="n">
        <v>0</v>
      </c>
      <c r="AJ215" s="4" t="n">
        <f aca="false">SUM(G215:AI215)</f>
        <v>12</v>
      </c>
      <c r="AK215" s="4" t="n">
        <f aca="false">ROUND(SUMPRODUCT(G215:AI215,Gene_Weights!$B$2:$AD$2),3)</f>
        <v>-8.59</v>
      </c>
      <c r="AL215" s="2" t="n">
        <v>11</v>
      </c>
      <c r="AM215" s="2" t="n">
        <v>4</v>
      </c>
      <c r="AN215" s="2" t="n">
        <v>36.36</v>
      </c>
      <c r="AO215" s="5" t="n">
        <v>81.84</v>
      </c>
      <c r="AP215" s="5" t="n">
        <v>84.45</v>
      </c>
      <c r="AQ215" s="5" t="n">
        <v>87.06</v>
      </c>
      <c r="AR215" s="5" t="n">
        <v>89.67</v>
      </c>
      <c r="AS215" s="5" t="n">
        <v>92.27</v>
      </c>
      <c r="AT215" s="5" t="n">
        <v>94.88</v>
      </c>
      <c r="AU215" s="5" t="n">
        <v>97.49</v>
      </c>
      <c r="AV215" s="5" t="s">
        <v>51</v>
      </c>
    </row>
    <row r="216" customFormat="false" ht="15" hidden="false" customHeight="false" outlineLevel="0" collapsed="false">
      <c r="A216" s="2" t="s">
        <v>91</v>
      </c>
      <c r="B216" s="2" t="n">
        <v>2011</v>
      </c>
      <c r="C216" s="2" t="s">
        <v>55</v>
      </c>
      <c r="D216" s="2" t="n">
        <v>0</v>
      </c>
      <c r="E216" s="2" t="n">
        <v>2</v>
      </c>
      <c r="F216" s="2" t="s">
        <v>50</v>
      </c>
      <c r="G216" s="3" t="n">
        <v>0</v>
      </c>
      <c r="H216" s="3" t="n">
        <v>0</v>
      </c>
      <c r="I216" s="3" t="n">
        <v>1</v>
      </c>
      <c r="J216" s="3" t="n">
        <v>1</v>
      </c>
      <c r="K216" s="3" t="n">
        <v>0</v>
      </c>
      <c r="L216" s="3" t="n">
        <v>1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1</v>
      </c>
      <c r="U216" s="3" t="n">
        <v>0</v>
      </c>
      <c r="V216" s="3" t="n">
        <v>0</v>
      </c>
      <c r="W216" s="3" t="n">
        <v>0</v>
      </c>
      <c r="X216" s="3" t="n">
        <v>1</v>
      </c>
      <c r="Y216" s="3" t="n">
        <v>1</v>
      </c>
      <c r="Z216" s="3" t="n">
        <v>1</v>
      </c>
      <c r="AA216" s="3" t="n">
        <v>0</v>
      </c>
      <c r="AB216" s="3" t="n">
        <v>1</v>
      </c>
      <c r="AC216" s="3" t="n">
        <v>1</v>
      </c>
      <c r="AD216" s="3" t="n">
        <v>1</v>
      </c>
      <c r="AE216" s="3" t="n">
        <v>0</v>
      </c>
      <c r="AF216" s="3" t="n">
        <v>1</v>
      </c>
      <c r="AG216" s="3" t="n">
        <v>1</v>
      </c>
      <c r="AH216" s="3" t="n">
        <v>0</v>
      </c>
      <c r="AI216" s="3" t="n">
        <v>0</v>
      </c>
      <c r="AJ216" s="4" t="n">
        <f aca="false">SUM(G216:AI216)</f>
        <v>12</v>
      </c>
      <c r="AK216" s="4" t="n">
        <f aca="false">ROUND(SUMPRODUCT(G216:AI216,Gene_Weights!$B$2:$AD$2),3)</f>
        <v>-8.59</v>
      </c>
      <c r="AL216" s="2" t="n">
        <v>11</v>
      </c>
      <c r="AM216" s="2" t="n">
        <v>7</v>
      </c>
      <c r="AN216" s="2" t="n">
        <v>63.64</v>
      </c>
      <c r="AO216" s="5" t="n">
        <v>58.19</v>
      </c>
      <c r="AP216" s="5" t="n">
        <v>59.74</v>
      </c>
      <c r="AQ216" s="5" t="n">
        <v>61.3</v>
      </c>
      <c r="AR216" s="5" t="n">
        <v>62.86</v>
      </c>
      <c r="AS216" s="5" t="n">
        <v>64.42</v>
      </c>
      <c r="AT216" s="5" t="n">
        <v>65.98</v>
      </c>
      <c r="AU216" s="5" t="n">
        <v>67.53</v>
      </c>
      <c r="AV216" s="5" t="s">
        <v>51</v>
      </c>
    </row>
    <row r="217" customFormat="false" ht="15" hidden="false" customHeight="false" outlineLevel="0" collapsed="false">
      <c r="A217" s="2" t="s">
        <v>91</v>
      </c>
      <c r="B217" s="2" t="n">
        <v>2011</v>
      </c>
      <c r="C217" s="2" t="s">
        <v>56</v>
      </c>
      <c r="D217" s="2" t="n">
        <v>1</v>
      </c>
      <c r="E217" s="2" t="n">
        <v>4</v>
      </c>
      <c r="F217" s="2" t="s">
        <v>50</v>
      </c>
      <c r="G217" s="3" t="n">
        <v>0</v>
      </c>
      <c r="H217" s="3" t="n">
        <v>0</v>
      </c>
      <c r="I217" s="3" t="n">
        <v>1</v>
      </c>
      <c r="J217" s="3" t="n">
        <v>1</v>
      </c>
      <c r="K217" s="3" t="n">
        <v>0</v>
      </c>
      <c r="L217" s="3" t="n">
        <v>1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1</v>
      </c>
      <c r="U217" s="3" t="n">
        <v>0</v>
      </c>
      <c r="V217" s="3" t="n">
        <v>0</v>
      </c>
      <c r="W217" s="3" t="n">
        <v>0</v>
      </c>
      <c r="X217" s="3" t="n">
        <v>1</v>
      </c>
      <c r="Y217" s="3" t="n">
        <v>1</v>
      </c>
      <c r="Z217" s="3" t="n">
        <v>1</v>
      </c>
      <c r="AA217" s="3" t="n">
        <v>0</v>
      </c>
      <c r="AB217" s="3" t="n">
        <v>1</v>
      </c>
      <c r="AC217" s="3" t="n">
        <v>1</v>
      </c>
      <c r="AD217" s="3" t="n">
        <v>1</v>
      </c>
      <c r="AE217" s="3" t="n">
        <v>0</v>
      </c>
      <c r="AF217" s="3" t="n">
        <v>1</v>
      </c>
      <c r="AG217" s="3" t="n">
        <v>1</v>
      </c>
      <c r="AH217" s="3" t="n">
        <v>0</v>
      </c>
      <c r="AI217" s="3" t="n">
        <v>0</v>
      </c>
      <c r="AJ217" s="4" t="n">
        <f aca="false">SUM(G217:AI217)</f>
        <v>12</v>
      </c>
      <c r="AK217" s="4" t="n">
        <f aca="false">ROUND(SUMPRODUCT(G217:AI217,Gene_Weights!$B$2:$AD$2),3)</f>
        <v>-8.59</v>
      </c>
      <c r="AL217" s="2" t="n">
        <v>11</v>
      </c>
      <c r="AM217" s="2" t="n">
        <v>7</v>
      </c>
      <c r="AN217" s="2" t="n">
        <v>63.64</v>
      </c>
      <c r="AO217" s="5" t="n">
        <v>75.59</v>
      </c>
      <c r="AP217" s="5" t="n">
        <v>78.01</v>
      </c>
      <c r="AQ217" s="5" t="n">
        <v>80.42</v>
      </c>
      <c r="AR217" s="5" t="n">
        <v>82.83</v>
      </c>
      <c r="AS217" s="5" t="n">
        <v>85.24</v>
      </c>
      <c r="AT217" s="5" t="n">
        <v>87.66</v>
      </c>
      <c r="AU217" s="5" t="n">
        <v>90.07</v>
      </c>
      <c r="AV217" s="5" t="s">
        <v>51</v>
      </c>
    </row>
    <row r="218" customFormat="false" ht="15" hidden="false" customHeight="false" outlineLevel="0" collapsed="false">
      <c r="A218" s="2" t="s">
        <v>92</v>
      </c>
      <c r="B218" s="2" t="n">
        <v>2019</v>
      </c>
      <c r="C218" s="2" t="s">
        <v>49</v>
      </c>
      <c r="D218" s="2" t="n">
        <v>0</v>
      </c>
      <c r="E218" s="2" t="n">
        <v>4</v>
      </c>
      <c r="F218" s="2" t="s">
        <v>50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n">
        <v>1</v>
      </c>
      <c r="N218" s="3" t="n">
        <v>0</v>
      </c>
      <c r="O218" s="3" t="n">
        <v>1</v>
      </c>
      <c r="P218" s="3" t="n">
        <v>1</v>
      </c>
      <c r="Q218" s="3" t="n">
        <v>1</v>
      </c>
      <c r="R218" s="3" t="n">
        <v>1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1</v>
      </c>
      <c r="X218" s="3" t="n">
        <v>0</v>
      </c>
      <c r="Y218" s="3" t="n">
        <v>1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1</v>
      </c>
      <c r="AI218" s="3" t="n">
        <v>1</v>
      </c>
      <c r="AJ218" s="4" t="n">
        <f aca="false">SUM(G218:AI218)</f>
        <v>10</v>
      </c>
      <c r="AK218" s="4" t="n">
        <f aca="false">ROUND(SUMPRODUCT(G218:AI218,Gene_Weights!$B$2:$AD$2),3)</f>
        <v>-10.22</v>
      </c>
      <c r="AL218" s="2" t="n">
        <v>7</v>
      </c>
      <c r="AM218" s="2" t="n">
        <v>4</v>
      </c>
      <c r="AN218" s="2" t="n">
        <v>57.14</v>
      </c>
      <c r="AO218" s="5" t="n">
        <v>55.12</v>
      </c>
      <c r="AP218" s="5" t="n">
        <v>56.02</v>
      </c>
      <c r="AQ218" s="5" t="n">
        <v>56.92</v>
      </c>
      <c r="AR218" s="5" t="n">
        <v>57.82</v>
      </c>
      <c r="AS218" s="5" t="n">
        <v>58.72</v>
      </c>
      <c r="AT218" s="5" t="n">
        <v>59.62</v>
      </c>
      <c r="AU218" s="5" t="n">
        <v>60.52</v>
      </c>
      <c r="AV218" s="5" t="s">
        <v>51</v>
      </c>
    </row>
    <row r="219" customFormat="false" ht="15" hidden="false" customHeight="false" outlineLevel="0" collapsed="false">
      <c r="A219" s="2" t="s">
        <v>92</v>
      </c>
      <c r="B219" s="2" t="n">
        <v>2019</v>
      </c>
      <c r="C219" s="2" t="s">
        <v>52</v>
      </c>
      <c r="D219" s="2" t="n">
        <v>1</v>
      </c>
      <c r="E219" s="2" t="n">
        <v>4</v>
      </c>
      <c r="F219" s="2" t="s">
        <v>50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  <c r="M219" s="3" t="n">
        <v>1</v>
      </c>
      <c r="N219" s="3" t="n">
        <v>0</v>
      </c>
      <c r="O219" s="3" t="n">
        <v>1</v>
      </c>
      <c r="P219" s="3" t="n">
        <v>1</v>
      </c>
      <c r="Q219" s="3" t="n">
        <v>1</v>
      </c>
      <c r="R219" s="3" t="n">
        <v>1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1</v>
      </c>
      <c r="X219" s="3" t="n">
        <v>0</v>
      </c>
      <c r="Y219" s="3" t="n">
        <v>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1</v>
      </c>
      <c r="AI219" s="3" t="n">
        <v>1</v>
      </c>
      <c r="AJ219" s="4" t="n">
        <f aca="false">SUM(G219:AI219)</f>
        <v>10</v>
      </c>
      <c r="AK219" s="4" t="n">
        <f aca="false">ROUND(SUMPRODUCT(G219:AI219,Gene_Weights!$B$2:$AD$2),3)</f>
        <v>-10.22</v>
      </c>
      <c r="AL219" s="2" t="n">
        <v>7</v>
      </c>
      <c r="AM219" s="2" t="n">
        <v>5</v>
      </c>
      <c r="AN219" s="2" t="n">
        <v>71.43</v>
      </c>
      <c r="AO219" s="5" t="n">
        <v>64.53</v>
      </c>
      <c r="AP219" s="5" t="n">
        <v>66.13</v>
      </c>
      <c r="AQ219" s="5" t="n">
        <v>67.73</v>
      </c>
      <c r="AR219" s="5" t="n">
        <v>69.33</v>
      </c>
      <c r="AS219" s="5" t="n">
        <v>70.93</v>
      </c>
      <c r="AT219" s="5" t="n">
        <v>72.53</v>
      </c>
      <c r="AU219" s="5" t="n">
        <v>74.13</v>
      </c>
      <c r="AV219" s="5" t="s">
        <v>51</v>
      </c>
    </row>
    <row r="220" customFormat="false" ht="15" hidden="false" customHeight="false" outlineLevel="0" collapsed="false">
      <c r="A220" s="2" t="s">
        <v>92</v>
      </c>
      <c r="B220" s="2" t="n">
        <v>2019</v>
      </c>
      <c r="C220" s="2" t="s">
        <v>53</v>
      </c>
      <c r="D220" s="2" t="n">
        <v>0</v>
      </c>
      <c r="E220" s="2" t="n">
        <v>4</v>
      </c>
      <c r="F220" s="2" t="s">
        <v>50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n">
        <v>1</v>
      </c>
      <c r="N220" s="3" t="n">
        <v>0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1</v>
      </c>
      <c r="X220" s="3" t="n">
        <v>0</v>
      </c>
      <c r="Y220" s="3" t="n">
        <v>1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1</v>
      </c>
      <c r="AI220" s="3" t="n">
        <v>1</v>
      </c>
      <c r="AJ220" s="4" t="n">
        <f aca="false">SUM(G220:AI220)</f>
        <v>10</v>
      </c>
      <c r="AK220" s="4" t="n">
        <f aca="false">ROUND(SUMPRODUCT(G220:AI220,Gene_Weights!$B$2:$AD$2),3)</f>
        <v>-10.22</v>
      </c>
      <c r="AL220" s="2" t="n">
        <v>7</v>
      </c>
      <c r="AM220" s="2" t="n">
        <v>2</v>
      </c>
      <c r="AN220" s="2" t="n">
        <v>28.57</v>
      </c>
      <c r="AO220" s="5" t="n">
        <v>52.86</v>
      </c>
      <c r="AP220" s="5" t="n">
        <v>53.65</v>
      </c>
      <c r="AQ220" s="5" t="n">
        <v>54.45</v>
      </c>
      <c r="AR220" s="5" t="n">
        <v>55.24</v>
      </c>
      <c r="AS220" s="5" t="n">
        <v>56.03</v>
      </c>
      <c r="AT220" s="5" t="n">
        <v>56.83</v>
      </c>
      <c r="AU220" s="5" t="n">
        <v>57.62</v>
      </c>
      <c r="AV220" s="5" t="s">
        <v>51</v>
      </c>
    </row>
    <row r="221" customFormat="false" ht="15" hidden="false" customHeight="false" outlineLevel="0" collapsed="false">
      <c r="A221" s="2" t="s">
        <v>92</v>
      </c>
      <c r="B221" s="2" t="n">
        <v>2019</v>
      </c>
      <c r="C221" s="2" t="s">
        <v>54</v>
      </c>
      <c r="D221" s="2" t="n">
        <v>1</v>
      </c>
      <c r="E221" s="2" t="n">
        <v>32</v>
      </c>
      <c r="F221" s="2" t="s">
        <v>50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1</v>
      </c>
      <c r="L221" s="3" t="n">
        <v>0</v>
      </c>
      <c r="M221" s="3" t="n">
        <v>1</v>
      </c>
      <c r="N221" s="3" t="n">
        <v>0</v>
      </c>
      <c r="O221" s="3" t="n">
        <v>1</v>
      </c>
      <c r="P221" s="3" t="n">
        <v>1</v>
      </c>
      <c r="Q221" s="3" t="n">
        <v>1</v>
      </c>
      <c r="R221" s="3" t="n">
        <v>1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1</v>
      </c>
      <c r="X221" s="3" t="n">
        <v>0</v>
      </c>
      <c r="Y221" s="3" t="n">
        <v>1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1</v>
      </c>
      <c r="AI221" s="3" t="n">
        <v>1</v>
      </c>
      <c r="AJ221" s="4" t="n">
        <f aca="false">SUM(G221:AI221)</f>
        <v>10</v>
      </c>
      <c r="AK221" s="4" t="n">
        <f aca="false">ROUND(SUMPRODUCT(G221:AI221,Gene_Weights!$B$2:$AD$2),3)</f>
        <v>-10.22</v>
      </c>
      <c r="AL221" s="2" t="n">
        <v>7</v>
      </c>
      <c r="AM221" s="2" t="n">
        <v>5</v>
      </c>
      <c r="AN221" s="2" t="n">
        <v>71.43</v>
      </c>
      <c r="AO221" s="5" t="n">
        <v>81.84</v>
      </c>
      <c r="AP221" s="5" t="n">
        <v>84.45</v>
      </c>
      <c r="AQ221" s="5" t="n">
        <v>87.06</v>
      </c>
      <c r="AR221" s="5" t="n">
        <v>89.67</v>
      </c>
      <c r="AS221" s="5" t="n">
        <v>92.27</v>
      </c>
      <c r="AT221" s="5" t="n">
        <v>94.88</v>
      </c>
      <c r="AU221" s="5" t="n">
        <v>97.49</v>
      </c>
      <c r="AV221" s="5" t="s">
        <v>51</v>
      </c>
    </row>
    <row r="222" customFormat="false" ht="15" hidden="false" customHeight="false" outlineLevel="0" collapsed="false">
      <c r="A222" s="2" t="s">
        <v>92</v>
      </c>
      <c r="B222" s="2" t="n">
        <v>2019</v>
      </c>
      <c r="C222" s="2" t="s">
        <v>55</v>
      </c>
      <c r="D222" s="2" t="n">
        <v>0</v>
      </c>
      <c r="E222" s="2" t="n">
        <v>32</v>
      </c>
      <c r="F222" s="2" t="s">
        <v>50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  <c r="M222" s="3" t="n">
        <v>1</v>
      </c>
      <c r="N222" s="3" t="n">
        <v>0</v>
      </c>
      <c r="O222" s="3" t="n">
        <v>1</v>
      </c>
      <c r="P222" s="3" t="n">
        <v>1</v>
      </c>
      <c r="Q222" s="3" t="n">
        <v>1</v>
      </c>
      <c r="R222" s="3" t="n">
        <v>1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1</v>
      </c>
      <c r="X222" s="3" t="n">
        <v>0</v>
      </c>
      <c r="Y222" s="3" t="n">
        <v>1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1</v>
      </c>
      <c r="AI222" s="3" t="n">
        <v>1</v>
      </c>
      <c r="AJ222" s="4" t="n">
        <f aca="false">SUM(G222:AI222)</f>
        <v>10</v>
      </c>
      <c r="AK222" s="4" t="n">
        <f aca="false">ROUND(SUMPRODUCT(G222:AI222,Gene_Weights!$B$2:$AD$2),3)</f>
        <v>-10.22</v>
      </c>
      <c r="AL222" s="2" t="n">
        <v>7</v>
      </c>
      <c r="AM222" s="2" t="n">
        <v>2</v>
      </c>
      <c r="AN222" s="2" t="n">
        <v>28.57</v>
      </c>
      <c r="AO222" s="5" t="n">
        <v>58.19</v>
      </c>
      <c r="AP222" s="5" t="n">
        <v>59.74</v>
      </c>
      <c r="AQ222" s="5" t="n">
        <v>61.3</v>
      </c>
      <c r="AR222" s="5" t="n">
        <v>62.86</v>
      </c>
      <c r="AS222" s="5" t="n">
        <v>64.42</v>
      </c>
      <c r="AT222" s="5" t="n">
        <v>65.98</v>
      </c>
      <c r="AU222" s="5" t="n">
        <v>67.53</v>
      </c>
      <c r="AV222" s="5" t="s">
        <v>51</v>
      </c>
    </row>
    <row r="223" customFormat="false" ht="15" hidden="false" customHeight="false" outlineLevel="0" collapsed="false">
      <c r="A223" s="2" t="s">
        <v>92</v>
      </c>
      <c r="B223" s="2" t="n">
        <v>2019</v>
      </c>
      <c r="C223" s="2" t="s">
        <v>56</v>
      </c>
      <c r="D223" s="2" t="n">
        <v>0</v>
      </c>
      <c r="E223" s="2" t="n">
        <v>32</v>
      </c>
      <c r="F223" s="2" t="s">
        <v>50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  <c r="M223" s="3" t="n">
        <v>1</v>
      </c>
      <c r="N223" s="3" t="n">
        <v>0</v>
      </c>
      <c r="O223" s="3" t="n">
        <v>1</v>
      </c>
      <c r="P223" s="3" t="n">
        <v>1</v>
      </c>
      <c r="Q223" s="3" t="n">
        <v>1</v>
      </c>
      <c r="R223" s="3" t="n">
        <v>1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1</v>
      </c>
      <c r="X223" s="3" t="n">
        <v>0</v>
      </c>
      <c r="Y223" s="3" t="n">
        <v>1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1</v>
      </c>
      <c r="AI223" s="3" t="n">
        <v>1</v>
      </c>
      <c r="AJ223" s="4" t="n">
        <f aca="false">SUM(G223:AI223)</f>
        <v>10</v>
      </c>
      <c r="AK223" s="4" t="n">
        <f aca="false">ROUND(SUMPRODUCT(G223:AI223,Gene_Weights!$B$2:$AD$2),3)</f>
        <v>-10.22</v>
      </c>
      <c r="AL223" s="2" t="n">
        <v>7</v>
      </c>
      <c r="AM223" s="2" t="n">
        <v>3</v>
      </c>
      <c r="AN223" s="2" t="n">
        <v>42.86</v>
      </c>
      <c r="AO223" s="5" t="n">
        <v>75.59</v>
      </c>
      <c r="AP223" s="5" t="n">
        <v>78.01</v>
      </c>
      <c r="AQ223" s="5" t="n">
        <v>80.42</v>
      </c>
      <c r="AR223" s="5" t="n">
        <v>82.83</v>
      </c>
      <c r="AS223" s="5" t="n">
        <v>85.24</v>
      </c>
      <c r="AT223" s="5" t="n">
        <v>87.66</v>
      </c>
      <c r="AU223" s="5" t="n">
        <v>90.07</v>
      </c>
      <c r="AV223" s="5" t="s">
        <v>51</v>
      </c>
    </row>
    <row r="224" customFormat="false" ht="15" hidden="false" customHeight="false" outlineLevel="0" collapsed="false">
      <c r="A224" s="2" t="s">
        <v>93</v>
      </c>
      <c r="B224" s="2" t="n">
        <v>2020</v>
      </c>
      <c r="C224" s="2" t="s">
        <v>49</v>
      </c>
      <c r="D224" s="2" t="n">
        <v>0</v>
      </c>
      <c r="E224" s="2" t="n">
        <v>32</v>
      </c>
      <c r="F224" s="2" t="s">
        <v>50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1</v>
      </c>
      <c r="L224" s="3" t="n">
        <v>1</v>
      </c>
      <c r="M224" s="3" t="n">
        <v>0</v>
      </c>
      <c r="N224" s="3" t="n">
        <v>0</v>
      </c>
      <c r="O224" s="3" t="n">
        <v>1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1</v>
      </c>
      <c r="U224" s="3" t="n">
        <v>1</v>
      </c>
      <c r="V224" s="3" t="n">
        <v>1</v>
      </c>
      <c r="W224" s="3" t="n">
        <v>1</v>
      </c>
      <c r="X224" s="3" t="n">
        <v>1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1</v>
      </c>
      <c r="AD224" s="3" t="n">
        <v>0</v>
      </c>
      <c r="AE224" s="3" t="n">
        <v>1</v>
      </c>
      <c r="AF224" s="3" t="n">
        <v>0</v>
      </c>
      <c r="AG224" s="3" t="n">
        <v>0</v>
      </c>
      <c r="AH224" s="3" t="n">
        <v>0</v>
      </c>
      <c r="AI224" s="3" t="n">
        <v>0</v>
      </c>
      <c r="AJ224" s="4" t="n">
        <f aca="false">SUM(G224:AI224)</f>
        <v>10</v>
      </c>
      <c r="AK224" s="4" t="n">
        <f aca="false">ROUND(SUMPRODUCT(G224:AI224,Gene_Weights!$B$2:$AD$2),3)</f>
        <v>-8.42</v>
      </c>
      <c r="AL224" s="2" t="n">
        <v>5</v>
      </c>
      <c r="AM224" s="2" t="n">
        <v>2</v>
      </c>
      <c r="AN224" s="2" t="n">
        <v>40</v>
      </c>
      <c r="AO224" s="5" t="n">
        <v>55.12</v>
      </c>
      <c r="AP224" s="5" t="n">
        <v>56.02</v>
      </c>
      <c r="AQ224" s="5" t="n">
        <v>56.92</v>
      </c>
      <c r="AR224" s="5" t="n">
        <v>57.82</v>
      </c>
      <c r="AS224" s="5" t="n">
        <v>58.72</v>
      </c>
      <c r="AT224" s="5" t="n">
        <v>59.62</v>
      </c>
      <c r="AU224" s="5" t="n">
        <v>60.52</v>
      </c>
      <c r="AV224" s="5" t="s">
        <v>51</v>
      </c>
    </row>
    <row r="225" customFormat="false" ht="15" hidden="false" customHeight="false" outlineLevel="0" collapsed="false">
      <c r="A225" s="2" t="s">
        <v>93</v>
      </c>
      <c r="B225" s="2" t="n">
        <v>2020</v>
      </c>
      <c r="C225" s="2" t="s">
        <v>52</v>
      </c>
      <c r="D225" s="2" t="n">
        <v>1</v>
      </c>
      <c r="E225" s="2" t="n">
        <v>16</v>
      </c>
      <c r="F225" s="2" t="s">
        <v>50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1</v>
      </c>
      <c r="M225" s="3" t="n">
        <v>0</v>
      </c>
      <c r="N225" s="3" t="n">
        <v>0</v>
      </c>
      <c r="O225" s="3" t="n">
        <v>1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1</v>
      </c>
      <c r="AD225" s="3" t="n">
        <v>0</v>
      </c>
      <c r="AE225" s="3" t="n">
        <v>1</v>
      </c>
      <c r="AF225" s="3" t="n">
        <v>0</v>
      </c>
      <c r="AG225" s="3" t="n">
        <v>0</v>
      </c>
      <c r="AH225" s="3" t="n">
        <v>0</v>
      </c>
      <c r="AI225" s="3" t="n">
        <v>0</v>
      </c>
      <c r="AJ225" s="4" t="n">
        <f aca="false">SUM(G225:AI225)</f>
        <v>10</v>
      </c>
      <c r="AK225" s="4" t="n">
        <f aca="false">ROUND(SUMPRODUCT(G225:AI225,Gene_Weights!$B$2:$AD$2),3)</f>
        <v>-8.42</v>
      </c>
      <c r="AL225" s="2" t="n">
        <v>5</v>
      </c>
      <c r="AM225" s="2" t="n">
        <v>4</v>
      </c>
      <c r="AN225" s="2" t="n">
        <v>80</v>
      </c>
      <c r="AO225" s="5" t="n">
        <v>64.53</v>
      </c>
      <c r="AP225" s="5" t="n">
        <v>66.13</v>
      </c>
      <c r="AQ225" s="5" t="n">
        <v>67.73</v>
      </c>
      <c r="AR225" s="5" t="n">
        <v>69.33</v>
      </c>
      <c r="AS225" s="5" t="n">
        <v>70.93</v>
      </c>
      <c r="AT225" s="5" t="n">
        <v>72.53</v>
      </c>
      <c r="AU225" s="5" t="n">
        <v>74.13</v>
      </c>
      <c r="AV225" s="5" t="s">
        <v>51</v>
      </c>
    </row>
    <row r="226" customFormat="false" ht="15" hidden="false" customHeight="false" outlineLevel="0" collapsed="false">
      <c r="A226" s="2" t="s">
        <v>93</v>
      </c>
      <c r="B226" s="2" t="n">
        <v>2020</v>
      </c>
      <c r="C226" s="2" t="s">
        <v>53</v>
      </c>
      <c r="D226" s="2" t="n">
        <v>0</v>
      </c>
      <c r="E226" s="2" t="n">
        <v>32</v>
      </c>
      <c r="F226" s="2" t="s">
        <v>50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1</v>
      </c>
      <c r="M226" s="3" t="n">
        <v>0</v>
      </c>
      <c r="N226" s="3" t="n">
        <v>0</v>
      </c>
      <c r="O226" s="3" t="n">
        <v>1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1</v>
      </c>
      <c r="U226" s="3" t="n">
        <v>1</v>
      </c>
      <c r="V226" s="3" t="n">
        <v>1</v>
      </c>
      <c r="W226" s="3" t="n">
        <v>1</v>
      </c>
      <c r="X226" s="3" t="n">
        <v>1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1</v>
      </c>
      <c r="AD226" s="3" t="n">
        <v>0</v>
      </c>
      <c r="AE226" s="3" t="n">
        <v>1</v>
      </c>
      <c r="AF226" s="3" t="n">
        <v>0</v>
      </c>
      <c r="AG226" s="3" t="n">
        <v>0</v>
      </c>
      <c r="AH226" s="3" t="n">
        <v>0</v>
      </c>
      <c r="AI226" s="3" t="n">
        <v>0</v>
      </c>
      <c r="AJ226" s="4" t="n">
        <f aca="false">SUM(G226:AI226)</f>
        <v>10</v>
      </c>
      <c r="AK226" s="4" t="n">
        <f aca="false">ROUND(SUMPRODUCT(G226:AI226,Gene_Weights!$B$2:$AD$2),3)</f>
        <v>-8.42</v>
      </c>
      <c r="AL226" s="2" t="n">
        <v>5</v>
      </c>
      <c r="AM226" s="2" t="n">
        <v>0</v>
      </c>
      <c r="AN226" s="2" t="n">
        <v>0</v>
      </c>
      <c r="AO226" s="5" t="n">
        <v>52.86</v>
      </c>
      <c r="AP226" s="5" t="n">
        <v>53.65</v>
      </c>
      <c r="AQ226" s="5" t="n">
        <v>54.45</v>
      </c>
      <c r="AR226" s="5" t="n">
        <v>55.24</v>
      </c>
      <c r="AS226" s="5" t="n">
        <v>56.03</v>
      </c>
      <c r="AT226" s="5" t="n">
        <v>56.83</v>
      </c>
      <c r="AU226" s="5" t="n">
        <v>57.62</v>
      </c>
      <c r="AV226" s="5" t="s">
        <v>51</v>
      </c>
    </row>
    <row r="227" customFormat="false" ht="15" hidden="false" customHeight="false" outlineLevel="0" collapsed="false">
      <c r="A227" s="2" t="s">
        <v>93</v>
      </c>
      <c r="B227" s="2" t="n">
        <v>2020</v>
      </c>
      <c r="C227" s="2" t="s">
        <v>54</v>
      </c>
      <c r="D227" s="2" t="n">
        <v>1</v>
      </c>
      <c r="E227" s="2" t="n">
        <v>32</v>
      </c>
      <c r="F227" s="2" t="s">
        <v>50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1</v>
      </c>
      <c r="M227" s="3" t="n">
        <v>0</v>
      </c>
      <c r="N227" s="3" t="n">
        <v>0</v>
      </c>
      <c r="O227" s="3" t="n">
        <v>1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  <c r="U227" s="3" t="n">
        <v>1</v>
      </c>
      <c r="V227" s="3" t="n">
        <v>1</v>
      </c>
      <c r="W227" s="3" t="n">
        <v>1</v>
      </c>
      <c r="X227" s="3" t="n">
        <v>1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1</v>
      </c>
      <c r="AD227" s="3" t="n">
        <v>0</v>
      </c>
      <c r="AE227" s="3" t="n">
        <v>1</v>
      </c>
      <c r="AF227" s="3" t="n">
        <v>0</v>
      </c>
      <c r="AG227" s="3" t="n">
        <v>0</v>
      </c>
      <c r="AH227" s="3" t="n">
        <v>0</v>
      </c>
      <c r="AI227" s="3" t="n">
        <v>0</v>
      </c>
      <c r="AJ227" s="4" t="n">
        <f aca="false">SUM(G227:AI227)</f>
        <v>10</v>
      </c>
      <c r="AK227" s="4" t="n">
        <f aca="false">ROUND(SUMPRODUCT(G227:AI227,Gene_Weights!$B$2:$AD$2),3)</f>
        <v>-8.42</v>
      </c>
      <c r="AL227" s="2" t="n">
        <v>5</v>
      </c>
      <c r="AM227" s="2" t="n">
        <v>3</v>
      </c>
      <c r="AN227" s="2" t="n">
        <v>60</v>
      </c>
      <c r="AO227" s="5" t="n">
        <v>81.84</v>
      </c>
      <c r="AP227" s="5" t="n">
        <v>84.45</v>
      </c>
      <c r="AQ227" s="5" t="n">
        <v>87.06</v>
      </c>
      <c r="AR227" s="5" t="n">
        <v>89.67</v>
      </c>
      <c r="AS227" s="5" t="n">
        <v>92.27</v>
      </c>
      <c r="AT227" s="5" t="n">
        <v>94.88</v>
      </c>
      <c r="AU227" s="5" t="n">
        <v>97.49</v>
      </c>
      <c r="AV227" s="5" t="s">
        <v>51</v>
      </c>
    </row>
    <row r="228" customFormat="false" ht="15" hidden="false" customHeight="false" outlineLevel="0" collapsed="false">
      <c r="A228" s="2" t="s">
        <v>93</v>
      </c>
      <c r="B228" s="2" t="n">
        <v>2020</v>
      </c>
      <c r="C228" s="2" t="s">
        <v>55</v>
      </c>
      <c r="D228" s="2" t="n">
        <v>1</v>
      </c>
      <c r="E228" s="2" t="n">
        <v>2</v>
      </c>
      <c r="F228" s="2" t="s">
        <v>50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1</v>
      </c>
      <c r="M228" s="3" t="n">
        <v>0</v>
      </c>
      <c r="N228" s="3" t="n">
        <v>0</v>
      </c>
      <c r="O228" s="3" t="n">
        <v>1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1</v>
      </c>
      <c r="U228" s="3" t="n">
        <v>1</v>
      </c>
      <c r="V228" s="3" t="n">
        <v>1</v>
      </c>
      <c r="W228" s="3" t="n">
        <v>1</v>
      </c>
      <c r="X228" s="3" t="n">
        <v>1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1</v>
      </c>
      <c r="AD228" s="3" t="n">
        <v>0</v>
      </c>
      <c r="AE228" s="3" t="n">
        <v>1</v>
      </c>
      <c r="AF228" s="3" t="n">
        <v>0</v>
      </c>
      <c r="AG228" s="3" t="n">
        <v>0</v>
      </c>
      <c r="AH228" s="3" t="n">
        <v>0</v>
      </c>
      <c r="AI228" s="3" t="n">
        <v>0</v>
      </c>
      <c r="AJ228" s="4" t="n">
        <f aca="false">SUM(G228:AI228)</f>
        <v>10</v>
      </c>
      <c r="AK228" s="4" t="n">
        <f aca="false">ROUND(SUMPRODUCT(G228:AI228,Gene_Weights!$B$2:$AD$2),3)</f>
        <v>-8.42</v>
      </c>
      <c r="AL228" s="2" t="n">
        <v>5</v>
      </c>
      <c r="AM228" s="2" t="n">
        <v>1</v>
      </c>
      <c r="AN228" s="2" t="n">
        <v>20</v>
      </c>
      <c r="AO228" s="5" t="n">
        <v>58.19</v>
      </c>
      <c r="AP228" s="5" t="n">
        <v>59.74</v>
      </c>
      <c r="AQ228" s="5" t="n">
        <v>61.3</v>
      </c>
      <c r="AR228" s="5" t="n">
        <v>62.86</v>
      </c>
      <c r="AS228" s="5" t="n">
        <v>64.42</v>
      </c>
      <c r="AT228" s="5" t="n">
        <v>65.98</v>
      </c>
      <c r="AU228" s="5" t="n">
        <v>67.53</v>
      </c>
      <c r="AV228" s="5" t="s">
        <v>51</v>
      </c>
    </row>
    <row r="229" customFormat="false" ht="15" hidden="false" customHeight="false" outlineLevel="0" collapsed="false">
      <c r="A229" s="2" t="s">
        <v>93</v>
      </c>
      <c r="B229" s="2" t="n">
        <v>2020</v>
      </c>
      <c r="C229" s="2" t="s">
        <v>56</v>
      </c>
      <c r="D229" s="2" t="n">
        <v>1</v>
      </c>
      <c r="E229" s="2" t="n">
        <v>2</v>
      </c>
      <c r="F229" s="2" t="s">
        <v>50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1</v>
      </c>
      <c r="M229" s="3" t="n">
        <v>0</v>
      </c>
      <c r="N229" s="3" t="n">
        <v>0</v>
      </c>
      <c r="O229" s="3" t="n">
        <v>1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1</v>
      </c>
      <c r="U229" s="3" t="n">
        <v>1</v>
      </c>
      <c r="V229" s="3" t="n">
        <v>1</v>
      </c>
      <c r="W229" s="3" t="n">
        <v>1</v>
      </c>
      <c r="X229" s="3" t="n">
        <v>1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1</v>
      </c>
      <c r="AD229" s="3" t="n">
        <v>0</v>
      </c>
      <c r="AE229" s="3" t="n">
        <v>1</v>
      </c>
      <c r="AF229" s="3" t="n">
        <v>0</v>
      </c>
      <c r="AG229" s="3" t="n">
        <v>0</v>
      </c>
      <c r="AH229" s="3" t="n">
        <v>0</v>
      </c>
      <c r="AI229" s="3" t="n">
        <v>0</v>
      </c>
      <c r="AJ229" s="4" t="n">
        <f aca="false">SUM(G229:AI229)</f>
        <v>10</v>
      </c>
      <c r="AK229" s="4" t="n">
        <f aca="false">ROUND(SUMPRODUCT(G229:AI229,Gene_Weights!$B$2:$AD$2),3)</f>
        <v>-8.42</v>
      </c>
      <c r="AL229" s="2" t="n">
        <v>5</v>
      </c>
      <c r="AM229" s="2" t="n">
        <v>4</v>
      </c>
      <c r="AN229" s="2" t="n">
        <v>80</v>
      </c>
      <c r="AO229" s="5" t="n">
        <v>75.59</v>
      </c>
      <c r="AP229" s="5" t="n">
        <v>78.01</v>
      </c>
      <c r="AQ229" s="5" t="n">
        <v>80.42</v>
      </c>
      <c r="AR229" s="5" t="n">
        <v>82.83</v>
      </c>
      <c r="AS229" s="5" t="n">
        <v>85.24</v>
      </c>
      <c r="AT229" s="5" t="n">
        <v>87.66</v>
      </c>
      <c r="AU229" s="5" t="n">
        <v>90.07</v>
      </c>
      <c r="AV229" s="5" t="s">
        <v>51</v>
      </c>
    </row>
    <row r="230" customFormat="false" ht="15" hidden="false" customHeight="false" outlineLevel="0" collapsed="false">
      <c r="A230" s="2" t="s">
        <v>94</v>
      </c>
      <c r="B230" s="2" t="n">
        <v>2009</v>
      </c>
      <c r="C230" s="2" t="s">
        <v>49</v>
      </c>
      <c r="D230" s="2" t="n">
        <v>0</v>
      </c>
      <c r="E230" s="2" t="n">
        <v>2</v>
      </c>
      <c r="F230" s="2" t="s">
        <v>50</v>
      </c>
      <c r="G230" s="3" t="n">
        <v>0</v>
      </c>
      <c r="H230" s="3" t="n">
        <v>1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</v>
      </c>
      <c r="R230" s="3" t="n">
        <v>0</v>
      </c>
      <c r="S230" s="3" t="n">
        <v>1</v>
      </c>
      <c r="T230" s="3" t="n">
        <v>0</v>
      </c>
      <c r="U230" s="3" t="n">
        <v>0</v>
      </c>
      <c r="V230" s="3" t="n">
        <v>1</v>
      </c>
      <c r="W230" s="3" t="n">
        <v>0</v>
      </c>
      <c r="X230" s="3" t="n">
        <v>1</v>
      </c>
      <c r="Y230" s="3" t="n">
        <v>0</v>
      </c>
      <c r="Z230" s="3" t="n">
        <v>0</v>
      </c>
      <c r="AA230" s="3" t="n">
        <v>0</v>
      </c>
      <c r="AB230" s="3" t="n">
        <v>1</v>
      </c>
      <c r="AC230" s="3" t="n">
        <v>0</v>
      </c>
      <c r="AD230" s="3" t="n">
        <v>1</v>
      </c>
      <c r="AE230" s="3" t="n">
        <v>1</v>
      </c>
      <c r="AF230" s="3" t="n">
        <v>0</v>
      </c>
      <c r="AG230" s="3" t="n">
        <v>0</v>
      </c>
      <c r="AH230" s="3" t="n">
        <v>1</v>
      </c>
      <c r="AI230" s="3" t="n">
        <v>1</v>
      </c>
      <c r="AJ230" s="4" t="n">
        <f aca="false">SUM(G230:AI230)</f>
        <v>10</v>
      </c>
      <c r="AK230" s="4" t="n">
        <f aca="false">ROUND(SUMPRODUCT(G230:AI230,Gene_Weights!$B$2:$AD$2),3)</f>
        <v>-5.71</v>
      </c>
      <c r="AL230" s="2" t="n">
        <v>12</v>
      </c>
      <c r="AM230" s="2" t="n">
        <v>4</v>
      </c>
      <c r="AN230" s="2" t="n">
        <v>33.33</v>
      </c>
      <c r="AO230" s="5" t="n">
        <v>55.12</v>
      </c>
      <c r="AP230" s="5" t="n">
        <v>56.02</v>
      </c>
      <c r="AQ230" s="5" t="n">
        <v>56.92</v>
      </c>
      <c r="AR230" s="5" t="n">
        <v>57.82</v>
      </c>
      <c r="AS230" s="5" t="n">
        <v>58.72</v>
      </c>
      <c r="AT230" s="5" t="n">
        <v>59.62</v>
      </c>
      <c r="AU230" s="5" t="n">
        <v>60.52</v>
      </c>
      <c r="AV230" s="5" t="s">
        <v>51</v>
      </c>
    </row>
    <row r="231" customFormat="false" ht="15" hidden="false" customHeight="false" outlineLevel="0" collapsed="false">
      <c r="A231" s="2" t="s">
        <v>94</v>
      </c>
      <c r="B231" s="2" t="n">
        <v>2009</v>
      </c>
      <c r="C231" s="2" t="s">
        <v>52</v>
      </c>
      <c r="D231" s="2" t="n">
        <v>0</v>
      </c>
      <c r="E231" s="2" t="n">
        <v>16</v>
      </c>
      <c r="F231" s="2" t="s">
        <v>50</v>
      </c>
      <c r="G231" s="3" t="n">
        <v>0</v>
      </c>
      <c r="H231" s="3" t="n">
        <v>1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1</v>
      </c>
      <c r="R231" s="3" t="n">
        <v>0</v>
      </c>
      <c r="S231" s="3" t="n">
        <v>1</v>
      </c>
      <c r="T231" s="3" t="n">
        <v>0</v>
      </c>
      <c r="U231" s="3" t="n">
        <v>0</v>
      </c>
      <c r="V231" s="3" t="n">
        <v>1</v>
      </c>
      <c r="W231" s="3" t="n">
        <v>0</v>
      </c>
      <c r="X231" s="3" t="n">
        <v>1</v>
      </c>
      <c r="Y231" s="3" t="n">
        <v>0</v>
      </c>
      <c r="Z231" s="3" t="n">
        <v>0</v>
      </c>
      <c r="AA231" s="3" t="n">
        <v>0</v>
      </c>
      <c r="AB231" s="3" t="n">
        <v>1</v>
      </c>
      <c r="AC231" s="3" t="n">
        <v>0</v>
      </c>
      <c r="AD231" s="3" t="n">
        <v>1</v>
      </c>
      <c r="AE231" s="3" t="n">
        <v>1</v>
      </c>
      <c r="AF231" s="3" t="n">
        <v>0</v>
      </c>
      <c r="AG231" s="3" t="n">
        <v>0</v>
      </c>
      <c r="AH231" s="3" t="n">
        <v>1</v>
      </c>
      <c r="AI231" s="3" t="n">
        <v>1</v>
      </c>
      <c r="AJ231" s="4" t="n">
        <f aca="false">SUM(G231:AI231)</f>
        <v>10</v>
      </c>
      <c r="AK231" s="4" t="n">
        <f aca="false">ROUND(SUMPRODUCT(G231:AI231,Gene_Weights!$B$2:$AD$2),3)</f>
        <v>-5.71</v>
      </c>
      <c r="AL231" s="2" t="n">
        <v>12</v>
      </c>
      <c r="AM231" s="2" t="n">
        <v>3</v>
      </c>
      <c r="AN231" s="2" t="n">
        <v>25</v>
      </c>
      <c r="AO231" s="5" t="n">
        <v>64.53</v>
      </c>
      <c r="AP231" s="5" t="n">
        <v>66.13</v>
      </c>
      <c r="AQ231" s="5" t="n">
        <v>67.73</v>
      </c>
      <c r="AR231" s="5" t="n">
        <v>69.33</v>
      </c>
      <c r="AS231" s="5" t="n">
        <v>70.93</v>
      </c>
      <c r="AT231" s="5" t="n">
        <v>72.53</v>
      </c>
      <c r="AU231" s="5" t="n">
        <v>74.13</v>
      </c>
      <c r="AV231" s="5" t="s">
        <v>51</v>
      </c>
    </row>
    <row r="232" customFormat="false" ht="15" hidden="false" customHeight="false" outlineLevel="0" collapsed="false">
      <c r="A232" s="2" t="s">
        <v>94</v>
      </c>
      <c r="B232" s="2" t="n">
        <v>2009</v>
      </c>
      <c r="C232" s="2" t="s">
        <v>53</v>
      </c>
      <c r="D232" s="2" t="n">
        <v>1</v>
      </c>
      <c r="E232" s="2" t="n">
        <v>2</v>
      </c>
      <c r="F232" s="2" t="s">
        <v>50</v>
      </c>
      <c r="G232" s="3" t="n">
        <v>0</v>
      </c>
      <c r="H232" s="3" t="n">
        <v>1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1</v>
      </c>
      <c r="R232" s="3" t="n">
        <v>0</v>
      </c>
      <c r="S232" s="3" t="n">
        <v>1</v>
      </c>
      <c r="T232" s="3" t="n">
        <v>0</v>
      </c>
      <c r="U232" s="3" t="n">
        <v>0</v>
      </c>
      <c r="V232" s="3" t="n">
        <v>1</v>
      </c>
      <c r="W232" s="3" t="n">
        <v>0</v>
      </c>
      <c r="X232" s="3" t="n">
        <v>1</v>
      </c>
      <c r="Y232" s="3" t="n">
        <v>0</v>
      </c>
      <c r="Z232" s="3" t="n">
        <v>0</v>
      </c>
      <c r="AA232" s="3" t="n">
        <v>0</v>
      </c>
      <c r="AB232" s="3" t="n">
        <v>1</v>
      </c>
      <c r="AC232" s="3" t="n">
        <v>0</v>
      </c>
      <c r="AD232" s="3" t="n">
        <v>1</v>
      </c>
      <c r="AE232" s="3" t="n">
        <v>1</v>
      </c>
      <c r="AF232" s="3" t="n">
        <v>0</v>
      </c>
      <c r="AG232" s="3" t="n">
        <v>0</v>
      </c>
      <c r="AH232" s="3" t="n">
        <v>1</v>
      </c>
      <c r="AI232" s="3" t="n">
        <v>1</v>
      </c>
      <c r="AJ232" s="4" t="n">
        <f aca="false">SUM(G232:AI232)</f>
        <v>10</v>
      </c>
      <c r="AK232" s="4" t="n">
        <f aca="false">ROUND(SUMPRODUCT(G232:AI232,Gene_Weights!$B$2:$AD$2),3)</f>
        <v>-5.71</v>
      </c>
      <c r="AL232" s="2" t="n">
        <v>12</v>
      </c>
      <c r="AM232" s="2" t="n">
        <v>9</v>
      </c>
      <c r="AN232" s="2" t="n">
        <v>75</v>
      </c>
      <c r="AO232" s="5" t="n">
        <v>52.86</v>
      </c>
      <c r="AP232" s="5" t="n">
        <v>53.65</v>
      </c>
      <c r="AQ232" s="5" t="n">
        <v>54.45</v>
      </c>
      <c r="AR232" s="5" t="n">
        <v>55.24</v>
      </c>
      <c r="AS232" s="5" t="n">
        <v>56.03</v>
      </c>
      <c r="AT232" s="5" t="n">
        <v>56.83</v>
      </c>
      <c r="AU232" s="5" t="n">
        <v>57.62</v>
      </c>
      <c r="AV232" s="5" t="s">
        <v>51</v>
      </c>
    </row>
    <row r="233" customFormat="false" ht="15" hidden="false" customHeight="false" outlineLevel="0" collapsed="false">
      <c r="A233" s="2" t="s">
        <v>94</v>
      </c>
      <c r="B233" s="2" t="n">
        <v>2009</v>
      </c>
      <c r="C233" s="2" t="s">
        <v>54</v>
      </c>
      <c r="D233" s="2" t="n">
        <v>1</v>
      </c>
      <c r="E233" s="2" t="n">
        <v>4</v>
      </c>
      <c r="F233" s="2" t="s">
        <v>50</v>
      </c>
      <c r="G233" s="3" t="n">
        <v>0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1</v>
      </c>
      <c r="R233" s="3" t="n">
        <v>0</v>
      </c>
      <c r="S233" s="3" t="n">
        <v>1</v>
      </c>
      <c r="T233" s="3" t="n">
        <v>0</v>
      </c>
      <c r="U233" s="3" t="n">
        <v>0</v>
      </c>
      <c r="V233" s="3" t="n">
        <v>1</v>
      </c>
      <c r="W233" s="3" t="n">
        <v>0</v>
      </c>
      <c r="X233" s="3" t="n">
        <v>1</v>
      </c>
      <c r="Y233" s="3" t="n">
        <v>0</v>
      </c>
      <c r="Z233" s="3" t="n">
        <v>0</v>
      </c>
      <c r="AA233" s="3" t="n">
        <v>0</v>
      </c>
      <c r="AB233" s="3" t="n">
        <v>1</v>
      </c>
      <c r="AC233" s="3" t="n">
        <v>0</v>
      </c>
      <c r="AD233" s="3" t="n">
        <v>1</v>
      </c>
      <c r="AE233" s="3" t="n">
        <v>1</v>
      </c>
      <c r="AF233" s="3" t="n">
        <v>0</v>
      </c>
      <c r="AG233" s="3" t="n">
        <v>0</v>
      </c>
      <c r="AH233" s="3" t="n">
        <v>1</v>
      </c>
      <c r="AI233" s="3" t="n">
        <v>1</v>
      </c>
      <c r="AJ233" s="4" t="n">
        <f aca="false">SUM(G233:AI233)</f>
        <v>10</v>
      </c>
      <c r="AK233" s="4" t="n">
        <f aca="false">ROUND(SUMPRODUCT(G233:AI233,Gene_Weights!$B$2:$AD$2),3)</f>
        <v>-5.71</v>
      </c>
      <c r="AL233" s="2" t="n">
        <v>12</v>
      </c>
      <c r="AM233" s="2" t="n">
        <v>8</v>
      </c>
      <c r="AN233" s="2" t="n">
        <v>66.67</v>
      </c>
      <c r="AO233" s="5" t="n">
        <v>81.84</v>
      </c>
      <c r="AP233" s="5" t="n">
        <v>84.45</v>
      </c>
      <c r="AQ233" s="5" t="n">
        <v>87.06</v>
      </c>
      <c r="AR233" s="5" t="n">
        <v>89.67</v>
      </c>
      <c r="AS233" s="5" t="n">
        <v>92.27</v>
      </c>
      <c r="AT233" s="5" t="n">
        <v>94.88</v>
      </c>
      <c r="AU233" s="5" t="n">
        <v>97.49</v>
      </c>
      <c r="AV233" s="5" t="s">
        <v>51</v>
      </c>
    </row>
    <row r="234" customFormat="false" ht="15" hidden="false" customHeight="false" outlineLevel="0" collapsed="false">
      <c r="A234" s="2" t="s">
        <v>94</v>
      </c>
      <c r="B234" s="2" t="n">
        <v>2009</v>
      </c>
      <c r="C234" s="2" t="s">
        <v>55</v>
      </c>
      <c r="D234" s="2" t="n">
        <v>1</v>
      </c>
      <c r="E234" s="2" t="n">
        <v>16</v>
      </c>
      <c r="F234" s="2" t="s">
        <v>50</v>
      </c>
      <c r="G234" s="3" t="n">
        <v>0</v>
      </c>
      <c r="H234" s="3" t="n">
        <v>1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1</v>
      </c>
      <c r="R234" s="3" t="n">
        <v>0</v>
      </c>
      <c r="S234" s="3" t="n">
        <v>1</v>
      </c>
      <c r="T234" s="3" t="n">
        <v>0</v>
      </c>
      <c r="U234" s="3" t="n">
        <v>0</v>
      </c>
      <c r="V234" s="3" t="n">
        <v>1</v>
      </c>
      <c r="W234" s="3" t="n">
        <v>0</v>
      </c>
      <c r="X234" s="3" t="n">
        <v>1</v>
      </c>
      <c r="Y234" s="3" t="n">
        <v>0</v>
      </c>
      <c r="Z234" s="3" t="n">
        <v>0</v>
      </c>
      <c r="AA234" s="3" t="n">
        <v>0</v>
      </c>
      <c r="AB234" s="3" t="n">
        <v>1</v>
      </c>
      <c r="AC234" s="3" t="n">
        <v>0</v>
      </c>
      <c r="AD234" s="3" t="n">
        <v>1</v>
      </c>
      <c r="AE234" s="3" t="n">
        <v>1</v>
      </c>
      <c r="AF234" s="3" t="n">
        <v>0</v>
      </c>
      <c r="AG234" s="3" t="n">
        <v>0</v>
      </c>
      <c r="AH234" s="3" t="n">
        <v>1</v>
      </c>
      <c r="AI234" s="3" t="n">
        <v>1</v>
      </c>
      <c r="AJ234" s="4" t="n">
        <f aca="false">SUM(G234:AI234)</f>
        <v>10</v>
      </c>
      <c r="AK234" s="4" t="n">
        <f aca="false">ROUND(SUMPRODUCT(G234:AI234,Gene_Weights!$B$2:$AD$2),3)</f>
        <v>-5.71</v>
      </c>
      <c r="AL234" s="2" t="n">
        <v>12</v>
      </c>
      <c r="AM234" s="2" t="n">
        <v>2</v>
      </c>
      <c r="AN234" s="2" t="n">
        <v>16.67</v>
      </c>
      <c r="AO234" s="5" t="n">
        <v>58.19</v>
      </c>
      <c r="AP234" s="5" t="n">
        <v>59.74</v>
      </c>
      <c r="AQ234" s="5" t="n">
        <v>61.3</v>
      </c>
      <c r="AR234" s="5" t="n">
        <v>62.86</v>
      </c>
      <c r="AS234" s="5" t="n">
        <v>64.42</v>
      </c>
      <c r="AT234" s="5" t="n">
        <v>65.98</v>
      </c>
      <c r="AU234" s="5" t="n">
        <v>67.53</v>
      </c>
      <c r="AV234" s="5" t="s">
        <v>51</v>
      </c>
    </row>
    <row r="235" customFormat="false" ht="15" hidden="false" customHeight="false" outlineLevel="0" collapsed="false">
      <c r="A235" s="2" t="s">
        <v>94</v>
      </c>
      <c r="B235" s="2" t="n">
        <v>2009</v>
      </c>
      <c r="C235" s="2" t="s">
        <v>56</v>
      </c>
      <c r="D235" s="2" t="n">
        <v>0</v>
      </c>
      <c r="E235" s="2" t="n">
        <v>16</v>
      </c>
      <c r="F235" s="2" t="s">
        <v>50</v>
      </c>
      <c r="G235" s="3" t="n">
        <v>0</v>
      </c>
      <c r="H235" s="3" t="n">
        <v>1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1</v>
      </c>
      <c r="R235" s="3" t="n">
        <v>0</v>
      </c>
      <c r="S235" s="3" t="n">
        <v>1</v>
      </c>
      <c r="T235" s="3" t="n">
        <v>0</v>
      </c>
      <c r="U235" s="3" t="n">
        <v>0</v>
      </c>
      <c r="V235" s="3" t="n">
        <v>1</v>
      </c>
      <c r="W235" s="3" t="n">
        <v>0</v>
      </c>
      <c r="X235" s="3" t="n">
        <v>1</v>
      </c>
      <c r="Y235" s="3" t="n">
        <v>0</v>
      </c>
      <c r="Z235" s="3" t="n">
        <v>0</v>
      </c>
      <c r="AA235" s="3" t="n">
        <v>0</v>
      </c>
      <c r="AB235" s="3" t="n">
        <v>1</v>
      </c>
      <c r="AC235" s="3" t="n">
        <v>0</v>
      </c>
      <c r="AD235" s="3" t="n">
        <v>1</v>
      </c>
      <c r="AE235" s="3" t="n">
        <v>1</v>
      </c>
      <c r="AF235" s="3" t="n">
        <v>0</v>
      </c>
      <c r="AG235" s="3" t="n">
        <v>0</v>
      </c>
      <c r="AH235" s="3" t="n">
        <v>1</v>
      </c>
      <c r="AI235" s="3" t="n">
        <v>1</v>
      </c>
      <c r="AJ235" s="4" t="n">
        <f aca="false">SUM(G235:AI235)</f>
        <v>10</v>
      </c>
      <c r="AK235" s="4" t="n">
        <f aca="false">ROUND(SUMPRODUCT(G235:AI235,Gene_Weights!$B$2:$AD$2),3)</f>
        <v>-5.71</v>
      </c>
      <c r="AL235" s="2" t="n">
        <v>12</v>
      </c>
      <c r="AM235" s="2" t="n">
        <v>4</v>
      </c>
      <c r="AN235" s="2" t="n">
        <v>33.33</v>
      </c>
      <c r="AO235" s="5" t="n">
        <v>75.59</v>
      </c>
      <c r="AP235" s="5" t="n">
        <v>78.01</v>
      </c>
      <c r="AQ235" s="5" t="n">
        <v>80.42</v>
      </c>
      <c r="AR235" s="5" t="n">
        <v>82.83</v>
      </c>
      <c r="AS235" s="5" t="n">
        <v>85.24</v>
      </c>
      <c r="AT235" s="5" t="n">
        <v>87.66</v>
      </c>
      <c r="AU235" s="5" t="n">
        <v>90.07</v>
      </c>
      <c r="AV235" s="5" t="s">
        <v>51</v>
      </c>
    </row>
    <row r="236" customFormat="false" ht="15" hidden="false" customHeight="false" outlineLevel="0" collapsed="false">
      <c r="A236" s="2" t="s">
        <v>95</v>
      </c>
      <c r="B236" s="2" t="n">
        <v>2014</v>
      </c>
      <c r="C236" s="2" t="s">
        <v>49</v>
      </c>
      <c r="D236" s="2" t="n">
        <v>0</v>
      </c>
      <c r="E236" s="2" t="n">
        <v>2</v>
      </c>
      <c r="F236" s="2" t="s">
        <v>50</v>
      </c>
      <c r="G236" s="3" t="n">
        <v>0</v>
      </c>
      <c r="H236" s="3" t="n">
        <v>0</v>
      </c>
      <c r="I236" s="3" t="n">
        <v>1</v>
      </c>
      <c r="J236" s="3" t="n">
        <v>0</v>
      </c>
      <c r="K236" s="3" t="n">
        <v>0</v>
      </c>
      <c r="L236" s="3" t="n">
        <v>1</v>
      </c>
      <c r="M236" s="3" t="n">
        <v>0</v>
      </c>
      <c r="N236" s="3" t="n">
        <v>0</v>
      </c>
      <c r="O236" s="3" t="n">
        <v>0</v>
      </c>
      <c r="P236" s="3" t="n">
        <v>1</v>
      </c>
      <c r="Q236" s="3" t="n">
        <v>0</v>
      </c>
      <c r="R236" s="3" t="n">
        <v>0</v>
      </c>
      <c r="S236" s="3" t="n">
        <v>1</v>
      </c>
      <c r="T236" s="3" t="n">
        <v>0</v>
      </c>
      <c r="U236" s="3" t="n">
        <v>0</v>
      </c>
      <c r="V236" s="3" t="n">
        <v>1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4" t="n">
        <f aca="false">SUM(G236:AI236)</f>
        <v>5</v>
      </c>
      <c r="AK236" s="4" t="n">
        <f aca="false">ROUND(SUMPRODUCT(G236:AI236,Gene_Weights!$B$2:$AD$2),3)</f>
        <v>-3.12</v>
      </c>
      <c r="AL236" s="2" t="n">
        <v>8</v>
      </c>
      <c r="AM236" s="2" t="n">
        <v>3</v>
      </c>
      <c r="AN236" s="2" t="n">
        <v>37.5</v>
      </c>
      <c r="AO236" s="5" t="n">
        <v>55.12</v>
      </c>
      <c r="AP236" s="5" t="n">
        <v>56.02</v>
      </c>
      <c r="AQ236" s="5" t="n">
        <v>56.92</v>
      </c>
      <c r="AR236" s="5" t="n">
        <v>57.82</v>
      </c>
      <c r="AS236" s="5" t="n">
        <v>58.72</v>
      </c>
      <c r="AT236" s="5" t="n">
        <v>59.62</v>
      </c>
      <c r="AU236" s="5" t="n">
        <v>60.52</v>
      </c>
      <c r="AV236" s="5" t="s">
        <v>51</v>
      </c>
    </row>
    <row r="237" customFormat="false" ht="15" hidden="false" customHeight="false" outlineLevel="0" collapsed="false">
      <c r="A237" s="2" t="s">
        <v>95</v>
      </c>
      <c r="B237" s="2" t="n">
        <v>2014</v>
      </c>
      <c r="C237" s="2" t="s">
        <v>52</v>
      </c>
      <c r="D237" s="2" t="n">
        <v>0</v>
      </c>
      <c r="E237" s="2" t="n">
        <v>4</v>
      </c>
      <c r="F237" s="2" t="s">
        <v>50</v>
      </c>
      <c r="G237" s="3" t="n">
        <v>0</v>
      </c>
      <c r="H237" s="3" t="n">
        <v>0</v>
      </c>
      <c r="I237" s="3" t="n">
        <v>1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0</v>
      </c>
      <c r="O237" s="3" t="n">
        <v>0</v>
      </c>
      <c r="P237" s="3" t="n">
        <v>1</v>
      </c>
      <c r="Q237" s="3" t="n">
        <v>0</v>
      </c>
      <c r="R237" s="3" t="n">
        <v>0</v>
      </c>
      <c r="S237" s="3" t="n">
        <v>1</v>
      </c>
      <c r="T237" s="3" t="n">
        <v>0</v>
      </c>
      <c r="U237" s="3" t="n">
        <v>0</v>
      </c>
      <c r="V237" s="3" t="n">
        <v>1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4" t="n">
        <f aca="false">SUM(G237:AI237)</f>
        <v>5</v>
      </c>
      <c r="AK237" s="4" t="n">
        <f aca="false">ROUND(SUMPRODUCT(G237:AI237,Gene_Weights!$B$2:$AD$2),3)</f>
        <v>-3.12</v>
      </c>
      <c r="AL237" s="2" t="n">
        <v>8</v>
      </c>
      <c r="AM237" s="2" t="n">
        <v>4</v>
      </c>
      <c r="AN237" s="2" t="n">
        <v>50</v>
      </c>
      <c r="AO237" s="5" t="n">
        <v>64.53</v>
      </c>
      <c r="AP237" s="5" t="n">
        <v>66.13</v>
      </c>
      <c r="AQ237" s="5" t="n">
        <v>67.73</v>
      </c>
      <c r="AR237" s="5" t="n">
        <v>69.33</v>
      </c>
      <c r="AS237" s="5" t="n">
        <v>70.93</v>
      </c>
      <c r="AT237" s="5" t="n">
        <v>72.53</v>
      </c>
      <c r="AU237" s="5" t="n">
        <v>74.13</v>
      </c>
      <c r="AV237" s="5" t="s">
        <v>51</v>
      </c>
    </row>
    <row r="238" customFormat="false" ht="15" hidden="false" customHeight="false" outlineLevel="0" collapsed="false">
      <c r="A238" s="2" t="s">
        <v>95</v>
      </c>
      <c r="B238" s="2" t="n">
        <v>2014</v>
      </c>
      <c r="C238" s="2" t="s">
        <v>53</v>
      </c>
      <c r="D238" s="2" t="n">
        <v>1</v>
      </c>
      <c r="E238" s="2" t="n">
        <v>16</v>
      </c>
      <c r="F238" s="2" t="s">
        <v>50</v>
      </c>
      <c r="G238" s="3" t="n">
        <v>0</v>
      </c>
      <c r="H238" s="3" t="n">
        <v>0</v>
      </c>
      <c r="I238" s="3" t="n">
        <v>1</v>
      </c>
      <c r="J238" s="3" t="n">
        <v>0</v>
      </c>
      <c r="K238" s="3" t="n">
        <v>0</v>
      </c>
      <c r="L238" s="3" t="n">
        <v>1</v>
      </c>
      <c r="M238" s="3" t="n">
        <v>0</v>
      </c>
      <c r="N238" s="3" t="n">
        <v>0</v>
      </c>
      <c r="O238" s="3" t="n">
        <v>0</v>
      </c>
      <c r="P238" s="3" t="n">
        <v>1</v>
      </c>
      <c r="Q238" s="3" t="n">
        <v>0</v>
      </c>
      <c r="R238" s="3" t="n">
        <v>0</v>
      </c>
      <c r="S238" s="3" t="n">
        <v>1</v>
      </c>
      <c r="T238" s="3" t="n">
        <v>0</v>
      </c>
      <c r="U238" s="3" t="n">
        <v>0</v>
      </c>
      <c r="V238" s="3" t="n">
        <v>1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4" t="n">
        <f aca="false">SUM(G238:AI238)</f>
        <v>5</v>
      </c>
      <c r="AK238" s="4" t="n">
        <f aca="false">ROUND(SUMPRODUCT(G238:AI238,Gene_Weights!$B$2:$AD$2),3)</f>
        <v>-3.12</v>
      </c>
      <c r="AL238" s="2" t="n">
        <v>8</v>
      </c>
      <c r="AM238" s="2" t="n">
        <v>2</v>
      </c>
      <c r="AN238" s="2" t="n">
        <v>25</v>
      </c>
      <c r="AO238" s="5" t="n">
        <v>52.86</v>
      </c>
      <c r="AP238" s="5" t="n">
        <v>53.65</v>
      </c>
      <c r="AQ238" s="5" t="n">
        <v>54.45</v>
      </c>
      <c r="AR238" s="5" t="n">
        <v>55.24</v>
      </c>
      <c r="AS238" s="5" t="n">
        <v>56.03</v>
      </c>
      <c r="AT238" s="5" t="n">
        <v>56.83</v>
      </c>
      <c r="AU238" s="5" t="n">
        <v>57.62</v>
      </c>
      <c r="AV238" s="5" t="s">
        <v>51</v>
      </c>
    </row>
    <row r="239" customFormat="false" ht="15" hidden="false" customHeight="false" outlineLevel="0" collapsed="false">
      <c r="A239" s="2" t="s">
        <v>95</v>
      </c>
      <c r="B239" s="2" t="n">
        <v>2014</v>
      </c>
      <c r="C239" s="2" t="s">
        <v>54</v>
      </c>
      <c r="D239" s="2" t="n">
        <v>1</v>
      </c>
      <c r="E239" s="2" t="n">
        <v>32</v>
      </c>
      <c r="F239" s="2" t="s">
        <v>50</v>
      </c>
      <c r="G239" s="3" t="n">
        <v>0</v>
      </c>
      <c r="H239" s="3" t="n">
        <v>0</v>
      </c>
      <c r="I239" s="3" t="n">
        <v>1</v>
      </c>
      <c r="J239" s="3" t="n">
        <v>0</v>
      </c>
      <c r="K239" s="3" t="n">
        <v>0</v>
      </c>
      <c r="L239" s="3" t="n">
        <v>1</v>
      </c>
      <c r="M239" s="3" t="n">
        <v>0</v>
      </c>
      <c r="N239" s="3" t="n">
        <v>0</v>
      </c>
      <c r="O239" s="3" t="n">
        <v>0</v>
      </c>
      <c r="P239" s="3" t="n">
        <v>1</v>
      </c>
      <c r="Q239" s="3" t="n">
        <v>0</v>
      </c>
      <c r="R239" s="3" t="n">
        <v>0</v>
      </c>
      <c r="S239" s="3" t="n">
        <v>1</v>
      </c>
      <c r="T239" s="3" t="n">
        <v>0</v>
      </c>
      <c r="U239" s="3" t="n">
        <v>0</v>
      </c>
      <c r="V239" s="3" t="n">
        <v>1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4" t="n">
        <f aca="false">SUM(G239:AI239)</f>
        <v>5</v>
      </c>
      <c r="AK239" s="4" t="n">
        <f aca="false">ROUND(SUMPRODUCT(G239:AI239,Gene_Weights!$B$2:$AD$2),3)</f>
        <v>-3.12</v>
      </c>
      <c r="AL239" s="2" t="n">
        <v>8</v>
      </c>
      <c r="AM239" s="2" t="n">
        <v>5</v>
      </c>
      <c r="AN239" s="2" t="n">
        <v>62.5</v>
      </c>
      <c r="AO239" s="5" t="n">
        <v>81.84</v>
      </c>
      <c r="AP239" s="5" t="n">
        <v>84.45</v>
      </c>
      <c r="AQ239" s="5" t="n">
        <v>87.06</v>
      </c>
      <c r="AR239" s="5" t="n">
        <v>89.67</v>
      </c>
      <c r="AS239" s="5" t="n">
        <v>92.27</v>
      </c>
      <c r="AT239" s="5" t="n">
        <v>94.88</v>
      </c>
      <c r="AU239" s="5" t="n">
        <v>97.49</v>
      </c>
      <c r="AV239" s="5" t="s">
        <v>51</v>
      </c>
    </row>
    <row r="240" customFormat="false" ht="15" hidden="false" customHeight="false" outlineLevel="0" collapsed="false">
      <c r="A240" s="2" t="s">
        <v>95</v>
      </c>
      <c r="B240" s="2" t="n">
        <v>2014</v>
      </c>
      <c r="C240" s="2" t="s">
        <v>55</v>
      </c>
      <c r="D240" s="2" t="n">
        <v>0</v>
      </c>
      <c r="E240" s="2" t="n">
        <v>4</v>
      </c>
      <c r="F240" s="2" t="s">
        <v>50</v>
      </c>
      <c r="G240" s="3" t="n">
        <v>0</v>
      </c>
      <c r="H240" s="3" t="n">
        <v>0</v>
      </c>
      <c r="I240" s="3" t="n">
        <v>1</v>
      </c>
      <c r="J240" s="3" t="n">
        <v>0</v>
      </c>
      <c r="K240" s="3" t="n">
        <v>0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1</v>
      </c>
      <c r="Q240" s="3" t="n">
        <v>0</v>
      </c>
      <c r="R240" s="3" t="n">
        <v>0</v>
      </c>
      <c r="S240" s="3" t="n">
        <v>1</v>
      </c>
      <c r="T240" s="3" t="n">
        <v>0</v>
      </c>
      <c r="U240" s="3" t="n">
        <v>0</v>
      </c>
      <c r="V240" s="3" t="n">
        <v>1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4" t="n">
        <f aca="false">SUM(G240:AI240)</f>
        <v>5</v>
      </c>
      <c r="AK240" s="4" t="n">
        <f aca="false">ROUND(SUMPRODUCT(G240:AI240,Gene_Weights!$B$2:$AD$2),3)</f>
        <v>-3.12</v>
      </c>
      <c r="AL240" s="2" t="n">
        <v>8</v>
      </c>
      <c r="AM240" s="2" t="n">
        <v>3</v>
      </c>
      <c r="AN240" s="2" t="n">
        <v>37.5</v>
      </c>
      <c r="AO240" s="5" t="n">
        <v>58.19</v>
      </c>
      <c r="AP240" s="5" t="n">
        <v>59.74</v>
      </c>
      <c r="AQ240" s="5" t="n">
        <v>61.3</v>
      </c>
      <c r="AR240" s="5" t="n">
        <v>62.86</v>
      </c>
      <c r="AS240" s="5" t="n">
        <v>64.42</v>
      </c>
      <c r="AT240" s="5" t="n">
        <v>65.98</v>
      </c>
      <c r="AU240" s="5" t="n">
        <v>67.53</v>
      </c>
      <c r="AV240" s="5" t="s">
        <v>51</v>
      </c>
    </row>
    <row r="241" customFormat="false" ht="15" hidden="false" customHeight="false" outlineLevel="0" collapsed="false">
      <c r="A241" s="2" t="s">
        <v>95</v>
      </c>
      <c r="B241" s="2" t="n">
        <v>2014</v>
      </c>
      <c r="C241" s="2" t="s">
        <v>56</v>
      </c>
      <c r="D241" s="2" t="n">
        <v>0</v>
      </c>
      <c r="E241" s="2" t="n">
        <v>2</v>
      </c>
      <c r="F241" s="2" t="s">
        <v>50</v>
      </c>
      <c r="G241" s="3" t="n">
        <v>0</v>
      </c>
      <c r="H241" s="3" t="n">
        <v>0</v>
      </c>
      <c r="I241" s="3" t="n">
        <v>1</v>
      </c>
      <c r="J241" s="3" t="n">
        <v>0</v>
      </c>
      <c r="K241" s="3" t="n">
        <v>0</v>
      </c>
      <c r="L241" s="3" t="n">
        <v>1</v>
      </c>
      <c r="M241" s="3" t="n">
        <v>0</v>
      </c>
      <c r="N241" s="3" t="n">
        <v>0</v>
      </c>
      <c r="O241" s="3" t="n">
        <v>0</v>
      </c>
      <c r="P241" s="3" t="n">
        <v>1</v>
      </c>
      <c r="Q241" s="3" t="n">
        <v>0</v>
      </c>
      <c r="R241" s="3" t="n">
        <v>0</v>
      </c>
      <c r="S241" s="3" t="n">
        <v>1</v>
      </c>
      <c r="T241" s="3" t="n">
        <v>0</v>
      </c>
      <c r="U241" s="3" t="n">
        <v>0</v>
      </c>
      <c r="V241" s="3" t="n">
        <v>1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4" t="n">
        <f aca="false">SUM(G241:AI241)</f>
        <v>5</v>
      </c>
      <c r="AK241" s="4" t="n">
        <f aca="false">ROUND(SUMPRODUCT(G241:AI241,Gene_Weights!$B$2:$AD$2),3)</f>
        <v>-3.12</v>
      </c>
      <c r="AL241" s="2" t="n">
        <v>8</v>
      </c>
      <c r="AM241" s="2" t="n">
        <v>3</v>
      </c>
      <c r="AN241" s="2" t="n">
        <v>37.5</v>
      </c>
      <c r="AO241" s="5" t="n">
        <v>75.59</v>
      </c>
      <c r="AP241" s="5" t="n">
        <v>78.01</v>
      </c>
      <c r="AQ241" s="5" t="n">
        <v>80.42</v>
      </c>
      <c r="AR241" s="5" t="n">
        <v>82.83</v>
      </c>
      <c r="AS241" s="5" t="n">
        <v>85.24</v>
      </c>
      <c r="AT241" s="5" t="n">
        <v>87.66</v>
      </c>
      <c r="AU241" s="5" t="n">
        <v>90.07</v>
      </c>
      <c r="AV241" s="5" t="s">
        <v>51</v>
      </c>
    </row>
    <row r="242" customFormat="false" ht="15" hidden="false" customHeight="false" outlineLevel="0" collapsed="false">
      <c r="A242" s="2" t="s">
        <v>96</v>
      </c>
      <c r="B242" s="2" t="n">
        <v>2021</v>
      </c>
      <c r="C242" s="2" t="s">
        <v>49</v>
      </c>
      <c r="D242" s="2" t="n">
        <v>0</v>
      </c>
      <c r="E242" s="2" t="n">
        <v>2</v>
      </c>
      <c r="F242" s="2" t="s">
        <v>50</v>
      </c>
      <c r="G242" s="3" t="n">
        <v>0</v>
      </c>
      <c r="H242" s="3" t="n">
        <v>0</v>
      </c>
      <c r="I242" s="3" t="n">
        <v>1</v>
      </c>
      <c r="J242" s="3" t="n">
        <v>0</v>
      </c>
      <c r="K242" s="3" t="n">
        <v>0</v>
      </c>
      <c r="L242" s="3" t="n">
        <v>1</v>
      </c>
      <c r="M242" s="3" t="n">
        <v>1</v>
      </c>
      <c r="N242" s="3" t="n">
        <v>0</v>
      </c>
      <c r="O242" s="3" t="n">
        <v>0</v>
      </c>
      <c r="P242" s="3" t="n">
        <v>1</v>
      </c>
      <c r="Q242" s="3" t="n">
        <v>0</v>
      </c>
      <c r="R242" s="3" t="n">
        <v>0</v>
      </c>
      <c r="S242" s="3" t="n">
        <v>1</v>
      </c>
      <c r="T242" s="3" t="n">
        <v>0</v>
      </c>
      <c r="U242" s="3" t="n">
        <v>0</v>
      </c>
      <c r="V242" s="3" t="n">
        <v>0</v>
      </c>
      <c r="W242" s="3" t="n">
        <v>1</v>
      </c>
      <c r="X242" s="3" t="n">
        <v>0</v>
      </c>
      <c r="Y242" s="3" t="n">
        <v>0</v>
      </c>
      <c r="Z242" s="3" t="n">
        <v>1</v>
      </c>
      <c r="AA242" s="3" t="n">
        <v>0</v>
      </c>
      <c r="AB242" s="3" t="n">
        <v>1</v>
      </c>
      <c r="AC242" s="3" t="n">
        <v>1</v>
      </c>
      <c r="AD242" s="3" t="n">
        <v>1</v>
      </c>
      <c r="AE242" s="3" t="n">
        <v>0</v>
      </c>
      <c r="AF242" s="3" t="n">
        <v>1</v>
      </c>
      <c r="AG242" s="3" t="n">
        <v>0</v>
      </c>
      <c r="AH242" s="3" t="n">
        <v>0</v>
      </c>
      <c r="AI242" s="3" t="n">
        <v>0</v>
      </c>
      <c r="AJ242" s="4" t="n">
        <f aca="false">SUM(G242:AI242)</f>
        <v>11</v>
      </c>
      <c r="AK242" s="4" t="n">
        <f aca="false">ROUND(SUMPRODUCT(G242:AI242,Gene_Weights!$B$2:$AD$2),3)</f>
        <v>-6.5</v>
      </c>
      <c r="AL242" s="2" t="n">
        <v>5</v>
      </c>
      <c r="AM242" s="2" t="n">
        <v>0</v>
      </c>
      <c r="AN242" s="2" t="n">
        <v>0</v>
      </c>
      <c r="AO242" s="5" t="n">
        <v>55.12</v>
      </c>
      <c r="AP242" s="5" t="n">
        <v>56.02</v>
      </c>
      <c r="AQ242" s="5" t="n">
        <v>56.92</v>
      </c>
      <c r="AR242" s="5" t="n">
        <v>57.82</v>
      </c>
      <c r="AS242" s="5" t="n">
        <v>58.72</v>
      </c>
      <c r="AT242" s="5" t="n">
        <v>59.62</v>
      </c>
      <c r="AU242" s="5" t="n">
        <v>60.52</v>
      </c>
      <c r="AV242" s="5" t="s">
        <v>51</v>
      </c>
    </row>
    <row r="243" customFormat="false" ht="15" hidden="false" customHeight="false" outlineLevel="0" collapsed="false">
      <c r="A243" s="2" t="s">
        <v>96</v>
      </c>
      <c r="B243" s="2" t="n">
        <v>2021</v>
      </c>
      <c r="C243" s="2" t="s">
        <v>52</v>
      </c>
      <c r="D243" s="2" t="n">
        <v>0</v>
      </c>
      <c r="E243" s="2" t="n">
        <v>32</v>
      </c>
      <c r="F243" s="2" t="s">
        <v>50</v>
      </c>
      <c r="G243" s="3" t="n">
        <v>0</v>
      </c>
      <c r="H243" s="3" t="n">
        <v>0</v>
      </c>
      <c r="I243" s="3" t="n">
        <v>1</v>
      </c>
      <c r="J243" s="3" t="n">
        <v>0</v>
      </c>
      <c r="K243" s="3" t="n">
        <v>0</v>
      </c>
      <c r="L243" s="3" t="n">
        <v>1</v>
      </c>
      <c r="M243" s="3" t="n">
        <v>1</v>
      </c>
      <c r="N243" s="3" t="n">
        <v>0</v>
      </c>
      <c r="O243" s="3" t="n">
        <v>0</v>
      </c>
      <c r="P243" s="3" t="n">
        <v>1</v>
      </c>
      <c r="Q243" s="3" t="n">
        <v>0</v>
      </c>
      <c r="R243" s="3" t="n">
        <v>0</v>
      </c>
      <c r="S243" s="3" t="n">
        <v>1</v>
      </c>
      <c r="T243" s="3" t="n">
        <v>0</v>
      </c>
      <c r="U243" s="3" t="n">
        <v>0</v>
      </c>
      <c r="V243" s="3" t="n">
        <v>0</v>
      </c>
      <c r="W243" s="3" t="n">
        <v>1</v>
      </c>
      <c r="X243" s="3" t="n">
        <v>0</v>
      </c>
      <c r="Y243" s="3" t="n">
        <v>0</v>
      </c>
      <c r="Z243" s="3" t="n">
        <v>1</v>
      </c>
      <c r="AA243" s="3" t="n">
        <v>0</v>
      </c>
      <c r="AB243" s="3" t="n">
        <v>1</v>
      </c>
      <c r="AC243" s="3" t="n">
        <v>1</v>
      </c>
      <c r="AD243" s="3" t="n">
        <v>1</v>
      </c>
      <c r="AE243" s="3" t="n">
        <v>0</v>
      </c>
      <c r="AF243" s="3" t="n">
        <v>1</v>
      </c>
      <c r="AG243" s="3" t="n">
        <v>0</v>
      </c>
      <c r="AH243" s="3" t="n">
        <v>0</v>
      </c>
      <c r="AI243" s="3" t="n">
        <v>0</v>
      </c>
      <c r="AJ243" s="4" t="n">
        <f aca="false">SUM(G243:AI243)</f>
        <v>11</v>
      </c>
      <c r="AK243" s="4" t="n">
        <f aca="false">ROUND(SUMPRODUCT(G243:AI243,Gene_Weights!$B$2:$AD$2),3)</f>
        <v>-6.5</v>
      </c>
      <c r="AL243" s="2" t="n">
        <v>5</v>
      </c>
      <c r="AM243" s="2" t="n">
        <v>2</v>
      </c>
      <c r="AN243" s="2" t="n">
        <v>40</v>
      </c>
      <c r="AO243" s="5" t="n">
        <v>64.53</v>
      </c>
      <c r="AP243" s="5" t="n">
        <v>66.13</v>
      </c>
      <c r="AQ243" s="5" t="n">
        <v>67.73</v>
      </c>
      <c r="AR243" s="5" t="n">
        <v>69.33</v>
      </c>
      <c r="AS243" s="5" t="n">
        <v>70.93</v>
      </c>
      <c r="AT243" s="5" t="n">
        <v>72.53</v>
      </c>
      <c r="AU243" s="5" t="n">
        <v>74.13</v>
      </c>
      <c r="AV243" s="5" t="s">
        <v>51</v>
      </c>
    </row>
    <row r="244" customFormat="false" ht="15" hidden="false" customHeight="false" outlineLevel="0" collapsed="false">
      <c r="A244" s="2" t="s">
        <v>96</v>
      </c>
      <c r="B244" s="2" t="n">
        <v>2021</v>
      </c>
      <c r="C244" s="2" t="s">
        <v>53</v>
      </c>
      <c r="D244" s="2" t="n">
        <v>1</v>
      </c>
      <c r="E244" s="2" t="n">
        <v>2</v>
      </c>
      <c r="F244" s="2" t="s">
        <v>50</v>
      </c>
      <c r="G244" s="3" t="n">
        <v>0</v>
      </c>
      <c r="H244" s="3" t="n">
        <v>0</v>
      </c>
      <c r="I244" s="3" t="n">
        <v>1</v>
      </c>
      <c r="J244" s="3" t="n">
        <v>0</v>
      </c>
      <c r="K244" s="3" t="n">
        <v>0</v>
      </c>
      <c r="L244" s="3" t="n">
        <v>1</v>
      </c>
      <c r="M244" s="3" t="n">
        <v>1</v>
      </c>
      <c r="N244" s="3" t="n">
        <v>0</v>
      </c>
      <c r="O244" s="3" t="n">
        <v>0</v>
      </c>
      <c r="P244" s="3" t="n">
        <v>1</v>
      </c>
      <c r="Q244" s="3" t="n">
        <v>0</v>
      </c>
      <c r="R244" s="3" t="n">
        <v>0</v>
      </c>
      <c r="S244" s="3" t="n">
        <v>1</v>
      </c>
      <c r="T244" s="3" t="n">
        <v>0</v>
      </c>
      <c r="U244" s="3" t="n">
        <v>0</v>
      </c>
      <c r="V244" s="3" t="n">
        <v>0</v>
      </c>
      <c r="W244" s="3" t="n">
        <v>1</v>
      </c>
      <c r="X244" s="3" t="n">
        <v>0</v>
      </c>
      <c r="Y244" s="3" t="n">
        <v>0</v>
      </c>
      <c r="Z244" s="3" t="n">
        <v>1</v>
      </c>
      <c r="AA244" s="3" t="n">
        <v>0</v>
      </c>
      <c r="AB244" s="3" t="n">
        <v>1</v>
      </c>
      <c r="AC244" s="3" t="n">
        <v>1</v>
      </c>
      <c r="AD244" s="3" t="n">
        <v>1</v>
      </c>
      <c r="AE244" s="3" t="n">
        <v>0</v>
      </c>
      <c r="AF244" s="3" t="n">
        <v>1</v>
      </c>
      <c r="AG244" s="3" t="n">
        <v>0</v>
      </c>
      <c r="AH244" s="3" t="n">
        <v>0</v>
      </c>
      <c r="AI244" s="3" t="n">
        <v>0</v>
      </c>
      <c r="AJ244" s="4" t="n">
        <f aca="false">SUM(G244:AI244)</f>
        <v>11</v>
      </c>
      <c r="AK244" s="4" t="n">
        <f aca="false">ROUND(SUMPRODUCT(G244:AI244,Gene_Weights!$B$2:$AD$2),3)</f>
        <v>-6.5</v>
      </c>
      <c r="AL244" s="2" t="n">
        <v>5</v>
      </c>
      <c r="AM244" s="2" t="n">
        <v>3</v>
      </c>
      <c r="AN244" s="2" t="n">
        <v>60</v>
      </c>
      <c r="AO244" s="5" t="n">
        <v>52.86</v>
      </c>
      <c r="AP244" s="5" t="n">
        <v>53.65</v>
      </c>
      <c r="AQ244" s="5" t="n">
        <v>54.45</v>
      </c>
      <c r="AR244" s="5" t="n">
        <v>55.24</v>
      </c>
      <c r="AS244" s="5" t="n">
        <v>56.03</v>
      </c>
      <c r="AT244" s="5" t="n">
        <v>56.83</v>
      </c>
      <c r="AU244" s="5" t="n">
        <v>57.62</v>
      </c>
      <c r="AV244" s="5" t="s">
        <v>51</v>
      </c>
    </row>
    <row r="245" customFormat="false" ht="15" hidden="false" customHeight="false" outlineLevel="0" collapsed="false">
      <c r="A245" s="2" t="s">
        <v>96</v>
      </c>
      <c r="B245" s="2" t="n">
        <v>2021</v>
      </c>
      <c r="C245" s="2" t="s">
        <v>54</v>
      </c>
      <c r="D245" s="2" t="n">
        <v>1</v>
      </c>
      <c r="E245" s="2" t="n">
        <v>16</v>
      </c>
      <c r="F245" s="2" t="s">
        <v>50</v>
      </c>
      <c r="G245" s="3" t="n">
        <v>0</v>
      </c>
      <c r="H245" s="3" t="n">
        <v>0</v>
      </c>
      <c r="I245" s="3" t="n">
        <v>1</v>
      </c>
      <c r="J245" s="3" t="n">
        <v>0</v>
      </c>
      <c r="K245" s="3" t="n">
        <v>0</v>
      </c>
      <c r="L245" s="3" t="n">
        <v>1</v>
      </c>
      <c r="M245" s="3" t="n">
        <v>1</v>
      </c>
      <c r="N245" s="3" t="n">
        <v>0</v>
      </c>
      <c r="O245" s="3" t="n">
        <v>0</v>
      </c>
      <c r="P245" s="3" t="n">
        <v>1</v>
      </c>
      <c r="Q245" s="3" t="n">
        <v>0</v>
      </c>
      <c r="R245" s="3" t="n">
        <v>0</v>
      </c>
      <c r="S245" s="3" t="n">
        <v>1</v>
      </c>
      <c r="T245" s="3" t="n">
        <v>0</v>
      </c>
      <c r="U245" s="3" t="n">
        <v>0</v>
      </c>
      <c r="V245" s="3" t="n">
        <v>0</v>
      </c>
      <c r="W245" s="3" t="n">
        <v>1</v>
      </c>
      <c r="X245" s="3" t="n">
        <v>0</v>
      </c>
      <c r="Y245" s="3" t="n">
        <v>0</v>
      </c>
      <c r="Z245" s="3" t="n">
        <v>1</v>
      </c>
      <c r="AA245" s="3" t="n">
        <v>0</v>
      </c>
      <c r="AB245" s="3" t="n">
        <v>1</v>
      </c>
      <c r="AC245" s="3" t="n">
        <v>1</v>
      </c>
      <c r="AD245" s="3" t="n">
        <v>1</v>
      </c>
      <c r="AE245" s="3" t="n">
        <v>0</v>
      </c>
      <c r="AF245" s="3" t="n">
        <v>1</v>
      </c>
      <c r="AG245" s="3" t="n">
        <v>0</v>
      </c>
      <c r="AH245" s="3" t="n">
        <v>0</v>
      </c>
      <c r="AI245" s="3" t="n">
        <v>0</v>
      </c>
      <c r="AJ245" s="4" t="n">
        <f aca="false">SUM(G245:AI245)</f>
        <v>11</v>
      </c>
      <c r="AK245" s="4" t="n">
        <f aca="false">ROUND(SUMPRODUCT(G245:AI245,Gene_Weights!$B$2:$AD$2),3)</f>
        <v>-6.5</v>
      </c>
      <c r="AL245" s="2" t="n">
        <v>5</v>
      </c>
      <c r="AM245" s="2" t="n">
        <v>5</v>
      </c>
      <c r="AN245" s="2" t="n">
        <v>100</v>
      </c>
      <c r="AO245" s="5" t="n">
        <v>81.84</v>
      </c>
      <c r="AP245" s="5" t="n">
        <v>84.45</v>
      </c>
      <c r="AQ245" s="5" t="n">
        <v>87.06</v>
      </c>
      <c r="AR245" s="5" t="n">
        <v>89.67</v>
      </c>
      <c r="AS245" s="5" t="n">
        <v>92.27</v>
      </c>
      <c r="AT245" s="5" t="n">
        <v>94.88</v>
      </c>
      <c r="AU245" s="5" t="n">
        <v>97.49</v>
      </c>
      <c r="AV245" s="5" t="s">
        <v>51</v>
      </c>
    </row>
    <row r="246" customFormat="false" ht="15" hidden="false" customHeight="false" outlineLevel="0" collapsed="false">
      <c r="A246" s="2" t="s">
        <v>96</v>
      </c>
      <c r="B246" s="2" t="n">
        <v>2021</v>
      </c>
      <c r="C246" s="2" t="s">
        <v>55</v>
      </c>
      <c r="D246" s="2" t="n">
        <v>0</v>
      </c>
      <c r="E246" s="2" t="n">
        <v>32</v>
      </c>
      <c r="F246" s="2" t="s">
        <v>50</v>
      </c>
      <c r="G246" s="3" t="n">
        <v>0</v>
      </c>
      <c r="H246" s="3" t="n">
        <v>0</v>
      </c>
      <c r="I246" s="3" t="n">
        <v>1</v>
      </c>
      <c r="J246" s="3" t="n">
        <v>0</v>
      </c>
      <c r="K246" s="3" t="n">
        <v>0</v>
      </c>
      <c r="L246" s="3" t="n">
        <v>1</v>
      </c>
      <c r="M246" s="3" t="n">
        <v>1</v>
      </c>
      <c r="N246" s="3" t="n">
        <v>0</v>
      </c>
      <c r="O246" s="3" t="n">
        <v>0</v>
      </c>
      <c r="P246" s="3" t="n">
        <v>1</v>
      </c>
      <c r="Q246" s="3" t="n">
        <v>0</v>
      </c>
      <c r="R246" s="3" t="n">
        <v>0</v>
      </c>
      <c r="S246" s="3" t="n">
        <v>1</v>
      </c>
      <c r="T246" s="3" t="n">
        <v>0</v>
      </c>
      <c r="U246" s="3" t="n">
        <v>0</v>
      </c>
      <c r="V246" s="3" t="n">
        <v>0</v>
      </c>
      <c r="W246" s="3" t="n">
        <v>1</v>
      </c>
      <c r="X246" s="3" t="n">
        <v>0</v>
      </c>
      <c r="Y246" s="3" t="n">
        <v>0</v>
      </c>
      <c r="Z246" s="3" t="n">
        <v>1</v>
      </c>
      <c r="AA246" s="3" t="n">
        <v>0</v>
      </c>
      <c r="AB246" s="3" t="n">
        <v>1</v>
      </c>
      <c r="AC246" s="3" t="n">
        <v>1</v>
      </c>
      <c r="AD246" s="3" t="n">
        <v>1</v>
      </c>
      <c r="AE246" s="3" t="n">
        <v>0</v>
      </c>
      <c r="AF246" s="3" t="n">
        <v>1</v>
      </c>
      <c r="AG246" s="3" t="n">
        <v>0</v>
      </c>
      <c r="AH246" s="3" t="n">
        <v>0</v>
      </c>
      <c r="AI246" s="3" t="n">
        <v>0</v>
      </c>
      <c r="AJ246" s="4" t="n">
        <f aca="false">SUM(G246:AI246)</f>
        <v>11</v>
      </c>
      <c r="AK246" s="4" t="n">
        <f aca="false">ROUND(SUMPRODUCT(G246:AI246,Gene_Weights!$B$2:$AD$2),3)</f>
        <v>-6.5</v>
      </c>
      <c r="AL246" s="2" t="n">
        <v>5</v>
      </c>
      <c r="AM246" s="2" t="n">
        <v>2</v>
      </c>
      <c r="AN246" s="2" t="n">
        <v>40</v>
      </c>
      <c r="AO246" s="5" t="n">
        <v>58.19</v>
      </c>
      <c r="AP246" s="5" t="n">
        <v>59.74</v>
      </c>
      <c r="AQ246" s="5" t="n">
        <v>61.3</v>
      </c>
      <c r="AR246" s="5" t="n">
        <v>62.86</v>
      </c>
      <c r="AS246" s="5" t="n">
        <v>64.42</v>
      </c>
      <c r="AT246" s="5" t="n">
        <v>65.98</v>
      </c>
      <c r="AU246" s="5" t="n">
        <v>67.53</v>
      </c>
      <c r="AV246" s="5" t="s">
        <v>51</v>
      </c>
    </row>
    <row r="247" customFormat="false" ht="15" hidden="false" customHeight="false" outlineLevel="0" collapsed="false">
      <c r="A247" s="2" t="s">
        <v>96</v>
      </c>
      <c r="B247" s="2" t="n">
        <v>2021</v>
      </c>
      <c r="C247" s="2" t="s">
        <v>56</v>
      </c>
      <c r="D247" s="2" t="n">
        <v>1</v>
      </c>
      <c r="E247" s="2" t="n">
        <v>2</v>
      </c>
      <c r="F247" s="2" t="s">
        <v>50</v>
      </c>
      <c r="G247" s="3" t="n">
        <v>0</v>
      </c>
      <c r="H247" s="3" t="n">
        <v>0</v>
      </c>
      <c r="I247" s="3" t="n">
        <v>1</v>
      </c>
      <c r="J247" s="3" t="n">
        <v>0</v>
      </c>
      <c r="K247" s="3" t="n">
        <v>0</v>
      </c>
      <c r="L247" s="3" t="n">
        <v>1</v>
      </c>
      <c r="M247" s="3" t="n">
        <v>1</v>
      </c>
      <c r="N247" s="3" t="n">
        <v>0</v>
      </c>
      <c r="O247" s="3" t="n">
        <v>0</v>
      </c>
      <c r="P247" s="3" t="n">
        <v>1</v>
      </c>
      <c r="Q247" s="3" t="n">
        <v>0</v>
      </c>
      <c r="R247" s="3" t="n">
        <v>0</v>
      </c>
      <c r="S247" s="3" t="n">
        <v>1</v>
      </c>
      <c r="T247" s="3" t="n">
        <v>0</v>
      </c>
      <c r="U247" s="3" t="n">
        <v>0</v>
      </c>
      <c r="V247" s="3" t="n">
        <v>0</v>
      </c>
      <c r="W247" s="3" t="n">
        <v>1</v>
      </c>
      <c r="X247" s="3" t="n">
        <v>0</v>
      </c>
      <c r="Y247" s="3" t="n">
        <v>0</v>
      </c>
      <c r="Z247" s="3" t="n">
        <v>1</v>
      </c>
      <c r="AA247" s="3" t="n">
        <v>0</v>
      </c>
      <c r="AB247" s="3" t="n">
        <v>1</v>
      </c>
      <c r="AC247" s="3" t="n">
        <v>1</v>
      </c>
      <c r="AD247" s="3" t="n">
        <v>1</v>
      </c>
      <c r="AE247" s="3" t="n">
        <v>0</v>
      </c>
      <c r="AF247" s="3" t="n">
        <v>1</v>
      </c>
      <c r="AG247" s="3" t="n">
        <v>0</v>
      </c>
      <c r="AH247" s="3" t="n">
        <v>0</v>
      </c>
      <c r="AI247" s="3" t="n">
        <v>0</v>
      </c>
      <c r="AJ247" s="4" t="n">
        <f aca="false">SUM(G247:AI247)</f>
        <v>11</v>
      </c>
      <c r="AK247" s="4" t="n">
        <f aca="false">ROUND(SUMPRODUCT(G247:AI247,Gene_Weights!$B$2:$AD$2),3)</f>
        <v>-6.5</v>
      </c>
      <c r="AL247" s="2" t="n">
        <v>5</v>
      </c>
      <c r="AM247" s="2" t="n">
        <v>4</v>
      </c>
      <c r="AN247" s="2" t="n">
        <v>80</v>
      </c>
      <c r="AO247" s="5" t="n">
        <v>75.59</v>
      </c>
      <c r="AP247" s="5" t="n">
        <v>78.01</v>
      </c>
      <c r="AQ247" s="5" t="n">
        <v>80.42</v>
      </c>
      <c r="AR247" s="5" t="n">
        <v>82.83</v>
      </c>
      <c r="AS247" s="5" t="n">
        <v>85.24</v>
      </c>
      <c r="AT247" s="5" t="n">
        <v>87.66</v>
      </c>
      <c r="AU247" s="5" t="n">
        <v>90.07</v>
      </c>
      <c r="AV247" s="5" t="s">
        <v>51</v>
      </c>
    </row>
    <row r="248" customFormat="false" ht="15" hidden="false" customHeight="false" outlineLevel="0" collapsed="false">
      <c r="A248" s="2" t="s">
        <v>97</v>
      </c>
      <c r="B248" s="2" t="n">
        <v>2004</v>
      </c>
      <c r="C248" s="2" t="s">
        <v>49</v>
      </c>
      <c r="D248" s="2" t="n">
        <v>0</v>
      </c>
      <c r="E248" s="2" t="n">
        <v>16</v>
      </c>
      <c r="F248" s="2" t="s">
        <v>50</v>
      </c>
      <c r="G248" s="3" t="n">
        <v>0</v>
      </c>
      <c r="H248" s="3" t="n">
        <v>0</v>
      </c>
      <c r="I248" s="3" t="n">
        <v>0</v>
      </c>
      <c r="J248" s="3" t="n">
        <v>1</v>
      </c>
      <c r="K248" s="3" t="n">
        <v>0</v>
      </c>
      <c r="L248" s="3" t="n">
        <v>0</v>
      </c>
      <c r="M248" s="3" t="n">
        <v>0</v>
      </c>
      <c r="N248" s="3" t="n">
        <v>1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1</v>
      </c>
      <c r="W248" s="3" t="n">
        <v>0</v>
      </c>
      <c r="X248" s="3" t="n">
        <v>1</v>
      </c>
      <c r="Y248" s="3" t="n">
        <v>0</v>
      </c>
      <c r="Z248" s="3" t="n">
        <v>1</v>
      </c>
      <c r="AA248" s="3" t="n">
        <v>1</v>
      </c>
      <c r="AB248" s="3" t="n">
        <v>1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1</v>
      </c>
      <c r="AH248" s="3" t="n">
        <v>1</v>
      </c>
      <c r="AI248" s="3" t="n">
        <v>1</v>
      </c>
      <c r="AJ248" s="4" t="n">
        <f aca="false">SUM(G248:AI248)</f>
        <v>10</v>
      </c>
      <c r="AK248" s="4" t="n">
        <f aca="false">ROUND(SUMPRODUCT(G248:AI248,Gene_Weights!$B$2:$AD$2),3)</f>
        <v>-6.86</v>
      </c>
      <c r="AL248" s="2" t="n">
        <v>5</v>
      </c>
      <c r="AM248" s="2" t="n">
        <v>2</v>
      </c>
      <c r="AN248" s="2" t="n">
        <v>40</v>
      </c>
      <c r="AO248" s="5" t="n">
        <v>55.12</v>
      </c>
      <c r="AP248" s="5" t="n">
        <v>56.02</v>
      </c>
      <c r="AQ248" s="5" t="n">
        <v>56.92</v>
      </c>
      <c r="AR248" s="5" t="n">
        <v>57.82</v>
      </c>
      <c r="AS248" s="5" t="n">
        <v>58.72</v>
      </c>
      <c r="AT248" s="5" t="n">
        <v>59.62</v>
      </c>
      <c r="AU248" s="5" t="n">
        <v>60.52</v>
      </c>
      <c r="AV248" s="5" t="s">
        <v>51</v>
      </c>
    </row>
    <row r="249" customFormat="false" ht="15" hidden="false" customHeight="false" outlineLevel="0" collapsed="false">
      <c r="A249" s="2" t="s">
        <v>97</v>
      </c>
      <c r="B249" s="2" t="n">
        <v>2004</v>
      </c>
      <c r="C249" s="2" t="s">
        <v>52</v>
      </c>
      <c r="D249" s="2" t="n">
        <v>0</v>
      </c>
      <c r="E249" s="2" t="n">
        <v>2</v>
      </c>
      <c r="F249" s="2" t="s">
        <v>50</v>
      </c>
      <c r="G249" s="3" t="n">
        <v>0</v>
      </c>
      <c r="H249" s="3" t="n">
        <v>0</v>
      </c>
      <c r="I249" s="3" t="n">
        <v>0</v>
      </c>
      <c r="J249" s="3" t="n">
        <v>1</v>
      </c>
      <c r="K249" s="3" t="n">
        <v>0</v>
      </c>
      <c r="L249" s="3" t="n">
        <v>0</v>
      </c>
      <c r="M249" s="3" t="n">
        <v>0</v>
      </c>
      <c r="N249" s="3" t="n">
        <v>1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1</v>
      </c>
      <c r="W249" s="3" t="n">
        <v>0</v>
      </c>
      <c r="X249" s="3" t="n">
        <v>1</v>
      </c>
      <c r="Y249" s="3" t="n">
        <v>0</v>
      </c>
      <c r="Z249" s="3" t="n">
        <v>1</v>
      </c>
      <c r="AA249" s="3" t="n">
        <v>1</v>
      </c>
      <c r="AB249" s="3" t="n">
        <v>1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1</v>
      </c>
      <c r="AH249" s="3" t="n">
        <v>1</v>
      </c>
      <c r="AI249" s="3" t="n">
        <v>1</v>
      </c>
      <c r="AJ249" s="4" t="n">
        <f aca="false">SUM(G249:AI249)</f>
        <v>10</v>
      </c>
      <c r="AK249" s="4" t="n">
        <f aca="false">ROUND(SUMPRODUCT(G249:AI249,Gene_Weights!$B$2:$AD$2),3)</f>
        <v>-6.86</v>
      </c>
      <c r="AL249" s="2" t="n">
        <v>5</v>
      </c>
      <c r="AM249" s="2" t="n">
        <v>1</v>
      </c>
      <c r="AN249" s="2" t="n">
        <v>20</v>
      </c>
      <c r="AO249" s="5" t="n">
        <v>64.53</v>
      </c>
      <c r="AP249" s="5" t="n">
        <v>66.13</v>
      </c>
      <c r="AQ249" s="5" t="n">
        <v>67.73</v>
      </c>
      <c r="AR249" s="5" t="n">
        <v>69.33</v>
      </c>
      <c r="AS249" s="5" t="n">
        <v>70.93</v>
      </c>
      <c r="AT249" s="5" t="n">
        <v>72.53</v>
      </c>
      <c r="AU249" s="5" t="n">
        <v>74.13</v>
      </c>
      <c r="AV249" s="5" t="s">
        <v>51</v>
      </c>
    </row>
    <row r="250" customFormat="false" ht="15" hidden="false" customHeight="false" outlineLevel="0" collapsed="false">
      <c r="A250" s="2" t="s">
        <v>97</v>
      </c>
      <c r="B250" s="2" t="n">
        <v>2004</v>
      </c>
      <c r="C250" s="2" t="s">
        <v>53</v>
      </c>
      <c r="D250" s="2" t="n">
        <v>1</v>
      </c>
      <c r="E250" s="2" t="n">
        <v>16</v>
      </c>
      <c r="F250" s="2" t="s">
        <v>50</v>
      </c>
      <c r="G250" s="3" t="n">
        <v>0</v>
      </c>
      <c r="H250" s="3" t="n">
        <v>0</v>
      </c>
      <c r="I250" s="3" t="n">
        <v>0</v>
      </c>
      <c r="J250" s="3" t="n">
        <v>1</v>
      </c>
      <c r="K250" s="3" t="n">
        <v>0</v>
      </c>
      <c r="L250" s="3" t="n">
        <v>0</v>
      </c>
      <c r="M250" s="3" t="n">
        <v>0</v>
      </c>
      <c r="N250" s="3" t="n">
        <v>1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1</v>
      </c>
      <c r="W250" s="3" t="n">
        <v>0</v>
      </c>
      <c r="X250" s="3" t="n">
        <v>1</v>
      </c>
      <c r="Y250" s="3" t="n">
        <v>0</v>
      </c>
      <c r="Z250" s="3" t="n">
        <v>1</v>
      </c>
      <c r="AA250" s="3" t="n">
        <v>1</v>
      </c>
      <c r="AB250" s="3" t="n">
        <v>1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1</v>
      </c>
      <c r="AH250" s="3" t="n">
        <v>1</v>
      </c>
      <c r="AI250" s="3" t="n">
        <v>1</v>
      </c>
      <c r="AJ250" s="4" t="n">
        <f aca="false">SUM(G250:AI250)</f>
        <v>10</v>
      </c>
      <c r="AK250" s="4" t="n">
        <f aca="false">ROUND(SUMPRODUCT(G250:AI250,Gene_Weights!$B$2:$AD$2),3)</f>
        <v>-6.86</v>
      </c>
      <c r="AL250" s="2" t="n">
        <v>5</v>
      </c>
      <c r="AM250" s="2" t="n">
        <v>1</v>
      </c>
      <c r="AN250" s="2" t="n">
        <v>20</v>
      </c>
      <c r="AO250" s="5" t="n">
        <v>52.86</v>
      </c>
      <c r="AP250" s="5" t="n">
        <v>53.65</v>
      </c>
      <c r="AQ250" s="5" t="n">
        <v>54.45</v>
      </c>
      <c r="AR250" s="5" t="n">
        <v>55.24</v>
      </c>
      <c r="AS250" s="5" t="n">
        <v>56.03</v>
      </c>
      <c r="AT250" s="5" t="n">
        <v>56.83</v>
      </c>
      <c r="AU250" s="5" t="n">
        <v>57.62</v>
      </c>
      <c r="AV250" s="5" t="s">
        <v>51</v>
      </c>
    </row>
    <row r="251" customFormat="false" ht="15" hidden="false" customHeight="false" outlineLevel="0" collapsed="false">
      <c r="A251" s="2" t="s">
        <v>97</v>
      </c>
      <c r="B251" s="2" t="n">
        <v>2004</v>
      </c>
      <c r="C251" s="2" t="s">
        <v>54</v>
      </c>
      <c r="D251" s="2" t="n">
        <v>0</v>
      </c>
      <c r="E251" s="2" t="n">
        <v>2</v>
      </c>
      <c r="F251" s="2" t="s">
        <v>50</v>
      </c>
      <c r="G251" s="3" t="n">
        <v>0</v>
      </c>
      <c r="H251" s="3" t="n">
        <v>0</v>
      </c>
      <c r="I251" s="3" t="n">
        <v>0</v>
      </c>
      <c r="J251" s="3" t="n">
        <v>1</v>
      </c>
      <c r="K251" s="3" t="n">
        <v>0</v>
      </c>
      <c r="L251" s="3" t="n">
        <v>0</v>
      </c>
      <c r="M251" s="3" t="n">
        <v>0</v>
      </c>
      <c r="N251" s="3" t="n">
        <v>1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1</v>
      </c>
      <c r="W251" s="3" t="n">
        <v>0</v>
      </c>
      <c r="X251" s="3" t="n">
        <v>1</v>
      </c>
      <c r="Y251" s="3" t="n">
        <v>0</v>
      </c>
      <c r="Z251" s="3" t="n">
        <v>1</v>
      </c>
      <c r="AA251" s="3" t="n">
        <v>1</v>
      </c>
      <c r="AB251" s="3" t="n">
        <v>1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</v>
      </c>
      <c r="AH251" s="3" t="n">
        <v>1</v>
      </c>
      <c r="AI251" s="3" t="n">
        <v>1</v>
      </c>
      <c r="AJ251" s="4" t="n">
        <f aca="false">SUM(G251:AI251)</f>
        <v>10</v>
      </c>
      <c r="AK251" s="4" t="n">
        <f aca="false">ROUND(SUMPRODUCT(G251:AI251,Gene_Weights!$B$2:$AD$2),3)</f>
        <v>-6.86</v>
      </c>
      <c r="AL251" s="2" t="n">
        <v>5</v>
      </c>
      <c r="AM251" s="2" t="n">
        <v>1</v>
      </c>
      <c r="AN251" s="2" t="n">
        <v>20</v>
      </c>
      <c r="AO251" s="5" t="n">
        <v>81.84</v>
      </c>
      <c r="AP251" s="5" t="n">
        <v>84.45</v>
      </c>
      <c r="AQ251" s="5" t="n">
        <v>87.06</v>
      </c>
      <c r="AR251" s="5" t="n">
        <v>89.67</v>
      </c>
      <c r="AS251" s="5" t="n">
        <v>92.27</v>
      </c>
      <c r="AT251" s="5" t="n">
        <v>94.88</v>
      </c>
      <c r="AU251" s="5" t="n">
        <v>97.49</v>
      </c>
      <c r="AV251" s="5" t="s">
        <v>51</v>
      </c>
    </row>
    <row r="252" customFormat="false" ht="15" hidden="false" customHeight="false" outlineLevel="0" collapsed="false">
      <c r="A252" s="2" t="s">
        <v>97</v>
      </c>
      <c r="B252" s="2" t="n">
        <v>2004</v>
      </c>
      <c r="C252" s="2" t="s">
        <v>55</v>
      </c>
      <c r="D252" s="2" t="n">
        <v>1</v>
      </c>
      <c r="E252" s="2" t="n">
        <v>4</v>
      </c>
      <c r="F252" s="2" t="s">
        <v>50</v>
      </c>
      <c r="G252" s="3" t="n">
        <v>0</v>
      </c>
      <c r="H252" s="3" t="n">
        <v>0</v>
      </c>
      <c r="I252" s="3" t="n">
        <v>0</v>
      </c>
      <c r="J252" s="3" t="n">
        <v>1</v>
      </c>
      <c r="K252" s="3" t="n">
        <v>0</v>
      </c>
      <c r="L252" s="3" t="n">
        <v>0</v>
      </c>
      <c r="M252" s="3" t="n">
        <v>0</v>
      </c>
      <c r="N252" s="3" t="n">
        <v>1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1</v>
      </c>
      <c r="W252" s="3" t="n">
        <v>0</v>
      </c>
      <c r="X252" s="3" t="n">
        <v>1</v>
      </c>
      <c r="Y252" s="3" t="n">
        <v>0</v>
      </c>
      <c r="Z252" s="3" t="n">
        <v>1</v>
      </c>
      <c r="AA252" s="3" t="n">
        <v>1</v>
      </c>
      <c r="AB252" s="3" t="n">
        <v>1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1</v>
      </c>
      <c r="AH252" s="3" t="n">
        <v>1</v>
      </c>
      <c r="AI252" s="3" t="n">
        <v>1</v>
      </c>
      <c r="AJ252" s="4" t="n">
        <f aca="false">SUM(G252:AI252)</f>
        <v>10</v>
      </c>
      <c r="AK252" s="4" t="n">
        <f aca="false">ROUND(SUMPRODUCT(G252:AI252,Gene_Weights!$B$2:$AD$2),3)</f>
        <v>-6.86</v>
      </c>
      <c r="AL252" s="2" t="n">
        <v>5</v>
      </c>
      <c r="AM252" s="2" t="n">
        <v>3</v>
      </c>
      <c r="AN252" s="2" t="n">
        <v>60</v>
      </c>
      <c r="AO252" s="5" t="n">
        <v>58.19</v>
      </c>
      <c r="AP252" s="5" t="n">
        <v>59.74</v>
      </c>
      <c r="AQ252" s="5" t="n">
        <v>61.3</v>
      </c>
      <c r="AR252" s="5" t="n">
        <v>62.86</v>
      </c>
      <c r="AS252" s="5" t="n">
        <v>64.42</v>
      </c>
      <c r="AT252" s="5" t="n">
        <v>65.98</v>
      </c>
      <c r="AU252" s="5" t="n">
        <v>67.53</v>
      </c>
      <c r="AV252" s="5" t="s">
        <v>51</v>
      </c>
    </row>
    <row r="253" customFormat="false" ht="15" hidden="false" customHeight="false" outlineLevel="0" collapsed="false">
      <c r="A253" s="2" t="s">
        <v>97</v>
      </c>
      <c r="B253" s="2" t="n">
        <v>2004</v>
      </c>
      <c r="C253" s="2" t="s">
        <v>56</v>
      </c>
      <c r="D253" s="2" t="n">
        <v>0</v>
      </c>
      <c r="E253" s="2" t="n">
        <v>4</v>
      </c>
      <c r="F253" s="2" t="s">
        <v>50</v>
      </c>
      <c r="G253" s="3" t="n">
        <v>0</v>
      </c>
      <c r="H253" s="3" t="n">
        <v>0</v>
      </c>
      <c r="I253" s="3" t="n">
        <v>0</v>
      </c>
      <c r="J253" s="3" t="n">
        <v>1</v>
      </c>
      <c r="K253" s="3" t="n">
        <v>0</v>
      </c>
      <c r="L253" s="3" t="n">
        <v>0</v>
      </c>
      <c r="M253" s="3" t="n">
        <v>0</v>
      </c>
      <c r="N253" s="3" t="n">
        <v>1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1</v>
      </c>
      <c r="W253" s="3" t="n">
        <v>0</v>
      </c>
      <c r="X253" s="3" t="n">
        <v>1</v>
      </c>
      <c r="Y253" s="3" t="n">
        <v>0</v>
      </c>
      <c r="Z253" s="3" t="n">
        <v>1</v>
      </c>
      <c r="AA253" s="3" t="n">
        <v>1</v>
      </c>
      <c r="AB253" s="3" t="n">
        <v>1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1</v>
      </c>
      <c r="AH253" s="3" t="n">
        <v>1</v>
      </c>
      <c r="AI253" s="3" t="n">
        <v>1</v>
      </c>
      <c r="AJ253" s="4" t="n">
        <f aca="false">SUM(G253:AI253)</f>
        <v>10</v>
      </c>
      <c r="AK253" s="4" t="n">
        <f aca="false">ROUND(SUMPRODUCT(G253:AI253,Gene_Weights!$B$2:$AD$2),3)</f>
        <v>-6.86</v>
      </c>
      <c r="AL253" s="2" t="n">
        <v>5</v>
      </c>
      <c r="AM253" s="2" t="n">
        <v>1</v>
      </c>
      <c r="AN253" s="2" t="n">
        <v>20</v>
      </c>
      <c r="AO253" s="5" t="n">
        <v>75.59</v>
      </c>
      <c r="AP253" s="5" t="n">
        <v>78.01</v>
      </c>
      <c r="AQ253" s="5" t="n">
        <v>80.42</v>
      </c>
      <c r="AR253" s="5" t="n">
        <v>82.83</v>
      </c>
      <c r="AS253" s="5" t="n">
        <v>85.24</v>
      </c>
      <c r="AT253" s="5" t="n">
        <v>87.66</v>
      </c>
      <c r="AU253" s="5" t="n">
        <v>90.07</v>
      </c>
      <c r="AV253" s="5" t="s">
        <v>51</v>
      </c>
    </row>
    <row r="254" customFormat="false" ht="15" hidden="false" customHeight="false" outlineLevel="0" collapsed="false">
      <c r="A254" s="2" t="s">
        <v>98</v>
      </c>
      <c r="B254" s="2" t="n">
        <v>2017</v>
      </c>
      <c r="C254" s="2" t="s">
        <v>49</v>
      </c>
      <c r="D254" s="2" t="n">
        <v>0</v>
      </c>
      <c r="E254" s="2" t="n">
        <v>4</v>
      </c>
      <c r="F254" s="2" t="s">
        <v>50</v>
      </c>
      <c r="G254" s="3" t="n">
        <v>0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</v>
      </c>
      <c r="P254" s="3" t="n">
        <v>0</v>
      </c>
      <c r="Q254" s="3" t="n">
        <v>1</v>
      </c>
      <c r="R254" s="3" t="n">
        <v>0</v>
      </c>
      <c r="S254" s="3" t="n">
        <v>0</v>
      </c>
      <c r="T254" s="3" t="n">
        <v>1</v>
      </c>
      <c r="U254" s="3" t="n">
        <v>0</v>
      </c>
      <c r="V254" s="3" t="n">
        <v>0</v>
      </c>
      <c r="W254" s="3" t="n">
        <v>0</v>
      </c>
      <c r="X254" s="3" t="n">
        <v>1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1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1</v>
      </c>
      <c r="AI254" s="3" t="n">
        <v>0</v>
      </c>
      <c r="AJ254" s="4" t="n">
        <f aca="false">SUM(G254:AI254)</f>
        <v>9</v>
      </c>
      <c r="AK254" s="4" t="n">
        <f aca="false">ROUND(SUMPRODUCT(G254:AI254,Gene_Weights!$B$2:$AD$2),3)</f>
        <v>-6.81</v>
      </c>
      <c r="AL254" s="2" t="n">
        <v>9</v>
      </c>
      <c r="AM254" s="2" t="n">
        <v>4</v>
      </c>
      <c r="AN254" s="2" t="n">
        <v>44.44</v>
      </c>
      <c r="AO254" s="5" t="n">
        <v>55.12</v>
      </c>
      <c r="AP254" s="5" t="n">
        <v>56.02</v>
      </c>
      <c r="AQ254" s="5" t="n">
        <v>56.92</v>
      </c>
      <c r="AR254" s="5" t="n">
        <v>57.82</v>
      </c>
      <c r="AS254" s="5" t="n">
        <v>58.72</v>
      </c>
      <c r="AT254" s="5" t="n">
        <v>59.62</v>
      </c>
      <c r="AU254" s="5" t="n">
        <v>60.52</v>
      </c>
      <c r="AV254" s="5" t="s">
        <v>51</v>
      </c>
    </row>
    <row r="255" customFormat="false" ht="15" hidden="false" customHeight="false" outlineLevel="0" collapsed="false">
      <c r="A255" s="2" t="s">
        <v>98</v>
      </c>
      <c r="B255" s="2" t="n">
        <v>2017</v>
      </c>
      <c r="C255" s="2" t="s">
        <v>52</v>
      </c>
      <c r="D255" s="2" t="n">
        <v>1</v>
      </c>
      <c r="E255" s="2" t="n">
        <v>16</v>
      </c>
      <c r="F255" s="2" t="s">
        <v>50</v>
      </c>
      <c r="G255" s="3" t="n">
        <v>0</v>
      </c>
      <c r="H255" s="3" t="n">
        <v>1</v>
      </c>
      <c r="I255" s="3" t="n">
        <v>1</v>
      </c>
      <c r="J255" s="3" t="n">
        <v>1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1</v>
      </c>
      <c r="P255" s="3" t="n">
        <v>0</v>
      </c>
      <c r="Q255" s="3" t="n">
        <v>1</v>
      </c>
      <c r="R255" s="3" t="n">
        <v>0</v>
      </c>
      <c r="S255" s="3" t="n">
        <v>0</v>
      </c>
      <c r="T255" s="3" t="n">
        <v>1</v>
      </c>
      <c r="U255" s="3" t="n">
        <v>0</v>
      </c>
      <c r="V255" s="3" t="n">
        <v>0</v>
      </c>
      <c r="W255" s="3" t="n">
        <v>0</v>
      </c>
      <c r="X255" s="3" t="n">
        <v>1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1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1</v>
      </c>
      <c r="AI255" s="3" t="n">
        <v>0</v>
      </c>
      <c r="AJ255" s="4" t="n">
        <f aca="false">SUM(G255:AI255)</f>
        <v>9</v>
      </c>
      <c r="AK255" s="4" t="n">
        <f aca="false">ROUND(SUMPRODUCT(G255:AI255,Gene_Weights!$B$2:$AD$2),3)</f>
        <v>-6.81</v>
      </c>
      <c r="AL255" s="2" t="n">
        <v>9</v>
      </c>
      <c r="AM255" s="2" t="n">
        <v>7</v>
      </c>
      <c r="AN255" s="2" t="n">
        <v>77.78</v>
      </c>
      <c r="AO255" s="5" t="n">
        <v>64.53</v>
      </c>
      <c r="AP255" s="5" t="n">
        <v>66.13</v>
      </c>
      <c r="AQ255" s="5" t="n">
        <v>67.73</v>
      </c>
      <c r="AR255" s="5" t="n">
        <v>69.33</v>
      </c>
      <c r="AS255" s="5" t="n">
        <v>70.93</v>
      </c>
      <c r="AT255" s="5" t="n">
        <v>72.53</v>
      </c>
      <c r="AU255" s="5" t="n">
        <v>74.13</v>
      </c>
      <c r="AV255" s="5" t="s">
        <v>51</v>
      </c>
    </row>
    <row r="256" customFormat="false" ht="15" hidden="false" customHeight="false" outlineLevel="0" collapsed="false">
      <c r="A256" s="2" t="s">
        <v>98</v>
      </c>
      <c r="B256" s="2" t="n">
        <v>2017</v>
      </c>
      <c r="C256" s="2" t="s">
        <v>53</v>
      </c>
      <c r="D256" s="2" t="n">
        <v>1</v>
      </c>
      <c r="E256" s="2" t="n">
        <v>32</v>
      </c>
      <c r="F256" s="2" t="s">
        <v>50</v>
      </c>
      <c r="G256" s="3" t="n">
        <v>0</v>
      </c>
      <c r="H256" s="3" t="n">
        <v>1</v>
      </c>
      <c r="I256" s="3" t="n">
        <v>1</v>
      </c>
      <c r="J256" s="3" t="n">
        <v>1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</v>
      </c>
      <c r="P256" s="3" t="n">
        <v>0</v>
      </c>
      <c r="Q256" s="3" t="n">
        <v>1</v>
      </c>
      <c r="R256" s="3" t="n">
        <v>0</v>
      </c>
      <c r="S256" s="3" t="n">
        <v>0</v>
      </c>
      <c r="T256" s="3" t="n">
        <v>1</v>
      </c>
      <c r="U256" s="3" t="n">
        <v>0</v>
      </c>
      <c r="V256" s="3" t="n">
        <v>0</v>
      </c>
      <c r="W256" s="3" t="n">
        <v>0</v>
      </c>
      <c r="X256" s="3" t="n">
        <v>1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1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1</v>
      </c>
      <c r="AI256" s="3" t="n">
        <v>0</v>
      </c>
      <c r="AJ256" s="4" t="n">
        <f aca="false">SUM(G256:AI256)</f>
        <v>9</v>
      </c>
      <c r="AK256" s="4" t="n">
        <f aca="false">ROUND(SUMPRODUCT(G256:AI256,Gene_Weights!$B$2:$AD$2),3)</f>
        <v>-6.81</v>
      </c>
      <c r="AL256" s="2" t="n">
        <v>9</v>
      </c>
      <c r="AM256" s="2" t="n">
        <v>6</v>
      </c>
      <c r="AN256" s="2" t="n">
        <v>66.67</v>
      </c>
      <c r="AO256" s="5" t="n">
        <v>52.86</v>
      </c>
      <c r="AP256" s="5" t="n">
        <v>53.65</v>
      </c>
      <c r="AQ256" s="5" t="n">
        <v>54.45</v>
      </c>
      <c r="AR256" s="5" t="n">
        <v>55.24</v>
      </c>
      <c r="AS256" s="5" t="n">
        <v>56.03</v>
      </c>
      <c r="AT256" s="5" t="n">
        <v>56.83</v>
      </c>
      <c r="AU256" s="5" t="n">
        <v>57.62</v>
      </c>
      <c r="AV256" s="5" t="s">
        <v>51</v>
      </c>
    </row>
    <row r="257" customFormat="false" ht="15" hidden="false" customHeight="false" outlineLevel="0" collapsed="false">
      <c r="A257" s="2" t="s">
        <v>98</v>
      </c>
      <c r="B257" s="2" t="n">
        <v>2017</v>
      </c>
      <c r="C257" s="2" t="s">
        <v>54</v>
      </c>
      <c r="D257" s="2" t="n">
        <v>0</v>
      </c>
      <c r="E257" s="2" t="n">
        <v>16</v>
      </c>
      <c r="F257" s="2" t="s">
        <v>50</v>
      </c>
      <c r="G257" s="3" t="n">
        <v>0</v>
      </c>
      <c r="H257" s="3" t="n">
        <v>1</v>
      </c>
      <c r="I257" s="3" t="n">
        <v>1</v>
      </c>
      <c r="J257" s="3" t="n">
        <v>1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1</v>
      </c>
      <c r="P257" s="3" t="n">
        <v>0</v>
      </c>
      <c r="Q257" s="3" t="n">
        <v>1</v>
      </c>
      <c r="R257" s="3" t="n">
        <v>0</v>
      </c>
      <c r="S257" s="3" t="n">
        <v>0</v>
      </c>
      <c r="T257" s="3" t="n">
        <v>1</v>
      </c>
      <c r="U257" s="3" t="n">
        <v>0</v>
      </c>
      <c r="V257" s="3" t="n">
        <v>0</v>
      </c>
      <c r="W257" s="3" t="n">
        <v>0</v>
      </c>
      <c r="X257" s="3" t="n">
        <v>1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1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1</v>
      </c>
      <c r="AI257" s="3" t="n">
        <v>0</v>
      </c>
      <c r="AJ257" s="4" t="n">
        <f aca="false">SUM(G257:AI257)</f>
        <v>9</v>
      </c>
      <c r="AK257" s="4" t="n">
        <f aca="false">ROUND(SUMPRODUCT(G257:AI257,Gene_Weights!$B$2:$AD$2),3)</f>
        <v>-6.81</v>
      </c>
      <c r="AL257" s="2" t="n">
        <v>9</v>
      </c>
      <c r="AM257" s="2" t="n">
        <v>3</v>
      </c>
      <c r="AN257" s="2" t="n">
        <v>33.33</v>
      </c>
      <c r="AO257" s="5" t="n">
        <v>81.84</v>
      </c>
      <c r="AP257" s="5" t="n">
        <v>84.45</v>
      </c>
      <c r="AQ257" s="5" t="n">
        <v>87.06</v>
      </c>
      <c r="AR257" s="5" t="n">
        <v>89.67</v>
      </c>
      <c r="AS257" s="5" t="n">
        <v>92.27</v>
      </c>
      <c r="AT257" s="5" t="n">
        <v>94.88</v>
      </c>
      <c r="AU257" s="5" t="n">
        <v>97.49</v>
      </c>
      <c r="AV257" s="5" t="s">
        <v>51</v>
      </c>
    </row>
    <row r="258" customFormat="false" ht="15" hidden="false" customHeight="false" outlineLevel="0" collapsed="false">
      <c r="A258" s="2" t="s">
        <v>98</v>
      </c>
      <c r="B258" s="2" t="n">
        <v>2017</v>
      </c>
      <c r="C258" s="2" t="s">
        <v>55</v>
      </c>
      <c r="D258" s="2" t="n">
        <v>1</v>
      </c>
      <c r="E258" s="2" t="n">
        <v>16</v>
      </c>
      <c r="F258" s="2" t="s">
        <v>50</v>
      </c>
      <c r="G258" s="3" t="n">
        <v>0</v>
      </c>
      <c r="H258" s="3" t="n">
        <v>1</v>
      </c>
      <c r="I258" s="3" t="n">
        <v>1</v>
      </c>
      <c r="J258" s="3" t="n">
        <v>1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</v>
      </c>
      <c r="P258" s="3" t="n">
        <v>0</v>
      </c>
      <c r="Q258" s="3" t="n">
        <v>1</v>
      </c>
      <c r="R258" s="3" t="n">
        <v>0</v>
      </c>
      <c r="S258" s="3" t="n">
        <v>0</v>
      </c>
      <c r="T258" s="3" t="n">
        <v>1</v>
      </c>
      <c r="U258" s="3" t="n">
        <v>0</v>
      </c>
      <c r="V258" s="3" t="n">
        <v>0</v>
      </c>
      <c r="W258" s="3" t="n">
        <v>0</v>
      </c>
      <c r="X258" s="3" t="n">
        <v>1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1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</v>
      </c>
      <c r="AI258" s="3" t="n">
        <v>0</v>
      </c>
      <c r="AJ258" s="4" t="n">
        <f aca="false">SUM(G258:AI258)</f>
        <v>9</v>
      </c>
      <c r="AK258" s="4" t="n">
        <f aca="false">ROUND(SUMPRODUCT(G258:AI258,Gene_Weights!$B$2:$AD$2),3)</f>
        <v>-6.81</v>
      </c>
      <c r="AL258" s="2" t="n">
        <v>9</v>
      </c>
      <c r="AM258" s="2" t="n">
        <v>7</v>
      </c>
      <c r="AN258" s="2" t="n">
        <v>77.78</v>
      </c>
      <c r="AO258" s="5" t="n">
        <v>58.19</v>
      </c>
      <c r="AP258" s="5" t="n">
        <v>59.74</v>
      </c>
      <c r="AQ258" s="5" t="n">
        <v>61.3</v>
      </c>
      <c r="AR258" s="5" t="n">
        <v>62.86</v>
      </c>
      <c r="AS258" s="5" t="n">
        <v>64.42</v>
      </c>
      <c r="AT258" s="5" t="n">
        <v>65.98</v>
      </c>
      <c r="AU258" s="5" t="n">
        <v>67.53</v>
      </c>
      <c r="AV258" s="5" t="s">
        <v>51</v>
      </c>
    </row>
    <row r="259" customFormat="false" ht="15" hidden="false" customHeight="false" outlineLevel="0" collapsed="false">
      <c r="A259" s="2" t="s">
        <v>98</v>
      </c>
      <c r="B259" s="2" t="n">
        <v>2017</v>
      </c>
      <c r="C259" s="2" t="s">
        <v>56</v>
      </c>
      <c r="D259" s="2" t="n">
        <v>0</v>
      </c>
      <c r="E259" s="2" t="n">
        <v>16</v>
      </c>
      <c r="F259" s="2" t="s">
        <v>50</v>
      </c>
      <c r="G259" s="3" t="n">
        <v>0</v>
      </c>
      <c r="H259" s="3" t="n">
        <v>1</v>
      </c>
      <c r="I259" s="3" t="n">
        <v>1</v>
      </c>
      <c r="J259" s="3" t="n">
        <v>1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1</v>
      </c>
      <c r="P259" s="3" t="n">
        <v>0</v>
      </c>
      <c r="Q259" s="3" t="n">
        <v>1</v>
      </c>
      <c r="R259" s="3" t="n">
        <v>0</v>
      </c>
      <c r="S259" s="3" t="n">
        <v>0</v>
      </c>
      <c r="T259" s="3" t="n">
        <v>1</v>
      </c>
      <c r="U259" s="3" t="n">
        <v>0</v>
      </c>
      <c r="V259" s="3" t="n">
        <v>0</v>
      </c>
      <c r="W259" s="3" t="n">
        <v>0</v>
      </c>
      <c r="X259" s="3" t="n">
        <v>1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1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1</v>
      </c>
      <c r="AI259" s="3" t="n">
        <v>0</v>
      </c>
      <c r="AJ259" s="4" t="n">
        <f aca="false">SUM(G259:AI259)</f>
        <v>9</v>
      </c>
      <c r="AK259" s="4" t="n">
        <f aca="false">ROUND(SUMPRODUCT(G259:AI259,Gene_Weights!$B$2:$AD$2),3)</f>
        <v>-6.81</v>
      </c>
      <c r="AL259" s="2" t="n">
        <v>9</v>
      </c>
      <c r="AM259" s="2" t="n">
        <v>5</v>
      </c>
      <c r="AN259" s="2" t="n">
        <v>55.56</v>
      </c>
      <c r="AO259" s="5" t="n">
        <v>75.59</v>
      </c>
      <c r="AP259" s="5" t="n">
        <v>78.01</v>
      </c>
      <c r="AQ259" s="5" t="n">
        <v>80.42</v>
      </c>
      <c r="AR259" s="5" t="n">
        <v>82.83</v>
      </c>
      <c r="AS259" s="5" t="n">
        <v>85.24</v>
      </c>
      <c r="AT259" s="5" t="n">
        <v>87.66</v>
      </c>
      <c r="AU259" s="5" t="n">
        <v>90.07</v>
      </c>
      <c r="AV259" s="5" t="s">
        <v>51</v>
      </c>
    </row>
    <row r="260" customFormat="false" ht="15" hidden="false" customHeight="false" outlineLevel="0" collapsed="false">
      <c r="A260" s="2" t="s">
        <v>99</v>
      </c>
      <c r="B260" s="2" t="n">
        <v>2017</v>
      </c>
      <c r="C260" s="2" t="s">
        <v>49</v>
      </c>
      <c r="D260" s="2" t="n">
        <v>0</v>
      </c>
      <c r="E260" s="2" t="n">
        <v>16</v>
      </c>
      <c r="F260" s="2" t="s">
        <v>50</v>
      </c>
      <c r="G260" s="3" t="n">
        <v>1</v>
      </c>
      <c r="H260" s="3" t="n">
        <v>0</v>
      </c>
      <c r="I260" s="3" t="n">
        <v>0</v>
      </c>
      <c r="J260" s="3" t="n">
        <v>0</v>
      </c>
      <c r="K260" s="3" t="n">
        <v>1</v>
      </c>
      <c r="L260" s="3" t="n">
        <v>1</v>
      </c>
      <c r="M260" s="3" t="n">
        <v>0</v>
      </c>
      <c r="N260" s="3" t="n">
        <v>1</v>
      </c>
      <c r="O260" s="3" t="n">
        <v>0</v>
      </c>
      <c r="P260" s="3" t="n">
        <v>1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1</v>
      </c>
      <c r="X260" s="3" t="n">
        <v>0</v>
      </c>
      <c r="Y260" s="3" t="n">
        <v>0</v>
      </c>
      <c r="Z260" s="3" t="n">
        <v>0</v>
      </c>
      <c r="AA260" s="3" t="n">
        <v>1</v>
      </c>
      <c r="AB260" s="3" t="n">
        <v>1</v>
      </c>
      <c r="AC260" s="3" t="n">
        <v>0</v>
      </c>
      <c r="AD260" s="3" t="n">
        <v>1</v>
      </c>
      <c r="AE260" s="3" t="n">
        <v>0</v>
      </c>
      <c r="AF260" s="3" t="n">
        <v>1</v>
      </c>
      <c r="AG260" s="3" t="n">
        <v>1</v>
      </c>
      <c r="AH260" s="3" t="n">
        <v>0</v>
      </c>
      <c r="AI260" s="3" t="n">
        <v>1</v>
      </c>
      <c r="AJ260" s="4" t="n">
        <f aca="false">SUM(G260:AI260)</f>
        <v>12</v>
      </c>
      <c r="AK260" s="4" t="n">
        <f aca="false">ROUND(SUMPRODUCT(G260:AI260,Gene_Weights!$B$2:$AD$2),3)</f>
        <v>-7.74</v>
      </c>
      <c r="AL260" s="2" t="n">
        <v>9</v>
      </c>
      <c r="AM260" s="2" t="n">
        <v>4</v>
      </c>
      <c r="AN260" s="2" t="n">
        <v>44.44</v>
      </c>
      <c r="AO260" s="5" t="n">
        <v>55.12</v>
      </c>
      <c r="AP260" s="5" t="n">
        <v>56.02</v>
      </c>
      <c r="AQ260" s="5" t="n">
        <v>56.92</v>
      </c>
      <c r="AR260" s="5" t="n">
        <v>57.82</v>
      </c>
      <c r="AS260" s="5" t="n">
        <v>58.72</v>
      </c>
      <c r="AT260" s="5" t="n">
        <v>59.62</v>
      </c>
      <c r="AU260" s="5" t="n">
        <v>60.52</v>
      </c>
      <c r="AV260" s="5" t="s">
        <v>51</v>
      </c>
    </row>
    <row r="261" customFormat="false" ht="15" hidden="false" customHeight="false" outlineLevel="0" collapsed="false">
      <c r="A261" s="2" t="s">
        <v>99</v>
      </c>
      <c r="B261" s="2" t="n">
        <v>2017</v>
      </c>
      <c r="C261" s="2" t="s">
        <v>52</v>
      </c>
      <c r="D261" s="2" t="n">
        <v>1</v>
      </c>
      <c r="E261" s="2" t="n">
        <v>2</v>
      </c>
      <c r="F261" s="2" t="s">
        <v>50</v>
      </c>
      <c r="G261" s="3" t="n">
        <v>1</v>
      </c>
      <c r="H261" s="3" t="n">
        <v>0</v>
      </c>
      <c r="I261" s="3" t="n">
        <v>0</v>
      </c>
      <c r="J261" s="3" t="n">
        <v>0</v>
      </c>
      <c r="K261" s="3" t="n">
        <v>1</v>
      </c>
      <c r="L261" s="3" t="n">
        <v>1</v>
      </c>
      <c r="M261" s="3" t="n">
        <v>0</v>
      </c>
      <c r="N261" s="3" t="n">
        <v>1</v>
      </c>
      <c r="O261" s="3" t="n">
        <v>0</v>
      </c>
      <c r="P261" s="3" t="n">
        <v>1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1</v>
      </c>
      <c r="X261" s="3" t="n">
        <v>0</v>
      </c>
      <c r="Y261" s="3" t="n">
        <v>0</v>
      </c>
      <c r="Z261" s="3" t="n">
        <v>0</v>
      </c>
      <c r="AA261" s="3" t="n">
        <v>1</v>
      </c>
      <c r="AB261" s="3" t="n">
        <v>1</v>
      </c>
      <c r="AC261" s="3" t="n">
        <v>0</v>
      </c>
      <c r="AD261" s="3" t="n">
        <v>1</v>
      </c>
      <c r="AE261" s="3" t="n">
        <v>0</v>
      </c>
      <c r="AF261" s="3" t="n">
        <v>1</v>
      </c>
      <c r="AG261" s="3" t="n">
        <v>1</v>
      </c>
      <c r="AH261" s="3" t="n">
        <v>0</v>
      </c>
      <c r="AI261" s="3" t="n">
        <v>1</v>
      </c>
      <c r="AJ261" s="4" t="n">
        <f aca="false">SUM(G261:AI261)</f>
        <v>12</v>
      </c>
      <c r="AK261" s="4" t="n">
        <f aca="false">ROUND(SUMPRODUCT(G261:AI261,Gene_Weights!$B$2:$AD$2),3)</f>
        <v>-7.74</v>
      </c>
      <c r="AL261" s="2" t="n">
        <v>9</v>
      </c>
      <c r="AM261" s="2" t="n">
        <v>7</v>
      </c>
      <c r="AN261" s="2" t="n">
        <v>77.78</v>
      </c>
      <c r="AO261" s="5" t="n">
        <v>64.53</v>
      </c>
      <c r="AP261" s="5" t="n">
        <v>66.13</v>
      </c>
      <c r="AQ261" s="5" t="n">
        <v>67.73</v>
      </c>
      <c r="AR261" s="5" t="n">
        <v>69.33</v>
      </c>
      <c r="AS261" s="5" t="n">
        <v>70.93</v>
      </c>
      <c r="AT261" s="5" t="n">
        <v>72.53</v>
      </c>
      <c r="AU261" s="5" t="n">
        <v>74.13</v>
      </c>
      <c r="AV261" s="5" t="s">
        <v>51</v>
      </c>
    </row>
    <row r="262" customFormat="false" ht="15" hidden="false" customHeight="false" outlineLevel="0" collapsed="false">
      <c r="A262" s="2" t="s">
        <v>99</v>
      </c>
      <c r="B262" s="2" t="n">
        <v>2017</v>
      </c>
      <c r="C262" s="2" t="s">
        <v>53</v>
      </c>
      <c r="D262" s="2" t="n">
        <v>1</v>
      </c>
      <c r="E262" s="2" t="n">
        <v>2</v>
      </c>
      <c r="F262" s="2" t="s">
        <v>50</v>
      </c>
      <c r="G262" s="3" t="n">
        <v>1</v>
      </c>
      <c r="H262" s="3" t="n">
        <v>0</v>
      </c>
      <c r="I262" s="3" t="n">
        <v>0</v>
      </c>
      <c r="J262" s="3" t="n">
        <v>0</v>
      </c>
      <c r="K262" s="3" t="n">
        <v>1</v>
      </c>
      <c r="L262" s="3" t="n">
        <v>1</v>
      </c>
      <c r="M262" s="3" t="n">
        <v>0</v>
      </c>
      <c r="N262" s="3" t="n">
        <v>1</v>
      </c>
      <c r="O262" s="3" t="n">
        <v>0</v>
      </c>
      <c r="P262" s="3" t="n">
        <v>1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1</v>
      </c>
      <c r="X262" s="3" t="n">
        <v>0</v>
      </c>
      <c r="Y262" s="3" t="n">
        <v>0</v>
      </c>
      <c r="Z262" s="3" t="n">
        <v>0</v>
      </c>
      <c r="AA262" s="3" t="n">
        <v>1</v>
      </c>
      <c r="AB262" s="3" t="n">
        <v>1</v>
      </c>
      <c r="AC262" s="3" t="n">
        <v>0</v>
      </c>
      <c r="AD262" s="3" t="n">
        <v>1</v>
      </c>
      <c r="AE262" s="3" t="n">
        <v>0</v>
      </c>
      <c r="AF262" s="3" t="n">
        <v>1</v>
      </c>
      <c r="AG262" s="3" t="n">
        <v>1</v>
      </c>
      <c r="AH262" s="3" t="n">
        <v>0</v>
      </c>
      <c r="AI262" s="3" t="n">
        <v>1</v>
      </c>
      <c r="AJ262" s="4" t="n">
        <f aca="false">SUM(G262:AI262)</f>
        <v>12</v>
      </c>
      <c r="AK262" s="4" t="n">
        <f aca="false">ROUND(SUMPRODUCT(G262:AI262,Gene_Weights!$B$2:$AD$2),3)</f>
        <v>-7.74</v>
      </c>
      <c r="AL262" s="2" t="n">
        <v>9</v>
      </c>
      <c r="AM262" s="2" t="n">
        <v>6</v>
      </c>
      <c r="AN262" s="2" t="n">
        <v>66.67</v>
      </c>
      <c r="AO262" s="5" t="n">
        <v>52.86</v>
      </c>
      <c r="AP262" s="5" t="n">
        <v>53.65</v>
      </c>
      <c r="AQ262" s="5" t="n">
        <v>54.45</v>
      </c>
      <c r="AR262" s="5" t="n">
        <v>55.24</v>
      </c>
      <c r="AS262" s="5" t="n">
        <v>56.03</v>
      </c>
      <c r="AT262" s="5" t="n">
        <v>56.83</v>
      </c>
      <c r="AU262" s="5" t="n">
        <v>57.62</v>
      </c>
      <c r="AV262" s="5" t="s">
        <v>51</v>
      </c>
    </row>
    <row r="263" customFormat="false" ht="15" hidden="false" customHeight="false" outlineLevel="0" collapsed="false">
      <c r="A263" s="2" t="s">
        <v>99</v>
      </c>
      <c r="B263" s="2" t="n">
        <v>2017</v>
      </c>
      <c r="C263" s="2" t="s">
        <v>54</v>
      </c>
      <c r="D263" s="2" t="n">
        <v>0</v>
      </c>
      <c r="E263" s="2" t="n">
        <v>2</v>
      </c>
      <c r="F263" s="2" t="s">
        <v>50</v>
      </c>
      <c r="G263" s="3" t="n">
        <v>1</v>
      </c>
      <c r="H263" s="3" t="n">
        <v>0</v>
      </c>
      <c r="I263" s="3" t="n">
        <v>0</v>
      </c>
      <c r="J263" s="3" t="n">
        <v>0</v>
      </c>
      <c r="K263" s="3" t="n">
        <v>1</v>
      </c>
      <c r="L263" s="3" t="n">
        <v>1</v>
      </c>
      <c r="M263" s="3" t="n">
        <v>0</v>
      </c>
      <c r="N263" s="3" t="n">
        <v>1</v>
      </c>
      <c r="O263" s="3" t="n">
        <v>0</v>
      </c>
      <c r="P263" s="3" t="n">
        <v>1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1</v>
      </c>
      <c r="X263" s="3" t="n">
        <v>0</v>
      </c>
      <c r="Y263" s="3" t="n">
        <v>0</v>
      </c>
      <c r="Z263" s="3" t="n">
        <v>0</v>
      </c>
      <c r="AA263" s="3" t="n">
        <v>1</v>
      </c>
      <c r="AB263" s="3" t="n">
        <v>1</v>
      </c>
      <c r="AC263" s="3" t="n">
        <v>0</v>
      </c>
      <c r="AD263" s="3" t="n">
        <v>1</v>
      </c>
      <c r="AE263" s="3" t="n">
        <v>0</v>
      </c>
      <c r="AF263" s="3" t="n">
        <v>1</v>
      </c>
      <c r="AG263" s="3" t="n">
        <v>1</v>
      </c>
      <c r="AH263" s="3" t="n">
        <v>0</v>
      </c>
      <c r="AI263" s="3" t="n">
        <v>1</v>
      </c>
      <c r="AJ263" s="4" t="n">
        <f aca="false">SUM(G263:AI263)</f>
        <v>12</v>
      </c>
      <c r="AK263" s="4" t="n">
        <f aca="false">ROUND(SUMPRODUCT(G263:AI263,Gene_Weights!$B$2:$AD$2),3)</f>
        <v>-7.74</v>
      </c>
      <c r="AL263" s="2" t="n">
        <v>9</v>
      </c>
      <c r="AM263" s="2" t="n">
        <v>3</v>
      </c>
      <c r="AN263" s="2" t="n">
        <v>33.33</v>
      </c>
      <c r="AO263" s="5" t="n">
        <v>81.84</v>
      </c>
      <c r="AP263" s="5" t="n">
        <v>84.45</v>
      </c>
      <c r="AQ263" s="5" t="n">
        <v>87.06</v>
      </c>
      <c r="AR263" s="5" t="n">
        <v>89.67</v>
      </c>
      <c r="AS263" s="5" t="n">
        <v>92.27</v>
      </c>
      <c r="AT263" s="5" t="n">
        <v>94.88</v>
      </c>
      <c r="AU263" s="5" t="n">
        <v>97.49</v>
      </c>
      <c r="AV263" s="5" t="s">
        <v>51</v>
      </c>
    </row>
    <row r="264" customFormat="false" ht="15" hidden="false" customHeight="false" outlineLevel="0" collapsed="false">
      <c r="A264" s="2" t="s">
        <v>99</v>
      </c>
      <c r="B264" s="2" t="n">
        <v>2017</v>
      </c>
      <c r="C264" s="2" t="s">
        <v>55</v>
      </c>
      <c r="D264" s="2" t="n">
        <v>0</v>
      </c>
      <c r="E264" s="2" t="n">
        <v>16</v>
      </c>
      <c r="F264" s="2" t="s">
        <v>50</v>
      </c>
      <c r="G264" s="3" t="n">
        <v>1</v>
      </c>
      <c r="H264" s="3" t="n">
        <v>0</v>
      </c>
      <c r="I264" s="3" t="n">
        <v>0</v>
      </c>
      <c r="J264" s="3" t="n">
        <v>0</v>
      </c>
      <c r="K264" s="3" t="n">
        <v>1</v>
      </c>
      <c r="L264" s="3" t="n">
        <v>1</v>
      </c>
      <c r="M264" s="3" t="n">
        <v>0</v>
      </c>
      <c r="N264" s="3" t="n">
        <v>1</v>
      </c>
      <c r="O264" s="3" t="n">
        <v>0</v>
      </c>
      <c r="P264" s="3" t="n">
        <v>1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1</v>
      </c>
      <c r="X264" s="3" t="n">
        <v>0</v>
      </c>
      <c r="Y264" s="3" t="n">
        <v>0</v>
      </c>
      <c r="Z264" s="3" t="n">
        <v>0</v>
      </c>
      <c r="AA264" s="3" t="n">
        <v>1</v>
      </c>
      <c r="AB264" s="3" t="n">
        <v>1</v>
      </c>
      <c r="AC264" s="3" t="n">
        <v>0</v>
      </c>
      <c r="AD264" s="3" t="n">
        <v>1</v>
      </c>
      <c r="AE264" s="3" t="n">
        <v>0</v>
      </c>
      <c r="AF264" s="3" t="n">
        <v>1</v>
      </c>
      <c r="AG264" s="3" t="n">
        <v>1</v>
      </c>
      <c r="AH264" s="3" t="n">
        <v>0</v>
      </c>
      <c r="AI264" s="3" t="n">
        <v>1</v>
      </c>
      <c r="AJ264" s="4" t="n">
        <f aca="false">SUM(G264:AI264)</f>
        <v>12</v>
      </c>
      <c r="AK264" s="4" t="n">
        <f aca="false">ROUND(SUMPRODUCT(G264:AI264,Gene_Weights!$B$2:$AD$2),3)</f>
        <v>-7.74</v>
      </c>
      <c r="AL264" s="2" t="n">
        <v>9</v>
      </c>
      <c r="AM264" s="2" t="n">
        <v>7</v>
      </c>
      <c r="AN264" s="2" t="n">
        <v>77.78</v>
      </c>
      <c r="AO264" s="5" t="n">
        <v>58.19</v>
      </c>
      <c r="AP264" s="5" t="n">
        <v>59.74</v>
      </c>
      <c r="AQ264" s="5" t="n">
        <v>61.3</v>
      </c>
      <c r="AR264" s="5" t="n">
        <v>62.86</v>
      </c>
      <c r="AS264" s="5" t="n">
        <v>64.42</v>
      </c>
      <c r="AT264" s="5" t="n">
        <v>65.98</v>
      </c>
      <c r="AU264" s="5" t="n">
        <v>67.53</v>
      </c>
      <c r="AV264" s="5" t="s">
        <v>51</v>
      </c>
    </row>
    <row r="265" customFormat="false" ht="15" hidden="false" customHeight="false" outlineLevel="0" collapsed="false">
      <c r="A265" s="2" t="s">
        <v>99</v>
      </c>
      <c r="B265" s="2" t="n">
        <v>2017</v>
      </c>
      <c r="C265" s="2" t="s">
        <v>56</v>
      </c>
      <c r="D265" s="2" t="n">
        <v>0</v>
      </c>
      <c r="E265" s="2" t="n">
        <v>16</v>
      </c>
      <c r="F265" s="2" t="s">
        <v>50</v>
      </c>
      <c r="G265" s="3" t="n">
        <v>1</v>
      </c>
      <c r="H265" s="3" t="n">
        <v>0</v>
      </c>
      <c r="I265" s="3" t="n">
        <v>0</v>
      </c>
      <c r="J265" s="3" t="n">
        <v>0</v>
      </c>
      <c r="K265" s="3" t="n">
        <v>1</v>
      </c>
      <c r="L265" s="3" t="n">
        <v>1</v>
      </c>
      <c r="M265" s="3" t="n">
        <v>0</v>
      </c>
      <c r="N265" s="3" t="n">
        <v>1</v>
      </c>
      <c r="O265" s="3" t="n">
        <v>0</v>
      </c>
      <c r="P265" s="3" t="n">
        <v>1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1</v>
      </c>
      <c r="X265" s="3" t="n">
        <v>0</v>
      </c>
      <c r="Y265" s="3" t="n">
        <v>0</v>
      </c>
      <c r="Z265" s="3" t="n">
        <v>0</v>
      </c>
      <c r="AA265" s="3" t="n">
        <v>1</v>
      </c>
      <c r="AB265" s="3" t="n">
        <v>1</v>
      </c>
      <c r="AC265" s="3" t="n">
        <v>0</v>
      </c>
      <c r="AD265" s="3" t="n">
        <v>1</v>
      </c>
      <c r="AE265" s="3" t="n">
        <v>0</v>
      </c>
      <c r="AF265" s="3" t="n">
        <v>1</v>
      </c>
      <c r="AG265" s="3" t="n">
        <v>1</v>
      </c>
      <c r="AH265" s="3" t="n">
        <v>0</v>
      </c>
      <c r="AI265" s="3" t="n">
        <v>1</v>
      </c>
      <c r="AJ265" s="4" t="n">
        <f aca="false">SUM(G265:AI265)</f>
        <v>12</v>
      </c>
      <c r="AK265" s="4" t="n">
        <f aca="false">ROUND(SUMPRODUCT(G265:AI265,Gene_Weights!$B$2:$AD$2),3)</f>
        <v>-7.74</v>
      </c>
      <c r="AL265" s="2" t="n">
        <v>9</v>
      </c>
      <c r="AM265" s="2" t="n">
        <v>5</v>
      </c>
      <c r="AN265" s="2" t="n">
        <v>55.56</v>
      </c>
      <c r="AO265" s="5" t="n">
        <v>75.59</v>
      </c>
      <c r="AP265" s="5" t="n">
        <v>78.01</v>
      </c>
      <c r="AQ265" s="5" t="n">
        <v>80.42</v>
      </c>
      <c r="AR265" s="5" t="n">
        <v>82.83</v>
      </c>
      <c r="AS265" s="5" t="n">
        <v>85.24</v>
      </c>
      <c r="AT265" s="5" t="n">
        <v>87.66</v>
      </c>
      <c r="AU265" s="5" t="n">
        <v>90.07</v>
      </c>
      <c r="AV265" s="5" t="s">
        <v>51</v>
      </c>
    </row>
    <row r="266" customFormat="false" ht="15" hidden="false" customHeight="false" outlineLevel="0" collapsed="false">
      <c r="A266" s="2" t="s">
        <v>100</v>
      </c>
      <c r="B266" s="2" t="n">
        <v>2010</v>
      </c>
      <c r="C266" s="2" t="s">
        <v>49</v>
      </c>
      <c r="D266" s="2" t="n">
        <v>0</v>
      </c>
      <c r="E266" s="2" t="n">
        <v>4</v>
      </c>
      <c r="F266" s="2" t="s">
        <v>50</v>
      </c>
      <c r="G266" s="3" t="n">
        <v>0</v>
      </c>
      <c r="H266" s="3" t="n">
        <v>0</v>
      </c>
      <c r="I266" s="3" t="n">
        <v>0</v>
      </c>
      <c r="J266" s="3" t="n">
        <v>1</v>
      </c>
      <c r="K266" s="3" t="n">
        <v>0</v>
      </c>
      <c r="L266" s="3" t="n">
        <v>0</v>
      </c>
      <c r="M266" s="3" t="n">
        <v>0</v>
      </c>
      <c r="N266" s="3" t="n">
        <v>1</v>
      </c>
      <c r="O266" s="3" t="n">
        <v>1</v>
      </c>
      <c r="P266" s="3" t="n">
        <v>0</v>
      </c>
      <c r="Q266" s="3" t="n">
        <v>0</v>
      </c>
      <c r="R266" s="3" t="n">
        <v>1</v>
      </c>
      <c r="S266" s="3" t="n">
        <v>0</v>
      </c>
      <c r="T266" s="3" t="n">
        <v>0</v>
      </c>
      <c r="U266" s="3" t="n">
        <v>1</v>
      </c>
      <c r="V266" s="3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1</v>
      </c>
      <c r="AC266" s="3" t="n">
        <v>1</v>
      </c>
      <c r="AD266" s="3" t="n">
        <v>0</v>
      </c>
      <c r="AE266" s="3" t="n">
        <v>0</v>
      </c>
      <c r="AF266" s="3" t="n">
        <v>1</v>
      </c>
      <c r="AG266" s="3" t="n">
        <v>1</v>
      </c>
      <c r="AH266" s="3" t="n">
        <v>0</v>
      </c>
      <c r="AI266" s="3" t="n">
        <v>0</v>
      </c>
      <c r="AJ266" s="4" t="n">
        <f aca="false">SUM(G266:AI266)</f>
        <v>10</v>
      </c>
      <c r="AK266" s="4" t="n">
        <f aca="false">ROUND(SUMPRODUCT(G266:AI266,Gene_Weights!$B$2:$AD$2),3)</f>
        <v>-7.54</v>
      </c>
      <c r="AL266" s="2" t="n">
        <v>3</v>
      </c>
      <c r="AM266" s="2" t="n">
        <v>0</v>
      </c>
      <c r="AN266" s="2" t="n">
        <v>0</v>
      </c>
      <c r="AO266" s="5" t="n">
        <v>55.12</v>
      </c>
      <c r="AP266" s="5" t="n">
        <v>56.02</v>
      </c>
      <c r="AQ266" s="5" t="n">
        <v>56.92</v>
      </c>
      <c r="AR266" s="5" t="n">
        <v>57.82</v>
      </c>
      <c r="AS266" s="5" t="n">
        <v>58.72</v>
      </c>
      <c r="AT266" s="5" t="n">
        <v>59.62</v>
      </c>
      <c r="AU266" s="5" t="n">
        <v>60.52</v>
      </c>
      <c r="AV266" s="5" t="s">
        <v>51</v>
      </c>
    </row>
    <row r="267" customFormat="false" ht="15" hidden="false" customHeight="false" outlineLevel="0" collapsed="false">
      <c r="A267" s="2" t="s">
        <v>100</v>
      </c>
      <c r="B267" s="2" t="n">
        <v>2010</v>
      </c>
      <c r="C267" s="2" t="s">
        <v>52</v>
      </c>
      <c r="D267" s="2" t="n">
        <v>1</v>
      </c>
      <c r="E267" s="2" t="n">
        <v>16</v>
      </c>
      <c r="F267" s="2" t="s">
        <v>50</v>
      </c>
      <c r="G267" s="3" t="n">
        <v>0</v>
      </c>
      <c r="H267" s="3" t="n">
        <v>0</v>
      </c>
      <c r="I267" s="3" t="n">
        <v>0</v>
      </c>
      <c r="J267" s="3" t="n">
        <v>1</v>
      </c>
      <c r="K267" s="3" t="n">
        <v>0</v>
      </c>
      <c r="L267" s="3" t="n">
        <v>0</v>
      </c>
      <c r="M267" s="3" t="n">
        <v>0</v>
      </c>
      <c r="N267" s="3" t="n">
        <v>1</v>
      </c>
      <c r="O267" s="3" t="n">
        <v>1</v>
      </c>
      <c r="P267" s="3" t="n">
        <v>0</v>
      </c>
      <c r="Q267" s="3" t="n">
        <v>0</v>
      </c>
      <c r="R267" s="3" t="n">
        <v>1</v>
      </c>
      <c r="S267" s="3" t="n">
        <v>0</v>
      </c>
      <c r="T267" s="3" t="n">
        <v>0</v>
      </c>
      <c r="U267" s="3" t="n">
        <v>1</v>
      </c>
      <c r="V267" s="3" t="n">
        <v>0</v>
      </c>
      <c r="W267" s="3" t="n">
        <v>0</v>
      </c>
      <c r="X267" s="3" t="n">
        <v>1</v>
      </c>
      <c r="Y267" s="3" t="n">
        <v>0</v>
      </c>
      <c r="Z267" s="3" t="n">
        <v>0</v>
      </c>
      <c r="AA267" s="3" t="n">
        <v>0</v>
      </c>
      <c r="AB267" s="3" t="n">
        <v>1</v>
      </c>
      <c r="AC267" s="3" t="n">
        <v>1</v>
      </c>
      <c r="AD267" s="3" t="n">
        <v>0</v>
      </c>
      <c r="AE267" s="3" t="n">
        <v>0</v>
      </c>
      <c r="AF267" s="3" t="n">
        <v>1</v>
      </c>
      <c r="AG267" s="3" t="n">
        <v>1</v>
      </c>
      <c r="AH267" s="3" t="n">
        <v>0</v>
      </c>
      <c r="AI267" s="3" t="n">
        <v>0</v>
      </c>
      <c r="AJ267" s="4" t="n">
        <f aca="false">SUM(G267:AI267)</f>
        <v>10</v>
      </c>
      <c r="AK267" s="4" t="n">
        <f aca="false">ROUND(SUMPRODUCT(G267:AI267,Gene_Weights!$B$2:$AD$2),3)</f>
        <v>-7.54</v>
      </c>
      <c r="AL267" s="2" t="n">
        <v>3</v>
      </c>
      <c r="AM267" s="2" t="n">
        <v>2</v>
      </c>
      <c r="AN267" s="2" t="n">
        <v>66.67</v>
      </c>
      <c r="AO267" s="5" t="n">
        <v>64.53</v>
      </c>
      <c r="AP267" s="5" t="n">
        <v>66.13</v>
      </c>
      <c r="AQ267" s="5" t="n">
        <v>67.73</v>
      </c>
      <c r="AR267" s="5" t="n">
        <v>69.33</v>
      </c>
      <c r="AS267" s="5" t="n">
        <v>70.93</v>
      </c>
      <c r="AT267" s="5" t="n">
        <v>72.53</v>
      </c>
      <c r="AU267" s="5" t="n">
        <v>74.13</v>
      </c>
      <c r="AV267" s="5" t="s">
        <v>51</v>
      </c>
    </row>
    <row r="268" customFormat="false" ht="15" hidden="false" customHeight="false" outlineLevel="0" collapsed="false">
      <c r="A268" s="2" t="s">
        <v>100</v>
      </c>
      <c r="B268" s="2" t="n">
        <v>2010</v>
      </c>
      <c r="C268" s="2" t="s">
        <v>53</v>
      </c>
      <c r="D268" s="2" t="n">
        <v>1</v>
      </c>
      <c r="E268" s="2" t="n">
        <v>16</v>
      </c>
      <c r="F268" s="2" t="s">
        <v>50</v>
      </c>
      <c r="G268" s="3" t="n">
        <v>0</v>
      </c>
      <c r="H268" s="3" t="n">
        <v>0</v>
      </c>
      <c r="I268" s="3" t="n">
        <v>0</v>
      </c>
      <c r="J268" s="3" t="n">
        <v>1</v>
      </c>
      <c r="K268" s="3" t="n">
        <v>0</v>
      </c>
      <c r="L268" s="3" t="n">
        <v>0</v>
      </c>
      <c r="M268" s="3" t="n">
        <v>0</v>
      </c>
      <c r="N268" s="3" t="n">
        <v>1</v>
      </c>
      <c r="O268" s="3" t="n">
        <v>1</v>
      </c>
      <c r="P268" s="3" t="n">
        <v>0</v>
      </c>
      <c r="Q268" s="3" t="n">
        <v>0</v>
      </c>
      <c r="R268" s="3" t="n">
        <v>1</v>
      </c>
      <c r="S268" s="3" t="n">
        <v>0</v>
      </c>
      <c r="T268" s="3" t="n">
        <v>0</v>
      </c>
      <c r="U268" s="3" t="n">
        <v>1</v>
      </c>
      <c r="V268" s="3" t="n">
        <v>0</v>
      </c>
      <c r="W268" s="3" t="n">
        <v>0</v>
      </c>
      <c r="X268" s="3" t="n">
        <v>1</v>
      </c>
      <c r="Y268" s="3" t="n">
        <v>0</v>
      </c>
      <c r="Z268" s="3" t="n">
        <v>0</v>
      </c>
      <c r="AA268" s="3" t="n">
        <v>0</v>
      </c>
      <c r="AB268" s="3" t="n">
        <v>1</v>
      </c>
      <c r="AC268" s="3" t="n">
        <v>1</v>
      </c>
      <c r="AD268" s="3" t="n">
        <v>0</v>
      </c>
      <c r="AE268" s="3" t="n">
        <v>0</v>
      </c>
      <c r="AF268" s="3" t="n">
        <v>1</v>
      </c>
      <c r="AG268" s="3" t="n">
        <v>1</v>
      </c>
      <c r="AH268" s="3" t="n">
        <v>0</v>
      </c>
      <c r="AI268" s="3" t="n">
        <v>0</v>
      </c>
      <c r="AJ268" s="4" t="n">
        <f aca="false">SUM(G268:AI268)</f>
        <v>10</v>
      </c>
      <c r="AK268" s="4" t="n">
        <f aca="false">ROUND(SUMPRODUCT(G268:AI268,Gene_Weights!$B$2:$AD$2),3)</f>
        <v>-7.54</v>
      </c>
      <c r="AL268" s="2" t="n">
        <v>3</v>
      </c>
      <c r="AM268" s="2" t="n">
        <v>2</v>
      </c>
      <c r="AN268" s="2" t="n">
        <v>66.67</v>
      </c>
      <c r="AO268" s="5" t="n">
        <v>52.86</v>
      </c>
      <c r="AP268" s="5" t="n">
        <v>53.65</v>
      </c>
      <c r="AQ268" s="5" t="n">
        <v>54.45</v>
      </c>
      <c r="AR268" s="5" t="n">
        <v>55.24</v>
      </c>
      <c r="AS268" s="5" t="n">
        <v>56.03</v>
      </c>
      <c r="AT268" s="5" t="n">
        <v>56.83</v>
      </c>
      <c r="AU268" s="5" t="n">
        <v>57.62</v>
      </c>
      <c r="AV268" s="5" t="s">
        <v>51</v>
      </c>
    </row>
    <row r="269" customFormat="false" ht="15" hidden="false" customHeight="false" outlineLevel="0" collapsed="false">
      <c r="A269" s="2" t="s">
        <v>100</v>
      </c>
      <c r="B269" s="2" t="n">
        <v>2010</v>
      </c>
      <c r="C269" s="2" t="s">
        <v>54</v>
      </c>
      <c r="D269" s="2" t="n">
        <v>0</v>
      </c>
      <c r="E269" s="2" t="n">
        <v>16</v>
      </c>
      <c r="F269" s="2" t="s">
        <v>50</v>
      </c>
      <c r="G269" s="3" t="n">
        <v>0</v>
      </c>
      <c r="H269" s="3" t="n">
        <v>0</v>
      </c>
      <c r="I269" s="3" t="n">
        <v>0</v>
      </c>
      <c r="J269" s="3" t="n">
        <v>1</v>
      </c>
      <c r="K269" s="3" t="n">
        <v>0</v>
      </c>
      <c r="L269" s="3" t="n">
        <v>0</v>
      </c>
      <c r="M269" s="3" t="n">
        <v>0</v>
      </c>
      <c r="N269" s="3" t="n">
        <v>1</v>
      </c>
      <c r="O269" s="3" t="n">
        <v>1</v>
      </c>
      <c r="P269" s="3" t="n">
        <v>0</v>
      </c>
      <c r="Q269" s="3" t="n">
        <v>0</v>
      </c>
      <c r="R269" s="3" t="n">
        <v>1</v>
      </c>
      <c r="S269" s="3" t="n">
        <v>0</v>
      </c>
      <c r="T269" s="3" t="n">
        <v>0</v>
      </c>
      <c r="U269" s="3" t="n">
        <v>1</v>
      </c>
      <c r="V269" s="3" t="n">
        <v>0</v>
      </c>
      <c r="W269" s="3" t="n">
        <v>0</v>
      </c>
      <c r="X269" s="3" t="n">
        <v>1</v>
      </c>
      <c r="Y269" s="3" t="n">
        <v>0</v>
      </c>
      <c r="Z269" s="3" t="n">
        <v>0</v>
      </c>
      <c r="AA269" s="3" t="n">
        <v>0</v>
      </c>
      <c r="AB269" s="3" t="n">
        <v>1</v>
      </c>
      <c r="AC269" s="3" t="n">
        <v>1</v>
      </c>
      <c r="AD269" s="3" t="n">
        <v>0</v>
      </c>
      <c r="AE269" s="3" t="n">
        <v>0</v>
      </c>
      <c r="AF269" s="3" t="n">
        <v>1</v>
      </c>
      <c r="AG269" s="3" t="n">
        <v>1</v>
      </c>
      <c r="AH269" s="3" t="n">
        <v>0</v>
      </c>
      <c r="AI269" s="3" t="n">
        <v>0</v>
      </c>
      <c r="AJ269" s="4" t="n">
        <f aca="false">SUM(G269:AI269)</f>
        <v>10</v>
      </c>
      <c r="AK269" s="4" t="n">
        <f aca="false">ROUND(SUMPRODUCT(G269:AI269,Gene_Weights!$B$2:$AD$2),3)</f>
        <v>-7.54</v>
      </c>
      <c r="AL269" s="2" t="n">
        <v>3</v>
      </c>
      <c r="AM269" s="2" t="n">
        <v>1</v>
      </c>
      <c r="AN269" s="2" t="n">
        <v>33.33</v>
      </c>
      <c r="AO269" s="5" t="n">
        <v>81.84</v>
      </c>
      <c r="AP269" s="5" t="n">
        <v>84.45</v>
      </c>
      <c r="AQ269" s="5" t="n">
        <v>87.06</v>
      </c>
      <c r="AR269" s="5" t="n">
        <v>89.67</v>
      </c>
      <c r="AS269" s="5" t="n">
        <v>92.27</v>
      </c>
      <c r="AT269" s="5" t="n">
        <v>94.88</v>
      </c>
      <c r="AU269" s="5" t="n">
        <v>97.49</v>
      </c>
      <c r="AV269" s="5" t="s">
        <v>51</v>
      </c>
    </row>
    <row r="270" customFormat="false" ht="15" hidden="false" customHeight="false" outlineLevel="0" collapsed="false">
      <c r="A270" s="2" t="s">
        <v>100</v>
      </c>
      <c r="B270" s="2" t="n">
        <v>2010</v>
      </c>
      <c r="C270" s="2" t="s">
        <v>55</v>
      </c>
      <c r="D270" s="2" t="n">
        <v>0</v>
      </c>
      <c r="E270" s="2" t="n">
        <v>16</v>
      </c>
      <c r="F270" s="2" t="s">
        <v>50</v>
      </c>
      <c r="G270" s="3" t="n">
        <v>0</v>
      </c>
      <c r="H270" s="3" t="n">
        <v>0</v>
      </c>
      <c r="I270" s="3" t="n">
        <v>0</v>
      </c>
      <c r="J270" s="3" t="n">
        <v>1</v>
      </c>
      <c r="K270" s="3" t="n">
        <v>0</v>
      </c>
      <c r="L270" s="3" t="n">
        <v>0</v>
      </c>
      <c r="M270" s="3" t="n">
        <v>0</v>
      </c>
      <c r="N270" s="3" t="n">
        <v>1</v>
      </c>
      <c r="O270" s="3" t="n">
        <v>1</v>
      </c>
      <c r="P270" s="3" t="n">
        <v>0</v>
      </c>
      <c r="Q270" s="3" t="n">
        <v>0</v>
      </c>
      <c r="R270" s="3" t="n">
        <v>1</v>
      </c>
      <c r="S270" s="3" t="n">
        <v>0</v>
      </c>
      <c r="T270" s="3" t="n">
        <v>0</v>
      </c>
      <c r="U270" s="3" t="n">
        <v>1</v>
      </c>
      <c r="V270" s="3" t="n">
        <v>0</v>
      </c>
      <c r="W270" s="3" t="n">
        <v>0</v>
      </c>
      <c r="X270" s="3" t="n">
        <v>1</v>
      </c>
      <c r="Y270" s="3" t="n">
        <v>0</v>
      </c>
      <c r="Z270" s="3" t="n">
        <v>0</v>
      </c>
      <c r="AA270" s="3" t="n">
        <v>0</v>
      </c>
      <c r="AB270" s="3" t="n">
        <v>1</v>
      </c>
      <c r="AC270" s="3" t="n">
        <v>1</v>
      </c>
      <c r="AD270" s="3" t="n">
        <v>0</v>
      </c>
      <c r="AE270" s="3" t="n">
        <v>0</v>
      </c>
      <c r="AF270" s="3" t="n">
        <v>1</v>
      </c>
      <c r="AG270" s="3" t="n">
        <v>1</v>
      </c>
      <c r="AH270" s="3" t="n">
        <v>0</v>
      </c>
      <c r="AI270" s="3" t="n">
        <v>0</v>
      </c>
      <c r="AJ270" s="4" t="n">
        <f aca="false">SUM(G270:AI270)</f>
        <v>10</v>
      </c>
      <c r="AK270" s="4" t="n">
        <f aca="false">ROUND(SUMPRODUCT(G270:AI270,Gene_Weights!$B$2:$AD$2),3)</f>
        <v>-7.54</v>
      </c>
      <c r="AL270" s="2" t="n">
        <v>3</v>
      </c>
      <c r="AM270" s="2" t="n">
        <v>0</v>
      </c>
      <c r="AN270" s="2" t="n">
        <v>0</v>
      </c>
      <c r="AO270" s="5" t="n">
        <v>58.19</v>
      </c>
      <c r="AP270" s="5" t="n">
        <v>59.74</v>
      </c>
      <c r="AQ270" s="5" t="n">
        <v>61.3</v>
      </c>
      <c r="AR270" s="5" t="n">
        <v>62.86</v>
      </c>
      <c r="AS270" s="5" t="n">
        <v>64.42</v>
      </c>
      <c r="AT270" s="5" t="n">
        <v>65.98</v>
      </c>
      <c r="AU270" s="5" t="n">
        <v>67.53</v>
      </c>
      <c r="AV270" s="5" t="s">
        <v>51</v>
      </c>
    </row>
    <row r="271" customFormat="false" ht="15" hidden="false" customHeight="false" outlineLevel="0" collapsed="false">
      <c r="A271" s="2" t="s">
        <v>100</v>
      </c>
      <c r="B271" s="2" t="n">
        <v>2010</v>
      </c>
      <c r="C271" s="2" t="s">
        <v>56</v>
      </c>
      <c r="D271" s="2" t="n">
        <v>1</v>
      </c>
      <c r="E271" s="2" t="n">
        <v>4</v>
      </c>
      <c r="F271" s="2" t="s">
        <v>50</v>
      </c>
      <c r="G271" s="3" t="n">
        <v>0</v>
      </c>
      <c r="H271" s="3" t="n">
        <v>0</v>
      </c>
      <c r="I271" s="3" t="n">
        <v>0</v>
      </c>
      <c r="J271" s="3" t="n">
        <v>1</v>
      </c>
      <c r="K271" s="3" t="n">
        <v>0</v>
      </c>
      <c r="L271" s="3" t="n">
        <v>0</v>
      </c>
      <c r="M271" s="3" t="n">
        <v>0</v>
      </c>
      <c r="N271" s="3" t="n">
        <v>1</v>
      </c>
      <c r="O271" s="3" t="n">
        <v>1</v>
      </c>
      <c r="P271" s="3" t="n">
        <v>0</v>
      </c>
      <c r="Q271" s="3" t="n">
        <v>0</v>
      </c>
      <c r="R271" s="3" t="n">
        <v>1</v>
      </c>
      <c r="S271" s="3" t="n">
        <v>0</v>
      </c>
      <c r="T271" s="3" t="n">
        <v>0</v>
      </c>
      <c r="U271" s="3" t="n">
        <v>1</v>
      </c>
      <c r="V271" s="3" t="n">
        <v>0</v>
      </c>
      <c r="W271" s="3" t="n">
        <v>0</v>
      </c>
      <c r="X271" s="3" t="n">
        <v>1</v>
      </c>
      <c r="Y271" s="3" t="n">
        <v>0</v>
      </c>
      <c r="Z271" s="3" t="n">
        <v>0</v>
      </c>
      <c r="AA271" s="3" t="n">
        <v>0</v>
      </c>
      <c r="AB271" s="3" t="n">
        <v>1</v>
      </c>
      <c r="AC271" s="3" t="n">
        <v>1</v>
      </c>
      <c r="AD271" s="3" t="n">
        <v>0</v>
      </c>
      <c r="AE271" s="3" t="n">
        <v>0</v>
      </c>
      <c r="AF271" s="3" t="n">
        <v>1</v>
      </c>
      <c r="AG271" s="3" t="n">
        <v>1</v>
      </c>
      <c r="AH271" s="3" t="n">
        <v>0</v>
      </c>
      <c r="AI271" s="3" t="n">
        <v>0</v>
      </c>
      <c r="AJ271" s="4" t="n">
        <f aca="false">SUM(G271:AI271)</f>
        <v>10</v>
      </c>
      <c r="AK271" s="4" t="n">
        <f aca="false">ROUND(SUMPRODUCT(G271:AI271,Gene_Weights!$B$2:$AD$2),3)</f>
        <v>-7.54</v>
      </c>
      <c r="AL271" s="2" t="n">
        <v>3</v>
      </c>
      <c r="AM271" s="2" t="n">
        <v>3</v>
      </c>
      <c r="AN271" s="2" t="n">
        <v>100</v>
      </c>
      <c r="AO271" s="5" t="n">
        <v>75.59</v>
      </c>
      <c r="AP271" s="5" t="n">
        <v>78.01</v>
      </c>
      <c r="AQ271" s="5" t="n">
        <v>80.42</v>
      </c>
      <c r="AR271" s="5" t="n">
        <v>82.83</v>
      </c>
      <c r="AS271" s="5" t="n">
        <v>85.24</v>
      </c>
      <c r="AT271" s="5" t="n">
        <v>87.66</v>
      </c>
      <c r="AU271" s="5" t="n">
        <v>90.07</v>
      </c>
      <c r="AV271" s="5" t="s">
        <v>51</v>
      </c>
    </row>
    <row r="272" customFormat="false" ht="15" hidden="false" customHeight="false" outlineLevel="0" collapsed="false">
      <c r="A272" s="2" t="s">
        <v>101</v>
      </c>
      <c r="B272" s="2" t="n">
        <v>2023</v>
      </c>
      <c r="C272" s="2" t="s">
        <v>49</v>
      </c>
      <c r="D272" s="2" t="n">
        <v>1</v>
      </c>
      <c r="E272" s="2" t="n">
        <v>2</v>
      </c>
      <c r="F272" s="2" t="s">
        <v>50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1</v>
      </c>
      <c r="L272" s="3" t="n">
        <v>0</v>
      </c>
      <c r="M272" s="3" t="n">
        <v>1</v>
      </c>
      <c r="N272" s="3" t="n">
        <v>1</v>
      </c>
      <c r="O272" s="3" t="n">
        <v>0</v>
      </c>
      <c r="P272" s="3" t="n">
        <v>1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1</v>
      </c>
      <c r="W272" s="3" t="n">
        <v>0</v>
      </c>
      <c r="X272" s="3" t="n">
        <v>0</v>
      </c>
      <c r="Y272" s="3" t="n">
        <v>0</v>
      </c>
      <c r="Z272" s="3" t="n">
        <v>1</v>
      </c>
      <c r="AA272" s="3" t="n">
        <v>1</v>
      </c>
      <c r="AB272" s="3" t="n">
        <v>1</v>
      </c>
      <c r="AC272" s="3" t="n">
        <v>1</v>
      </c>
      <c r="AD272" s="3" t="n">
        <v>0</v>
      </c>
      <c r="AE272" s="3" t="n">
        <v>1</v>
      </c>
      <c r="AF272" s="3" t="n">
        <v>0</v>
      </c>
      <c r="AG272" s="3" t="n">
        <v>1</v>
      </c>
      <c r="AH272" s="3" t="n">
        <v>1</v>
      </c>
      <c r="AI272" s="3" t="n">
        <v>1</v>
      </c>
      <c r="AJ272" s="4" t="n">
        <f aca="false">SUM(G272:AI272)</f>
        <v>13</v>
      </c>
      <c r="AK272" s="4" t="n">
        <f aca="false">ROUND(SUMPRODUCT(G272:AI272,Gene_Weights!$B$2:$AD$2),3)</f>
        <v>-9</v>
      </c>
      <c r="AL272" s="2" t="n">
        <v>9</v>
      </c>
      <c r="AM272" s="2" t="n">
        <v>5</v>
      </c>
      <c r="AN272" s="2" t="n">
        <v>55.56</v>
      </c>
      <c r="AO272" s="5" t="n">
        <v>55.12</v>
      </c>
      <c r="AP272" s="5" t="n">
        <v>56.02</v>
      </c>
      <c r="AQ272" s="5" t="n">
        <v>56.92</v>
      </c>
      <c r="AR272" s="5" t="n">
        <v>57.82</v>
      </c>
      <c r="AS272" s="5" t="n">
        <v>58.72</v>
      </c>
      <c r="AT272" s="5" t="n">
        <v>59.62</v>
      </c>
      <c r="AU272" s="5" t="n">
        <v>60.52</v>
      </c>
      <c r="AV272" s="5" t="s">
        <v>51</v>
      </c>
    </row>
    <row r="273" customFormat="false" ht="15" hidden="false" customHeight="false" outlineLevel="0" collapsed="false">
      <c r="A273" s="2" t="s">
        <v>101</v>
      </c>
      <c r="B273" s="2" t="n">
        <v>2023</v>
      </c>
      <c r="C273" s="2" t="s">
        <v>52</v>
      </c>
      <c r="D273" s="2" t="n">
        <v>0</v>
      </c>
      <c r="E273" s="2" t="n">
        <v>4</v>
      </c>
      <c r="F273" s="2" t="s">
        <v>50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1</v>
      </c>
      <c r="L273" s="3" t="n">
        <v>0</v>
      </c>
      <c r="M273" s="3" t="n">
        <v>1</v>
      </c>
      <c r="N273" s="3" t="n">
        <v>1</v>
      </c>
      <c r="O273" s="3" t="n">
        <v>0</v>
      </c>
      <c r="P273" s="3" t="n">
        <v>1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1</v>
      </c>
      <c r="W273" s="3" t="n">
        <v>0</v>
      </c>
      <c r="X273" s="3" t="n">
        <v>0</v>
      </c>
      <c r="Y273" s="3" t="n">
        <v>0</v>
      </c>
      <c r="Z273" s="3" t="n">
        <v>1</v>
      </c>
      <c r="AA273" s="3" t="n">
        <v>1</v>
      </c>
      <c r="AB273" s="3" t="n">
        <v>1</v>
      </c>
      <c r="AC273" s="3" t="n">
        <v>1</v>
      </c>
      <c r="AD273" s="3" t="n">
        <v>0</v>
      </c>
      <c r="AE273" s="3" t="n">
        <v>1</v>
      </c>
      <c r="AF273" s="3" t="n">
        <v>0</v>
      </c>
      <c r="AG273" s="3" t="n">
        <v>1</v>
      </c>
      <c r="AH273" s="3" t="n">
        <v>1</v>
      </c>
      <c r="AI273" s="3" t="n">
        <v>1</v>
      </c>
      <c r="AJ273" s="4" t="n">
        <f aca="false">SUM(G273:AI273)</f>
        <v>13</v>
      </c>
      <c r="AK273" s="4" t="n">
        <f aca="false">ROUND(SUMPRODUCT(G273:AI273,Gene_Weights!$B$2:$AD$2),3)</f>
        <v>-9</v>
      </c>
      <c r="AL273" s="2" t="n">
        <v>9</v>
      </c>
      <c r="AM273" s="2" t="n">
        <v>7</v>
      </c>
      <c r="AN273" s="2" t="n">
        <v>77.78</v>
      </c>
      <c r="AO273" s="5" t="n">
        <v>64.53</v>
      </c>
      <c r="AP273" s="5" t="n">
        <v>66.13</v>
      </c>
      <c r="AQ273" s="5" t="n">
        <v>67.73</v>
      </c>
      <c r="AR273" s="5" t="n">
        <v>69.33</v>
      </c>
      <c r="AS273" s="5" t="n">
        <v>70.93</v>
      </c>
      <c r="AT273" s="5" t="n">
        <v>72.53</v>
      </c>
      <c r="AU273" s="5" t="n">
        <v>74.13</v>
      </c>
      <c r="AV273" s="5" t="s">
        <v>51</v>
      </c>
    </row>
    <row r="274" customFormat="false" ht="15" hidden="false" customHeight="false" outlineLevel="0" collapsed="false">
      <c r="A274" s="2" t="s">
        <v>101</v>
      </c>
      <c r="B274" s="2" t="n">
        <v>2023</v>
      </c>
      <c r="C274" s="2" t="s">
        <v>53</v>
      </c>
      <c r="D274" s="2" t="n">
        <v>0</v>
      </c>
      <c r="E274" s="2" t="n">
        <v>4</v>
      </c>
      <c r="F274" s="2" t="s">
        <v>50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1</v>
      </c>
      <c r="L274" s="3" t="n">
        <v>0</v>
      </c>
      <c r="M274" s="3" t="n">
        <v>1</v>
      </c>
      <c r="N274" s="3" t="n">
        <v>1</v>
      </c>
      <c r="O274" s="3" t="n">
        <v>0</v>
      </c>
      <c r="P274" s="3" t="n">
        <v>1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1</v>
      </c>
      <c r="W274" s="3" t="n">
        <v>0</v>
      </c>
      <c r="X274" s="3" t="n">
        <v>0</v>
      </c>
      <c r="Y274" s="3" t="n">
        <v>0</v>
      </c>
      <c r="Z274" s="3" t="n">
        <v>1</v>
      </c>
      <c r="AA274" s="3" t="n">
        <v>1</v>
      </c>
      <c r="AB274" s="3" t="n">
        <v>1</v>
      </c>
      <c r="AC274" s="3" t="n">
        <v>1</v>
      </c>
      <c r="AD274" s="3" t="n">
        <v>0</v>
      </c>
      <c r="AE274" s="3" t="n">
        <v>1</v>
      </c>
      <c r="AF274" s="3" t="n">
        <v>0</v>
      </c>
      <c r="AG274" s="3" t="n">
        <v>1</v>
      </c>
      <c r="AH274" s="3" t="n">
        <v>1</v>
      </c>
      <c r="AI274" s="3" t="n">
        <v>1</v>
      </c>
      <c r="AJ274" s="4" t="n">
        <f aca="false">SUM(G274:AI274)</f>
        <v>13</v>
      </c>
      <c r="AK274" s="4" t="n">
        <f aca="false">ROUND(SUMPRODUCT(G274:AI274,Gene_Weights!$B$2:$AD$2),3)</f>
        <v>-9</v>
      </c>
      <c r="AL274" s="2" t="n">
        <v>9</v>
      </c>
      <c r="AM274" s="2" t="n">
        <v>5</v>
      </c>
      <c r="AN274" s="2" t="n">
        <v>55.56</v>
      </c>
      <c r="AO274" s="5" t="n">
        <v>52.86</v>
      </c>
      <c r="AP274" s="5" t="n">
        <v>53.65</v>
      </c>
      <c r="AQ274" s="5" t="n">
        <v>54.45</v>
      </c>
      <c r="AR274" s="5" t="n">
        <v>55.24</v>
      </c>
      <c r="AS274" s="5" t="n">
        <v>56.03</v>
      </c>
      <c r="AT274" s="5" t="n">
        <v>56.83</v>
      </c>
      <c r="AU274" s="5" t="n">
        <v>57.62</v>
      </c>
      <c r="AV274" s="5" t="s">
        <v>51</v>
      </c>
    </row>
    <row r="275" customFormat="false" ht="15" hidden="false" customHeight="false" outlineLevel="0" collapsed="false">
      <c r="A275" s="2" t="s">
        <v>101</v>
      </c>
      <c r="B275" s="2" t="n">
        <v>2023</v>
      </c>
      <c r="C275" s="2" t="s">
        <v>54</v>
      </c>
      <c r="D275" s="2" t="n">
        <v>1</v>
      </c>
      <c r="E275" s="2" t="n">
        <v>16</v>
      </c>
      <c r="F275" s="2" t="s">
        <v>50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1</v>
      </c>
      <c r="L275" s="3" t="n">
        <v>0</v>
      </c>
      <c r="M275" s="3" t="n">
        <v>1</v>
      </c>
      <c r="N275" s="3" t="n">
        <v>1</v>
      </c>
      <c r="O275" s="3" t="n">
        <v>0</v>
      </c>
      <c r="P275" s="3" t="n">
        <v>1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1</v>
      </c>
      <c r="W275" s="3" t="n">
        <v>0</v>
      </c>
      <c r="X275" s="3" t="n">
        <v>0</v>
      </c>
      <c r="Y275" s="3" t="n">
        <v>0</v>
      </c>
      <c r="Z275" s="3" t="n">
        <v>1</v>
      </c>
      <c r="AA275" s="3" t="n">
        <v>1</v>
      </c>
      <c r="AB275" s="3" t="n">
        <v>1</v>
      </c>
      <c r="AC275" s="3" t="n">
        <v>1</v>
      </c>
      <c r="AD275" s="3" t="n">
        <v>0</v>
      </c>
      <c r="AE275" s="3" t="n">
        <v>1</v>
      </c>
      <c r="AF275" s="3" t="n">
        <v>0</v>
      </c>
      <c r="AG275" s="3" t="n">
        <v>1</v>
      </c>
      <c r="AH275" s="3" t="n">
        <v>1</v>
      </c>
      <c r="AI275" s="3" t="n">
        <v>1</v>
      </c>
      <c r="AJ275" s="4" t="n">
        <f aca="false">SUM(G275:AI275)</f>
        <v>13</v>
      </c>
      <c r="AK275" s="4" t="n">
        <f aca="false">ROUND(SUMPRODUCT(G275:AI275,Gene_Weights!$B$2:$AD$2),3)</f>
        <v>-9</v>
      </c>
      <c r="AL275" s="2" t="n">
        <v>9</v>
      </c>
      <c r="AM275" s="2" t="n">
        <v>7</v>
      </c>
      <c r="AN275" s="2" t="n">
        <v>77.78</v>
      </c>
      <c r="AO275" s="5" t="n">
        <v>81.84</v>
      </c>
      <c r="AP275" s="5" t="n">
        <v>84.45</v>
      </c>
      <c r="AQ275" s="5" t="n">
        <v>87.06</v>
      </c>
      <c r="AR275" s="5" t="n">
        <v>89.67</v>
      </c>
      <c r="AS275" s="5" t="n">
        <v>92.27</v>
      </c>
      <c r="AT275" s="5" t="n">
        <v>94.88</v>
      </c>
      <c r="AU275" s="5" t="n">
        <v>97.49</v>
      </c>
      <c r="AV275" s="5" t="s">
        <v>51</v>
      </c>
    </row>
    <row r="276" customFormat="false" ht="15" hidden="false" customHeight="false" outlineLevel="0" collapsed="false">
      <c r="A276" s="2" t="s">
        <v>101</v>
      </c>
      <c r="B276" s="2" t="n">
        <v>2023</v>
      </c>
      <c r="C276" s="2" t="s">
        <v>55</v>
      </c>
      <c r="D276" s="2" t="n">
        <v>0</v>
      </c>
      <c r="E276" s="2" t="n">
        <v>2</v>
      </c>
      <c r="F276" s="2" t="s">
        <v>50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1</v>
      </c>
      <c r="L276" s="3" t="n">
        <v>0</v>
      </c>
      <c r="M276" s="3" t="n">
        <v>1</v>
      </c>
      <c r="N276" s="3" t="n">
        <v>1</v>
      </c>
      <c r="O276" s="3" t="n">
        <v>0</v>
      </c>
      <c r="P276" s="3" t="n">
        <v>1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1</v>
      </c>
      <c r="W276" s="3" t="n">
        <v>0</v>
      </c>
      <c r="X276" s="3" t="n">
        <v>0</v>
      </c>
      <c r="Y276" s="3" t="n">
        <v>0</v>
      </c>
      <c r="Z276" s="3" t="n">
        <v>1</v>
      </c>
      <c r="AA276" s="3" t="n">
        <v>1</v>
      </c>
      <c r="AB276" s="3" t="n">
        <v>1</v>
      </c>
      <c r="AC276" s="3" t="n">
        <v>1</v>
      </c>
      <c r="AD276" s="3" t="n">
        <v>0</v>
      </c>
      <c r="AE276" s="3" t="n">
        <v>1</v>
      </c>
      <c r="AF276" s="3" t="n">
        <v>0</v>
      </c>
      <c r="AG276" s="3" t="n">
        <v>1</v>
      </c>
      <c r="AH276" s="3" t="n">
        <v>1</v>
      </c>
      <c r="AI276" s="3" t="n">
        <v>1</v>
      </c>
      <c r="AJ276" s="4" t="n">
        <f aca="false">SUM(G276:AI276)</f>
        <v>13</v>
      </c>
      <c r="AK276" s="4" t="n">
        <f aca="false">ROUND(SUMPRODUCT(G276:AI276,Gene_Weights!$B$2:$AD$2),3)</f>
        <v>-9</v>
      </c>
      <c r="AL276" s="2" t="n">
        <v>9</v>
      </c>
      <c r="AM276" s="2" t="n">
        <v>2</v>
      </c>
      <c r="AN276" s="2" t="n">
        <v>22.22</v>
      </c>
      <c r="AO276" s="5" t="n">
        <v>58.19</v>
      </c>
      <c r="AP276" s="5" t="n">
        <v>59.74</v>
      </c>
      <c r="AQ276" s="5" t="n">
        <v>61.3</v>
      </c>
      <c r="AR276" s="5" t="n">
        <v>62.86</v>
      </c>
      <c r="AS276" s="5" t="n">
        <v>64.42</v>
      </c>
      <c r="AT276" s="5" t="n">
        <v>65.98</v>
      </c>
      <c r="AU276" s="5" t="n">
        <v>67.53</v>
      </c>
      <c r="AV276" s="5" t="s">
        <v>51</v>
      </c>
    </row>
    <row r="277" customFormat="false" ht="15" hidden="false" customHeight="false" outlineLevel="0" collapsed="false">
      <c r="A277" s="2" t="s">
        <v>101</v>
      </c>
      <c r="B277" s="2" t="n">
        <v>2023</v>
      </c>
      <c r="C277" s="2" t="s">
        <v>56</v>
      </c>
      <c r="D277" s="2" t="n">
        <v>1</v>
      </c>
      <c r="E277" s="2" t="n">
        <v>4</v>
      </c>
      <c r="F277" s="2" t="s">
        <v>50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1</v>
      </c>
      <c r="L277" s="3" t="n">
        <v>0</v>
      </c>
      <c r="M277" s="3" t="n">
        <v>1</v>
      </c>
      <c r="N277" s="3" t="n">
        <v>1</v>
      </c>
      <c r="O277" s="3" t="n">
        <v>0</v>
      </c>
      <c r="P277" s="3" t="n">
        <v>1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1</v>
      </c>
      <c r="W277" s="3" t="n">
        <v>0</v>
      </c>
      <c r="X277" s="3" t="n">
        <v>0</v>
      </c>
      <c r="Y277" s="3" t="n">
        <v>0</v>
      </c>
      <c r="Z277" s="3" t="n">
        <v>1</v>
      </c>
      <c r="AA277" s="3" t="n">
        <v>1</v>
      </c>
      <c r="AB277" s="3" t="n">
        <v>1</v>
      </c>
      <c r="AC277" s="3" t="n">
        <v>1</v>
      </c>
      <c r="AD277" s="3" t="n">
        <v>0</v>
      </c>
      <c r="AE277" s="3" t="n">
        <v>1</v>
      </c>
      <c r="AF277" s="3" t="n">
        <v>0</v>
      </c>
      <c r="AG277" s="3" t="n">
        <v>1</v>
      </c>
      <c r="AH277" s="3" t="n">
        <v>1</v>
      </c>
      <c r="AI277" s="3" t="n">
        <v>1</v>
      </c>
      <c r="AJ277" s="4" t="n">
        <f aca="false">SUM(G277:AI277)</f>
        <v>13</v>
      </c>
      <c r="AK277" s="4" t="n">
        <f aca="false">ROUND(SUMPRODUCT(G277:AI277,Gene_Weights!$B$2:$AD$2),3)</f>
        <v>-9</v>
      </c>
      <c r="AL277" s="2" t="n">
        <v>9</v>
      </c>
      <c r="AM277" s="2" t="n">
        <v>5</v>
      </c>
      <c r="AN277" s="2" t="n">
        <v>55.56</v>
      </c>
      <c r="AO277" s="5" t="n">
        <v>75.59</v>
      </c>
      <c r="AP277" s="5" t="n">
        <v>78.01</v>
      </c>
      <c r="AQ277" s="5" t="n">
        <v>80.42</v>
      </c>
      <c r="AR277" s="5" t="n">
        <v>82.83</v>
      </c>
      <c r="AS277" s="5" t="n">
        <v>85.24</v>
      </c>
      <c r="AT277" s="5" t="n">
        <v>87.66</v>
      </c>
      <c r="AU277" s="5" t="n">
        <v>90.07</v>
      </c>
      <c r="AV277" s="5" t="s">
        <v>51</v>
      </c>
    </row>
    <row r="278" customFormat="false" ht="15" hidden="false" customHeight="false" outlineLevel="0" collapsed="false">
      <c r="A278" s="2" t="s">
        <v>102</v>
      </c>
      <c r="B278" s="2" t="n">
        <v>2016</v>
      </c>
      <c r="C278" s="2" t="s">
        <v>49</v>
      </c>
      <c r="D278" s="2" t="n">
        <v>0</v>
      </c>
      <c r="E278" s="2" t="n">
        <v>2</v>
      </c>
      <c r="F278" s="2" t="s">
        <v>50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n">
        <v>1</v>
      </c>
      <c r="U278" s="3" t="n">
        <v>1</v>
      </c>
      <c r="V278" s="3" t="n">
        <v>1</v>
      </c>
      <c r="W278" s="3" t="n">
        <v>1</v>
      </c>
      <c r="X278" s="3" t="n">
        <v>0</v>
      </c>
      <c r="Y278" s="3" t="n">
        <v>0</v>
      </c>
      <c r="Z278" s="3" t="n">
        <v>1</v>
      </c>
      <c r="AA278" s="3" t="n">
        <v>1</v>
      </c>
      <c r="AB278" s="3" t="n">
        <v>0</v>
      </c>
      <c r="AC278" s="3" t="n">
        <v>0</v>
      </c>
      <c r="AD278" s="3" t="n">
        <v>1</v>
      </c>
      <c r="AE278" s="3" t="n">
        <v>1</v>
      </c>
      <c r="AF278" s="3" t="n">
        <v>1</v>
      </c>
      <c r="AG278" s="3" t="n">
        <v>1</v>
      </c>
      <c r="AH278" s="3" t="n">
        <v>1</v>
      </c>
      <c r="AI278" s="3" t="n">
        <v>0</v>
      </c>
      <c r="AJ278" s="4" t="n">
        <f aca="false">SUM(G278:AI278)</f>
        <v>12</v>
      </c>
      <c r="AK278" s="4" t="n">
        <f aca="false">ROUND(SUMPRODUCT(G278:AI278,Gene_Weights!$B$2:$AD$2),3)</f>
        <v>-6.65</v>
      </c>
      <c r="AL278" s="2" t="n">
        <v>4</v>
      </c>
      <c r="AM278" s="2" t="n">
        <v>1</v>
      </c>
      <c r="AN278" s="2" t="n">
        <v>25</v>
      </c>
      <c r="AO278" s="5" t="n">
        <v>55.12</v>
      </c>
      <c r="AP278" s="5" t="n">
        <v>56.02</v>
      </c>
      <c r="AQ278" s="5" t="n">
        <v>56.92</v>
      </c>
      <c r="AR278" s="5" t="n">
        <v>57.82</v>
      </c>
      <c r="AS278" s="5" t="n">
        <v>58.72</v>
      </c>
      <c r="AT278" s="5" t="n">
        <v>59.62</v>
      </c>
      <c r="AU278" s="5" t="n">
        <v>60.52</v>
      </c>
      <c r="AV278" s="5" t="s">
        <v>51</v>
      </c>
    </row>
    <row r="279" customFormat="false" ht="15" hidden="false" customHeight="false" outlineLevel="0" collapsed="false">
      <c r="A279" s="2" t="s">
        <v>102</v>
      </c>
      <c r="B279" s="2" t="n">
        <v>2016</v>
      </c>
      <c r="C279" s="2" t="s">
        <v>52</v>
      </c>
      <c r="D279" s="2" t="n">
        <v>1</v>
      </c>
      <c r="E279" s="2" t="n">
        <v>32</v>
      </c>
      <c r="F279" s="2" t="s">
        <v>50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1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0</v>
      </c>
      <c r="Y279" s="3" t="n">
        <v>0</v>
      </c>
      <c r="Z279" s="3" t="n">
        <v>1</v>
      </c>
      <c r="AA279" s="3" t="n">
        <v>1</v>
      </c>
      <c r="AB279" s="3" t="n">
        <v>0</v>
      </c>
      <c r="AC279" s="3" t="n">
        <v>0</v>
      </c>
      <c r="AD279" s="3" t="n">
        <v>1</v>
      </c>
      <c r="AE279" s="3" t="n">
        <v>1</v>
      </c>
      <c r="AF279" s="3" t="n">
        <v>1</v>
      </c>
      <c r="AG279" s="3" t="n">
        <v>1</v>
      </c>
      <c r="AH279" s="3" t="n">
        <v>1</v>
      </c>
      <c r="AI279" s="3" t="n">
        <v>0</v>
      </c>
      <c r="AJ279" s="4" t="n">
        <f aca="false">SUM(G279:AI279)</f>
        <v>12</v>
      </c>
      <c r="AK279" s="4" t="n">
        <f aca="false">ROUND(SUMPRODUCT(G279:AI279,Gene_Weights!$B$2:$AD$2),3)</f>
        <v>-6.65</v>
      </c>
      <c r="AL279" s="2" t="n">
        <v>4</v>
      </c>
      <c r="AM279" s="2" t="n">
        <v>3</v>
      </c>
      <c r="AN279" s="2" t="n">
        <v>75</v>
      </c>
      <c r="AO279" s="5" t="n">
        <v>64.53</v>
      </c>
      <c r="AP279" s="5" t="n">
        <v>66.13</v>
      </c>
      <c r="AQ279" s="5" t="n">
        <v>67.73</v>
      </c>
      <c r="AR279" s="5" t="n">
        <v>69.33</v>
      </c>
      <c r="AS279" s="5" t="n">
        <v>70.93</v>
      </c>
      <c r="AT279" s="5" t="n">
        <v>72.53</v>
      </c>
      <c r="AU279" s="5" t="n">
        <v>74.13</v>
      </c>
      <c r="AV279" s="5" t="s">
        <v>51</v>
      </c>
    </row>
    <row r="280" customFormat="false" ht="15" hidden="false" customHeight="false" outlineLevel="0" collapsed="false">
      <c r="A280" s="2" t="s">
        <v>102</v>
      </c>
      <c r="B280" s="2" t="n">
        <v>2016</v>
      </c>
      <c r="C280" s="2" t="s">
        <v>53</v>
      </c>
      <c r="D280" s="2" t="n">
        <v>1</v>
      </c>
      <c r="E280" s="2" t="n">
        <v>16</v>
      </c>
      <c r="F280" s="2" t="s">
        <v>50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</v>
      </c>
      <c r="T280" s="3" t="n">
        <v>1</v>
      </c>
      <c r="U280" s="3" t="n">
        <v>1</v>
      </c>
      <c r="V280" s="3" t="n">
        <v>1</v>
      </c>
      <c r="W280" s="3" t="n">
        <v>1</v>
      </c>
      <c r="X280" s="3" t="n">
        <v>0</v>
      </c>
      <c r="Y280" s="3" t="n">
        <v>0</v>
      </c>
      <c r="Z280" s="3" t="n">
        <v>1</v>
      </c>
      <c r="AA280" s="3" t="n">
        <v>1</v>
      </c>
      <c r="AB280" s="3" t="n">
        <v>0</v>
      </c>
      <c r="AC280" s="3" t="n">
        <v>0</v>
      </c>
      <c r="AD280" s="3" t="n">
        <v>1</v>
      </c>
      <c r="AE280" s="3" t="n">
        <v>1</v>
      </c>
      <c r="AF280" s="3" t="n">
        <v>1</v>
      </c>
      <c r="AG280" s="3" t="n">
        <v>1</v>
      </c>
      <c r="AH280" s="3" t="n">
        <v>1</v>
      </c>
      <c r="AI280" s="3" t="n">
        <v>0</v>
      </c>
      <c r="AJ280" s="4" t="n">
        <f aca="false">SUM(G280:AI280)</f>
        <v>12</v>
      </c>
      <c r="AK280" s="4" t="n">
        <f aca="false">ROUND(SUMPRODUCT(G280:AI280,Gene_Weights!$B$2:$AD$2),3)</f>
        <v>-6.65</v>
      </c>
      <c r="AL280" s="2" t="n">
        <v>4</v>
      </c>
      <c r="AM280" s="2" t="n">
        <v>3</v>
      </c>
      <c r="AN280" s="2" t="n">
        <v>75</v>
      </c>
      <c r="AO280" s="5" t="n">
        <v>52.86</v>
      </c>
      <c r="AP280" s="5" t="n">
        <v>53.65</v>
      </c>
      <c r="AQ280" s="5" t="n">
        <v>54.45</v>
      </c>
      <c r="AR280" s="5" t="n">
        <v>55.24</v>
      </c>
      <c r="AS280" s="5" t="n">
        <v>56.03</v>
      </c>
      <c r="AT280" s="5" t="n">
        <v>56.83</v>
      </c>
      <c r="AU280" s="5" t="n">
        <v>57.62</v>
      </c>
      <c r="AV280" s="5" t="s">
        <v>51</v>
      </c>
    </row>
    <row r="281" customFormat="false" ht="15" hidden="false" customHeight="false" outlineLevel="0" collapsed="false">
      <c r="A281" s="2" t="s">
        <v>102</v>
      </c>
      <c r="B281" s="2" t="n">
        <v>2016</v>
      </c>
      <c r="C281" s="2" t="s">
        <v>54</v>
      </c>
      <c r="D281" s="2" t="n">
        <v>0</v>
      </c>
      <c r="E281" s="2" t="n">
        <v>32</v>
      </c>
      <c r="F281" s="2" t="s">
        <v>50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1</v>
      </c>
      <c r="T281" s="3" t="n">
        <v>1</v>
      </c>
      <c r="U281" s="3" t="n">
        <v>1</v>
      </c>
      <c r="V281" s="3" t="n">
        <v>1</v>
      </c>
      <c r="W281" s="3" t="n">
        <v>1</v>
      </c>
      <c r="X281" s="3" t="n">
        <v>0</v>
      </c>
      <c r="Y281" s="3" t="n">
        <v>0</v>
      </c>
      <c r="Z281" s="3" t="n">
        <v>1</v>
      </c>
      <c r="AA281" s="3" t="n">
        <v>1</v>
      </c>
      <c r="AB281" s="3" t="n">
        <v>0</v>
      </c>
      <c r="AC281" s="3" t="n">
        <v>0</v>
      </c>
      <c r="AD281" s="3" t="n">
        <v>1</v>
      </c>
      <c r="AE281" s="3" t="n">
        <v>1</v>
      </c>
      <c r="AF281" s="3" t="n">
        <v>1</v>
      </c>
      <c r="AG281" s="3" t="n">
        <v>1</v>
      </c>
      <c r="AH281" s="3" t="n">
        <v>1</v>
      </c>
      <c r="AI281" s="3" t="n">
        <v>0</v>
      </c>
      <c r="AJ281" s="4" t="n">
        <f aca="false">SUM(G281:AI281)</f>
        <v>12</v>
      </c>
      <c r="AK281" s="4" t="n">
        <f aca="false">ROUND(SUMPRODUCT(G281:AI281,Gene_Weights!$B$2:$AD$2),3)</f>
        <v>-6.65</v>
      </c>
      <c r="AL281" s="2" t="n">
        <v>4</v>
      </c>
      <c r="AM281" s="2" t="n">
        <v>2</v>
      </c>
      <c r="AN281" s="2" t="n">
        <v>50</v>
      </c>
      <c r="AO281" s="5" t="n">
        <v>81.84</v>
      </c>
      <c r="AP281" s="5" t="n">
        <v>84.45</v>
      </c>
      <c r="AQ281" s="5" t="n">
        <v>87.06</v>
      </c>
      <c r="AR281" s="5" t="n">
        <v>89.67</v>
      </c>
      <c r="AS281" s="5" t="n">
        <v>92.27</v>
      </c>
      <c r="AT281" s="5" t="n">
        <v>94.88</v>
      </c>
      <c r="AU281" s="5" t="n">
        <v>97.49</v>
      </c>
      <c r="AV281" s="5" t="s">
        <v>51</v>
      </c>
    </row>
    <row r="282" customFormat="false" ht="15" hidden="false" customHeight="false" outlineLevel="0" collapsed="false">
      <c r="A282" s="2" t="s">
        <v>102</v>
      </c>
      <c r="B282" s="2" t="n">
        <v>2016</v>
      </c>
      <c r="C282" s="2" t="s">
        <v>55</v>
      </c>
      <c r="D282" s="2" t="n">
        <v>1</v>
      </c>
      <c r="E282" s="2" t="n">
        <v>32</v>
      </c>
      <c r="F282" s="2" t="s">
        <v>50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1</v>
      </c>
      <c r="T282" s="3" t="n">
        <v>1</v>
      </c>
      <c r="U282" s="3" t="n">
        <v>1</v>
      </c>
      <c r="V282" s="3" t="n">
        <v>1</v>
      </c>
      <c r="W282" s="3" t="n">
        <v>1</v>
      </c>
      <c r="X282" s="3" t="n">
        <v>0</v>
      </c>
      <c r="Y282" s="3" t="n">
        <v>0</v>
      </c>
      <c r="Z282" s="3" t="n">
        <v>1</v>
      </c>
      <c r="AA282" s="3" t="n">
        <v>1</v>
      </c>
      <c r="AB282" s="3" t="n">
        <v>0</v>
      </c>
      <c r="AC282" s="3" t="n">
        <v>0</v>
      </c>
      <c r="AD282" s="3" t="n">
        <v>1</v>
      </c>
      <c r="AE282" s="3" t="n">
        <v>1</v>
      </c>
      <c r="AF282" s="3" t="n">
        <v>1</v>
      </c>
      <c r="AG282" s="3" t="n">
        <v>1</v>
      </c>
      <c r="AH282" s="3" t="n">
        <v>1</v>
      </c>
      <c r="AI282" s="3" t="n">
        <v>0</v>
      </c>
      <c r="AJ282" s="4" t="n">
        <f aca="false">SUM(G282:AI282)</f>
        <v>12</v>
      </c>
      <c r="AK282" s="4" t="n">
        <f aca="false">ROUND(SUMPRODUCT(G282:AI282,Gene_Weights!$B$2:$AD$2),3)</f>
        <v>-6.65</v>
      </c>
      <c r="AL282" s="2" t="n">
        <v>4</v>
      </c>
      <c r="AM282" s="2" t="n">
        <v>2</v>
      </c>
      <c r="AN282" s="2" t="n">
        <v>50</v>
      </c>
      <c r="AO282" s="5" t="n">
        <v>58.19</v>
      </c>
      <c r="AP282" s="5" t="n">
        <v>59.74</v>
      </c>
      <c r="AQ282" s="5" t="n">
        <v>61.3</v>
      </c>
      <c r="AR282" s="5" t="n">
        <v>62.86</v>
      </c>
      <c r="AS282" s="5" t="n">
        <v>64.42</v>
      </c>
      <c r="AT282" s="5" t="n">
        <v>65.98</v>
      </c>
      <c r="AU282" s="5" t="n">
        <v>67.53</v>
      </c>
      <c r="AV282" s="5" t="s">
        <v>51</v>
      </c>
    </row>
    <row r="283" customFormat="false" ht="15" hidden="false" customHeight="false" outlineLevel="0" collapsed="false">
      <c r="A283" s="2" t="s">
        <v>102</v>
      </c>
      <c r="B283" s="2" t="n">
        <v>2016</v>
      </c>
      <c r="C283" s="2" t="s">
        <v>56</v>
      </c>
      <c r="D283" s="2" t="n">
        <v>1</v>
      </c>
      <c r="E283" s="2" t="n">
        <v>2</v>
      </c>
      <c r="F283" s="2" t="s">
        <v>50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1</v>
      </c>
      <c r="T283" s="3" t="n">
        <v>1</v>
      </c>
      <c r="U283" s="3" t="n">
        <v>1</v>
      </c>
      <c r="V283" s="3" t="n">
        <v>1</v>
      </c>
      <c r="W283" s="3" t="n">
        <v>1</v>
      </c>
      <c r="X283" s="3" t="n">
        <v>0</v>
      </c>
      <c r="Y283" s="3" t="n">
        <v>0</v>
      </c>
      <c r="Z283" s="3" t="n">
        <v>1</v>
      </c>
      <c r="AA283" s="3" t="n">
        <v>1</v>
      </c>
      <c r="AB283" s="3" t="n">
        <v>0</v>
      </c>
      <c r="AC283" s="3" t="n">
        <v>0</v>
      </c>
      <c r="AD283" s="3" t="n">
        <v>1</v>
      </c>
      <c r="AE283" s="3" t="n">
        <v>1</v>
      </c>
      <c r="AF283" s="3" t="n">
        <v>1</v>
      </c>
      <c r="AG283" s="3" t="n">
        <v>1</v>
      </c>
      <c r="AH283" s="3" t="n">
        <v>1</v>
      </c>
      <c r="AI283" s="3" t="n">
        <v>0</v>
      </c>
      <c r="AJ283" s="4" t="n">
        <f aca="false">SUM(G283:AI283)</f>
        <v>12</v>
      </c>
      <c r="AK283" s="4" t="n">
        <f aca="false">ROUND(SUMPRODUCT(G283:AI283,Gene_Weights!$B$2:$AD$2),3)</f>
        <v>-6.65</v>
      </c>
      <c r="AL283" s="2" t="n">
        <v>4</v>
      </c>
      <c r="AM283" s="2" t="n">
        <v>2</v>
      </c>
      <c r="AN283" s="2" t="n">
        <v>50</v>
      </c>
      <c r="AO283" s="5" t="n">
        <v>75.59</v>
      </c>
      <c r="AP283" s="5" t="n">
        <v>78.01</v>
      </c>
      <c r="AQ283" s="5" t="n">
        <v>80.42</v>
      </c>
      <c r="AR283" s="5" t="n">
        <v>82.83</v>
      </c>
      <c r="AS283" s="5" t="n">
        <v>85.24</v>
      </c>
      <c r="AT283" s="5" t="n">
        <v>87.66</v>
      </c>
      <c r="AU283" s="5" t="n">
        <v>90.07</v>
      </c>
      <c r="AV283" s="5" t="s">
        <v>51</v>
      </c>
    </row>
    <row r="284" customFormat="false" ht="15" hidden="false" customHeight="false" outlineLevel="0" collapsed="false">
      <c r="A284" s="2" t="s">
        <v>103</v>
      </c>
      <c r="B284" s="2" t="n">
        <v>2009</v>
      </c>
      <c r="C284" s="2" t="s">
        <v>49</v>
      </c>
      <c r="D284" s="2" t="n">
        <v>0</v>
      </c>
      <c r="E284" s="2" t="n">
        <v>16</v>
      </c>
      <c r="F284" s="2" t="s">
        <v>50</v>
      </c>
      <c r="G284" s="3" t="n">
        <v>0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1</v>
      </c>
      <c r="W284" s="3" t="n">
        <v>0</v>
      </c>
      <c r="X284" s="3" t="n">
        <v>1</v>
      </c>
      <c r="Y284" s="3" t="n">
        <v>0</v>
      </c>
      <c r="Z284" s="3" t="n">
        <v>1</v>
      </c>
      <c r="AA284" s="3" t="n">
        <v>0</v>
      </c>
      <c r="AB284" s="3" t="n">
        <v>1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4" t="n">
        <f aca="false">SUM(G284:AI284)</f>
        <v>6</v>
      </c>
      <c r="AK284" s="4" t="n">
        <f aca="false">ROUND(SUMPRODUCT(G284:AI284,Gene_Weights!$B$2:$AD$2),3)</f>
        <v>-2.92</v>
      </c>
      <c r="AL284" s="2" t="n">
        <v>12</v>
      </c>
      <c r="AM284" s="2" t="n">
        <v>4</v>
      </c>
      <c r="AN284" s="2" t="n">
        <v>33.33</v>
      </c>
      <c r="AO284" s="5" t="n">
        <v>55.12</v>
      </c>
      <c r="AP284" s="5" t="n">
        <v>56.02</v>
      </c>
      <c r="AQ284" s="5" t="n">
        <v>56.92</v>
      </c>
      <c r="AR284" s="5" t="n">
        <v>57.82</v>
      </c>
      <c r="AS284" s="5" t="n">
        <v>58.72</v>
      </c>
      <c r="AT284" s="5" t="n">
        <v>59.62</v>
      </c>
      <c r="AU284" s="5" t="n">
        <v>60.52</v>
      </c>
      <c r="AV284" s="5" t="s">
        <v>51</v>
      </c>
    </row>
    <row r="285" customFormat="false" ht="15" hidden="false" customHeight="false" outlineLevel="0" collapsed="false">
      <c r="A285" s="2" t="s">
        <v>103</v>
      </c>
      <c r="B285" s="2" t="n">
        <v>2009</v>
      </c>
      <c r="C285" s="2" t="s">
        <v>52</v>
      </c>
      <c r="D285" s="2" t="n">
        <v>1</v>
      </c>
      <c r="E285" s="2" t="n">
        <v>16</v>
      </c>
      <c r="F285" s="2" t="s">
        <v>50</v>
      </c>
      <c r="G285" s="3" t="n">
        <v>0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1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1</v>
      </c>
      <c r="W285" s="3" t="n">
        <v>0</v>
      </c>
      <c r="X285" s="3" t="n">
        <v>1</v>
      </c>
      <c r="Y285" s="3" t="n">
        <v>0</v>
      </c>
      <c r="Z285" s="3" t="n">
        <v>1</v>
      </c>
      <c r="AA285" s="3" t="n">
        <v>0</v>
      </c>
      <c r="AB285" s="3" t="n">
        <v>1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4" t="n">
        <f aca="false">SUM(G285:AI285)</f>
        <v>6</v>
      </c>
      <c r="AK285" s="4" t="n">
        <f aca="false">ROUND(SUMPRODUCT(G285:AI285,Gene_Weights!$B$2:$AD$2),3)</f>
        <v>-2.92</v>
      </c>
      <c r="AL285" s="2" t="n">
        <v>12</v>
      </c>
      <c r="AM285" s="2" t="n">
        <v>3</v>
      </c>
      <c r="AN285" s="2" t="n">
        <v>25</v>
      </c>
      <c r="AO285" s="5" t="n">
        <v>64.53</v>
      </c>
      <c r="AP285" s="5" t="n">
        <v>66.13</v>
      </c>
      <c r="AQ285" s="5" t="n">
        <v>67.73</v>
      </c>
      <c r="AR285" s="5" t="n">
        <v>69.33</v>
      </c>
      <c r="AS285" s="5" t="n">
        <v>70.93</v>
      </c>
      <c r="AT285" s="5" t="n">
        <v>72.53</v>
      </c>
      <c r="AU285" s="5" t="n">
        <v>74.13</v>
      </c>
      <c r="AV285" s="5" t="s">
        <v>51</v>
      </c>
    </row>
    <row r="286" customFormat="false" ht="15" hidden="false" customHeight="false" outlineLevel="0" collapsed="false">
      <c r="A286" s="2" t="s">
        <v>103</v>
      </c>
      <c r="B286" s="2" t="n">
        <v>2009</v>
      </c>
      <c r="C286" s="2" t="s">
        <v>53</v>
      </c>
      <c r="D286" s="2" t="n">
        <v>1</v>
      </c>
      <c r="E286" s="2" t="n">
        <v>16</v>
      </c>
      <c r="F286" s="2" t="s">
        <v>50</v>
      </c>
      <c r="G286" s="3" t="n">
        <v>0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1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1</v>
      </c>
      <c r="W286" s="3" t="n">
        <v>0</v>
      </c>
      <c r="X286" s="3" t="n">
        <v>1</v>
      </c>
      <c r="Y286" s="3" t="n">
        <v>0</v>
      </c>
      <c r="Z286" s="3" t="n">
        <v>1</v>
      </c>
      <c r="AA286" s="3" t="n">
        <v>0</v>
      </c>
      <c r="AB286" s="3" t="n">
        <v>1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4" t="n">
        <f aca="false">SUM(G286:AI286)</f>
        <v>6</v>
      </c>
      <c r="AK286" s="4" t="n">
        <f aca="false">ROUND(SUMPRODUCT(G286:AI286,Gene_Weights!$B$2:$AD$2),3)</f>
        <v>-2.92</v>
      </c>
      <c r="AL286" s="2" t="n">
        <v>12</v>
      </c>
      <c r="AM286" s="2" t="n">
        <v>9</v>
      </c>
      <c r="AN286" s="2" t="n">
        <v>75</v>
      </c>
      <c r="AO286" s="5" t="n">
        <v>52.86</v>
      </c>
      <c r="AP286" s="5" t="n">
        <v>53.65</v>
      </c>
      <c r="AQ286" s="5" t="n">
        <v>54.45</v>
      </c>
      <c r="AR286" s="5" t="n">
        <v>55.24</v>
      </c>
      <c r="AS286" s="5" t="n">
        <v>56.03</v>
      </c>
      <c r="AT286" s="5" t="n">
        <v>56.83</v>
      </c>
      <c r="AU286" s="5" t="n">
        <v>57.62</v>
      </c>
      <c r="AV286" s="5" t="s">
        <v>51</v>
      </c>
    </row>
    <row r="287" customFormat="false" ht="15" hidden="false" customHeight="false" outlineLevel="0" collapsed="false">
      <c r="A287" s="2" t="s">
        <v>103</v>
      </c>
      <c r="B287" s="2" t="n">
        <v>2009</v>
      </c>
      <c r="C287" s="2" t="s">
        <v>54</v>
      </c>
      <c r="D287" s="2" t="n">
        <v>1</v>
      </c>
      <c r="E287" s="2" t="n">
        <v>4</v>
      </c>
      <c r="F287" s="2" t="s">
        <v>50</v>
      </c>
      <c r="G287" s="3" t="n">
        <v>0</v>
      </c>
      <c r="H287" s="3" t="n">
        <v>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1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1</v>
      </c>
      <c r="W287" s="3" t="n">
        <v>0</v>
      </c>
      <c r="X287" s="3" t="n">
        <v>1</v>
      </c>
      <c r="Y287" s="3" t="n">
        <v>0</v>
      </c>
      <c r="Z287" s="3" t="n">
        <v>1</v>
      </c>
      <c r="AA287" s="3" t="n">
        <v>0</v>
      </c>
      <c r="AB287" s="3" t="n">
        <v>1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4" t="n">
        <f aca="false">SUM(G287:AI287)</f>
        <v>6</v>
      </c>
      <c r="AK287" s="4" t="n">
        <f aca="false">ROUND(SUMPRODUCT(G287:AI287,Gene_Weights!$B$2:$AD$2),3)</f>
        <v>-2.92</v>
      </c>
      <c r="AL287" s="2" t="n">
        <v>12</v>
      </c>
      <c r="AM287" s="2" t="n">
        <v>8</v>
      </c>
      <c r="AN287" s="2" t="n">
        <v>66.67</v>
      </c>
      <c r="AO287" s="5" t="n">
        <v>81.84</v>
      </c>
      <c r="AP287" s="5" t="n">
        <v>84.45</v>
      </c>
      <c r="AQ287" s="5" t="n">
        <v>87.06</v>
      </c>
      <c r="AR287" s="5" t="n">
        <v>89.67</v>
      </c>
      <c r="AS287" s="5" t="n">
        <v>92.27</v>
      </c>
      <c r="AT287" s="5" t="n">
        <v>94.88</v>
      </c>
      <c r="AU287" s="5" t="n">
        <v>97.49</v>
      </c>
      <c r="AV287" s="5" t="s">
        <v>51</v>
      </c>
    </row>
    <row r="288" customFormat="false" ht="15" hidden="false" customHeight="false" outlineLevel="0" collapsed="false">
      <c r="A288" s="2" t="s">
        <v>103</v>
      </c>
      <c r="B288" s="2" t="n">
        <v>2009</v>
      </c>
      <c r="C288" s="2" t="s">
        <v>55</v>
      </c>
      <c r="D288" s="2" t="n">
        <v>0</v>
      </c>
      <c r="E288" s="2" t="n">
        <v>4</v>
      </c>
      <c r="F288" s="2" t="s">
        <v>50</v>
      </c>
      <c r="G288" s="3" t="n">
        <v>0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1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</v>
      </c>
      <c r="W288" s="3" t="n">
        <v>0</v>
      </c>
      <c r="X288" s="3" t="n">
        <v>1</v>
      </c>
      <c r="Y288" s="3" t="n">
        <v>0</v>
      </c>
      <c r="Z288" s="3" t="n">
        <v>1</v>
      </c>
      <c r="AA288" s="3" t="n">
        <v>0</v>
      </c>
      <c r="AB288" s="3" t="n">
        <v>1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4" t="n">
        <f aca="false">SUM(G288:AI288)</f>
        <v>6</v>
      </c>
      <c r="AK288" s="4" t="n">
        <f aca="false">ROUND(SUMPRODUCT(G288:AI288,Gene_Weights!$B$2:$AD$2),3)</f>
        <v>-2.92</v>
      </c>
      <c r="AL288" s="2" t="n">
        <v>12</v>
      </c>
      <c r="AM288" s="2" t="n">
        <v>2</v>
      </c>
      <c r="AN288" s="2" t="n">
        <v>16.67</v>
      </c>
      <c r="AO288" s="5" t="n">
        <v>58.19</v>
      </c>
      <c r="AP288" s="5" t="n">
        <v>59.74</v>
      </c>
      <c r="AQ288" s="5" t="n">
        <v>61.3</v>
      </c>
      <c r="AR288" s="5" t="n">
        <v>62.86</v>
      </c>
      <c r="AS288" s="5" t="n">
        <v>64.42</v>
      </c>
      <c r="AT288" s="5" t="n">
        <v>65.98</v>
      </c>
      <c r="AU288" s="5" t="n">
        <v>67.53</v>
      </c>
      <c r="AV288" s="5" t="s">
        <v>51</v>
      </c>
    </row>
    <row r="289" customFormat="false" ht="15" hidden="false" customHeight="false" outlineLevel="0" collapsed="false">
      <c r="A289" s="2" t="s">
        <v>103</v>
      </c>
      <c r="B289" s="2" t="n">
        <v>2009</v>
      </c>
      <c r="C289" s="2" t="s">
        <v>56</v>
      </c>
      <c r="D289" s="2" t="n">
        <v>0</v>
      </c>
      <c r="E289" s="2" t="n">
        <v>32</v>
      </c>
      <c r="F289" s="2" t="s">
        <v>50</v>
      </c>
      <c r="G289" s="3" t="n">
        <v>0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1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1</v>
      </c>
      <c r="W289" s="3" t="n">
        <v>0</v>
      </c>
      <c r="X289" s="3" t="n">
        <v>1</v>
      </c>
      <c r="Y289" s="3" t="n">
        <v>0</v>
      </c>
      <c r="Z289" s="3" t="n">
        <v>1</v>
      </c>
      <c r="AA289" s="3" t="n">
        <v>0</v>
      </c>
      <c r="AB289" s="3" t="n">
        <v>1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4" t="n">
        <f aca="false">SUM(G289:AI289)</f>
        <v>6</v>
      </c>
      <c r="AK289" s="4" t="n">
        <f aca="false">ROUND(SUMPRODUCT(G289:AI289,Gene_Weights!$B$2:$AD$2),3)</f>
        <v>-2.92</v>
      </c>
      <c r="AL289" s="2" t="n">
        <v>12</v>
      </c>
      <c r="AM289" s="2" t="n">
        <v>4</v>
      </c>
      <c r="AN289" s="2" t="n">
        <v>33.33</v>
      </c>
      <c r="AO289" s="5" t="n">
        <v>75.59</v>
      </c>
      <c r="AP289" s="5" t="n">
        <v>78.01</v>
      </c>
      <c r="AQ289" s="5" t="n">
        <v>80.42</v>
      </c>
      <c r="AR289" s="5" t="n">
        <v>82.83</v>
      </c>
      <c r="AS289" s="5" t="n">
        <v>85.24</v>
      </c>
      <c r="AT289" s="5" t="n">
        <v>87.66</v>
      </c>
      <c r="AU289" s="5" t="n">
        <v>90.07</v>
      </c>
      <c r="AV289" s="5" t="s">
        <v>51</v>
      </c>
    </row>
    <row r="290" customFormat="false" ht="15" hidden="false" customHeight="false" outlineLevel="0" collapsed="false">
      <c r="A290" s="2" t="s">
        <v>104</v>
      </c>
      <c r="B290" s="2" t="n">
        <v>2006</v>
      </c>
      <c r="C290" s="2" t="s">
        <v>49</v>
      </c>
      <c r="D290" s="2" t="n">
        <v>0</v>
      </c>
      <c r="E290" s="2" t="n">
        <v>16</v>
      </c>
      <c r="F290" s="2" t="s">
        <v>50</v>
      </c>
      <c r="G290" s="3" t="n">
        <v>0</v>
      </c>
      <c r="H290" s="3" t="n">
        <v>0</v>
      </c>
      <c r="I290" s="3" t="n">
        <v>1</v>
      </c>
      <c r="J290" s="3" t="n">
        <v>1</v>
      </c>
      <c r="K290" s="3" t="n">
        <v>0</v>
      </c>
      <c r="L290" s="3" t="n">
        <v>0</v>
      </c>
      <c r="M290" s="3" t="n">
        <v>0</v>
      </c>
      <c r="N290" s="3" t="n">
        <v>1</v>
      </c>
      <c r="O290" s="3" t="n">
        <v>0</v>
      </c>
      <c r="P290" s="3" t="n">
        <v>0</v>
      </c>
      <c r="Q290" s="3" t="n">
        <v>0</v>
      </c>
      <c r="R290" s="3" t="n">
        <v>1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1</v>
      </c>
      <c r="Y290" s="3" t="n">
        <v>0</v>
      </c>
      <c r="Z290" s="3" t="n">
        <v>1</v>
      </c>
      <c r="AA290" s="3" t="n">
        <v>1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1</v>
      </c>
      <c r="AG290" s="3" t="n">
        <v>0</v>
      </c>
      <c r="AH290" s="3" t="n">
        <v>0</v>
      </c>
      <c r="AI290" s="3" t="n">
        <v>1</v>
      </c>
      <c r="AJ290" s="4" t="n">
        <f aca="false">SUM(G290:AI290)</f>
        <v>9</v>
      </c>
      <c r="AK290" s="4" t="n">
        <f aca="false">ROUND(SUMPRODUCT(G290:AI290,Gene_Weights!$B$2:$AD$2),3)</f>
        <v>-7.73</v>
      </c>
      <c r="AL290" s="2" t="n">
        <v>6</v>
      </c>
      <c r="AM290" s="2" t="n">
        <v>3</v>
      </c>
      <c r="AN290" s="2" t="n">
        <v>50</v>
      </c>
      <c r="AO290" s="5" t="n">
        <v>55.12</v>
      </c>
      <c r="AP290" s="5" t="n">
        <v>56.02</v>
      </c>
      <c r="AQ290" s="5" t="n">
        <v>56.92</v>
      </c>
      <c r="AR290" s="5" t="n">
        <v>57.82</v>
      </c>
      <c r="AS290" s="5" t="n">
        <v>58.72</v>
      </c>
      <c r="AT290" s="5" t="n">
        <v>59.62</v>
      </c>
      <c r="AU290" s="5" t="n">
        <v>60.52</v>
      </c>
      <c r="AV290" s="5" t="s">
        <v>51</v>
      </c>
    </row>
    <row r="291" customFormat="false" ht="15" hidden="false" customHeight="false" outlineLevel="0" collapsed="false">
      <c r="A291" s="2" t="s">
        <v>104</v>
      </c>
      <c r="B291" s="2" t="n">
        <v>2006</v>
      </c>
      <c r="C291" s="2" t="s">
        <v>52</v>
      </c>
      <c r="D291" s="2" t="n">
        <v>0</v>
      </c>
      <c r="E291" s="2" t="n">
        <v>4</v>
      </c>
      <c r="F291" s="2" t="s">
        <v>50</v>
      </c>
      <c r="G291" s="3" t="n">
        <v>0</v>
      </c>
      <c r="H291" s="3" t="n">
        <v>0</v>
      </c>
      <c r="I291" s="3" t="n">
        <v>1</v>
      </c>
      <c r="J291" s="3" t="n">
        <v>1</v>
      </c>
      <c r="K291" s="3" t="n">
        <v>0</v>
      </c>
      <c r="L291" s="3" t="n">
        <v>0</v>
      </c>
      <c r="M291" s="3" t="n">
        <v>0</v>
      </c>
      <c r="N291" s="3" t="n">
        <v>1</v>
      </c>
      <c r="O291" s="3" t="n">
        <v>0</v>
      </c>
      <c r="P291" s="3" t="n">
        <v>0</v>
      </c>
      <c r="Q291" s="3" t="n">
        <v>0</v>
      </c>
      <c r="R291" s="3" t="n">
        <v>1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1</v>
      </c>
      <c r="Y291" s="3" t="n">
        <v>0</v>
      </c>
      <c r="Z291" s="3" t="n">
        <v>1</v>
      </c>
      <c r="AA291" s="3" t="n">
        <v>1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1</v>
      </c>
      <c r="AG291" s="3" t="n">
        <v>0</v>
      </c>
      <c r="AH291" s="3" t="n">
        <v>0</v>
      </c>
      <c r="AI291" s="3" t="n">
        <v>1</v>
      </c>
      <c r="AJ291" s="4" t="n">
        <f aca="false">SUM(G291:AI291)</f>
        <v>9</v>
      </c>
      <c r="AK291" s="4" t="n">
        <f aca="false">ROUND(SUMPRODUCT(G291:AI291,Gene_Weights!$B$2:$AD$2),3)</f>
        <v>-7.73</v>
      </c>
      <c r="AL291" s="2" t="n">
        <v>6</v>
      </c>
      <c r="AM291" s="2" t="n">
        <v>1</v>
      </c>
      <c r="AN291" s="2" t="n">
        <v>16.67</v>
      </c>
      <c r="AO291" s="5" t="n">
        <v>64.53</v>
      </c>
      <c r="AP291" s="5" t="n">
        <v>66.13</v>
      </c>
      <c r="AQ291" s="5" t="n">
        <v>67.73</v>
      </c>
      <c r="AR291" s="5" t="n">
        <v>69.33</v>
      </c>
      <c r="AS291" s="5" t="n">
        <v>70.93</v>
      </c>
      <c r="AT291" s="5" t="n">
        <v>72.53</v>
      </c>
      <c r="AU291" s="5" t="n">
        <v>74.13</v>
      </c>
      <c r="AV291" s="5" t="s">
        <v>51</v>
      </c>
    </row>
    <row r="292" customFormat="false" ht="15" hidden="false" customHeight="false" outlineLevel="0" collapsed="false">
      <c r="A292" s="2" t="s">
        <v>104</v>
      </c>
      <c r="B292" s="2" t="n">
        <v>2006</v>
      </c>
      <c r="C292" s="2" t="s">
        <v>53</v>
      </c>
      <c r="D292" s="2" t="n">
        <v>0</v>
      </c>
      <c r="E292" s="2" t="n">
        <v>32</v>
      </c>
      <c r="F292" s="2" t="s">
        <v>50</v>
      </c>
      <c r="G292" s="3" t="n">
        <v>0</v>
      </c>
      <c r="H292" s="3" t="n">
        <v>0</v>
      </c>
      <c r="I292" s="3" t="n">
        <v>1</v>
      </c>
      <c r="J292" s="3" t="n">
        <v>1</v>
      </c>
      <c r="K292" s="3" t="n">
        <v>0</v>
      </c>
      <c r="L292" s="3" t="n">
        <v>0</v>
      </c>
      <c r="M292" s="3" t="n">
        <v>0</v>
      </c>
      <c r="N292" s="3" t="n">
        <v>1</v>
      </c>
      <c r="O292" s="3" t="n">
        <v>0</v>
      </c>
      <c r="P292" s="3" t="n">
        <v>0</v>
      </c>
      <c r="Q292" s="3" t="n">
        <v>0</v>
      </c>
      <c r="R292" s="3" t="n">
        <v>1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1</v>
      </c>
      <c r="Y292" s="3" t="n">
        <v>0</v>
      </c>
      <c r="Z292" s="3" t="n">
        <v>1</v>
      </c>
      <c r="AA292" s="3" t="n">
        <v>1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1</v>
      </c>
      <c r="AG292" s="3" t="n">
        <v>0</v>
      </c>
      <c r="AH292" s="3" t="n">
        <v>0</v>
      </c>
      <c r="AI292" s="3" t="n">
        <v>1</v>
      </c>
      <c r="AJ292" s="4" t="n">
        <f aca="false">SUM(G292:AI292)</f>
        <v>9</v>
      </c>
      <c r="AK292" s="4" t="n">
        <f aca="false">ROUND(SUMPRODUCT(G292:AI292,Gene_Weights!$B$2:$AD$2),3)</f>
        <v>-7.73</v>
      </c>
      <c r="AL292" s="2" t="n">
        <v>6</v>
      </c>
      <c r="AM292" s="2" t="n">
        <v>0</v>
      </c>
      <c r="AN292" s="2" t="n">
        <v>0</v>
      </c>
      <c r="AO292" s="5" t="n">
        <v>52.86</v>
      </c>
      <c r="AP292" s="5" t="n">
        <v>53.65</v>
      </c>
      <c r="AQ292" s="5" t="n">
        <v>54.45</v>
      </c>
      <c r="AR292" s="5" t="n">
        <v>55.24</v>
      </c>
      <c r="AS292" s="5" t="n">
        <v>56.03</v>
      </c>
      <c r="AT292" s="5" t="n">
        <v>56.83</v>
      </c>
      <c r="AU292" s="5" t="n">
        <v>57.62</v>
      </c>
      <c r="AV292" s="5" t="s">
        <v>51</v>
      </c>
    </row>
    <row r="293" customFormat="false" ht="15" hidden="false" customHeight="false" outlineLevel="0" collapsed="false">
      <c r="A293" s="2" t="s">
        <v>104</v>
      </c>
      <c r="B293" s="2" t="n">
        <v>2006</v>
      </c>
      <c r="C293" s="2" t="s">
        <v>54</v>
      </c>
      <c r="D293" s="2" t="n">
        <v>1</v>
      </c>
      <c r="E293" s="2" t="n">
        <v>32</v>
      </c>
      <c r="F293" s="2" t="s">
        <v>50</v>
      </c>
      <c r="G293" s="3" t="n">
        <v>0</v>
      </c>
      <c r="H293" s="3" t="n">
        <v>0</v>
      </c>
      <c r="I293" s="3" t="n">
        <v>1</v>
      </c>
      <c r="J293" s="3" t="n">
        <v>1</v>
      </c>
      <c r="K293" s="3" t="n">
        <v>0</v>
      </c>
      <c r="L293" s="3" t="n">
        <v>0</v>
      </c>
      <c r="M293" s="3" t="n">
        <v>0</v>
      </c>
      <c r="N293" s="3" t="n">
        <v>1</v>
      </c>
      <c r="O293" s="3" t="n">
        <v>0</v>
      </c>
      <c r="P293" s="3" t="n">
        <v>0</v>
      </c>
      <c r="Q293" s="3" t="n">
        <v>0</v>
      </c>
      <c r="R293" s="3" t="n">
        <v>1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1</v>
      </c>
      <c r="Y293" s="3" t="n">
        <v>0</v>
      </c>
      <c r="Z293" s="3" t="n">
        <v>1</v>
      </c>
      <c r="AA293" s="3" t="n">
        <v>1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1</v>
      </c>
      <c r="AG293" s="3" t="n">
        <v>0</v>
      </c>
      <c r="AH293" s="3" t="n">
        <v>0</v>
      </c>
      <c r="AI293" s="3" t="n">
        <v>1</v>
      </c>
      <c r="AJ293" s="4" t="n">
        <f aca="false">SUM(G293:AI293)</f>
        <v>9</v>
      </c>
      <c r="AK293" s="4" t="n">
        <f aca="false">ROUND(SUMPRODUCT(G293:AI293,Gene_Weights!$B$2:$AD$2),3)</f>
        <v>-7.73</v>
      </c>
      <c r="AL293" s="2" t="n">
        <v>6</v>
      </c>
      <c r="AM293" s="2" t="n">
        <v>2</v>
      </c>
      <c r="AN293" s="2" t="n">
        <v>33.33</v>
      </c>
      <c r="AO293" s="5" t="n">
        <v>81.84</v>
      </c>
      <c r="AP293" s="5" t="n">
        <v>84.45</v>
      </c>
      <c r="AQ293" s="5" t="n">
        <v>87.06</v>
      </c>
      <c r="AR293" s="5" t="n">
        <v>89.67</v>
      </c>
      <c r="AS293" s="5" t="n">
        <v>92.27</v>
      </c>
      <c r="AT293" s="5" t="n">
        <v>94.88</v>
      </c>
      <c r="AU293" s="5" t="n">
        <v>97.49</v>
      </c>
      <c r="AV293" s="5" t="s">
        <v>51</v>
      </c>
    </row>
    <row r="294" customFormat="false" ht="15" hidden="false" customHeight="false" outlineLevel="0" collapsed="false">
      <c r="A294" s="2" t="s">
        <v>104</v>
      </c>
      <c r="B294" s="2" t="n">
        <v>2006</v>
      </c>
      <c r="C294" s="2" t="s">
        <v>55</v>
      </c>
      <c r="D294" s="2" t="n">
        <v>0</v>
      </c>
      <c r="E294" s="2" t="n">
        <v>2</v>
      </c>
      <c r="F294" s="2" t="s">
        <v>50</v>
      </c>
      <c r="G294" s="3" t="n">
        <v>0</v>
      </c>
      <c r="H294" s="3" t="n">
        <v>0</v>
      </c>
      <c r="I294" s="3" t="n">
        <v>1</v>
      </c>
      <c r="J294" s="3" t="n">
        <v>1</v>
      </c>
      <c r="K294" s="3" t="n">
        <v>0</v>
      </c>
      <c r="L294" s="3" t="n">
        <v>0</v>
      </c>
      <c r="M294" s="3" t="n">
        <v>0</v>
      </c>
      <c r="N294" s="3" t="n">
        <v>1</v>
      </c>
      <c r="O294" s="3" t="n">
        <v>0</v>
      </c>
      <c r="P294" s="3" t="n">
        <v>0</v>
      </c>
      <c r="Q294" s="3" t="n">
        <v>0</v>
      </c>
      <c r="R294" s="3" t="n">
        <v>1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1</v>
      </c>
      <c r="Y294" s="3" t="n">
        <v>0</v>
      </c>
      <c r="Z294" s="3" t="n">
        <v>1</v>
      </c>
      <c r="AA294" s="3" t="n">
        <v>1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</v>
      </c>
      <c r="AG294" s="3" t="n">
        <v>0</v>
      </c>
      <c r="AH294" s="3" t="n">
        <v>0</v>
      </c>
      <c r="AI294" s="3" t="n">
        <v>1</v>
      </c>
      <c r="AJ294" s="4" t="n">
        <f aca="false">SUM(G294:AI294)</f>
        <v>9</v>
      </c>
      <c r="AK294" s="4" t="n">
        <f aca="false">ROUND(SUMPRODUCT(G294:AI294,Gene_Weights!$B$2:$AD$2),3)</f>
        <v>-7.73</v>
      </c>
      <c r="AL294" s="2" t="n">
        <v>6</v>
      </c>
      <c r="AM294" s="2" t="n">
        <v>1</v>
      </c>
      <c r="AN294" s="2" t="n">
        <v>16.67</v>
      </c>
      <c r="AO294" s="5" t="n">
        <v>58.19</v>
      </c>
      <c r="AP294" s="5" t="n">
        <v>59.74</v>
      </c>
      <c r="AQ294" s="5" t="n">
        <v>61.3</v>
      </c>
      <c r="AR294" s="5" t="n">
        <v>62.86</v>
      </c>
      <c r="AS294" s="5" t="n">
        <v>64.42</v>
      </c>
      <c r="AT294" s="5" t="n">
        <v>65.98</v>
      </c>
      <c r="AU294" s="5" t="n">
        <v>67.53</v>
      </c>
      <c r="AV294" s="5" t="s">
        <v>51</v>
      </c>
    </row>
    <row r="295" customFormat="false" ht="15" hidden="false" customHeight="false" outlineLevel="0" collapsed="false">
      <c r="A295" s="2" t="s">
        <v>104</v>
      </c>
      <c r="B295" s="2" t="n">
        <v>2006</v>
      </c>
      <c r="C295" s="2" t="s">
        <v>56</v>
      </c>
      <c r="D295" s="2" t="n">
        <v>0</v>
      </c>
      <c r="E295" s="2" t="n">
        <v>32</v>
      </c>
      <c r="F295" s="2" t="s">
        <v>50</v>
      </c>
      <c r="G295" s="3" t="n">
        <v>0</v>
      </c>
      <c r="H295" s="3" t="n">
        <v>0</v>
      </c>
      <c r="I295" s="3" t="n">
        <v>1</v>
      </c>
      <c r="J295" s="3" t="n">
        <v>1</v>
      </c>
      <c r="K295" s="3" t="n">
        <v>0</v>
      </c>
      <c r="L295" s="3" t="n">
        <v>0</v>
      </c>
      <c r="M295" s="3" t="n">
        <v>0</v>
      </c>
      <c r="N295" s="3" t="n">
        <v>1</v>
      </c>
      <c r="O295" s="3" t="n">
        <v>0</v>
      </c>
      <c r="P295" s="3" t="n">
        <v>0</v>
      </c>
      <c r="Q295" s="3" t="n">
        <v>0</v>
      </c>
      <c r="R295" s="3" t="n">
        <v>1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1</v>
      </c>
      <c r="Y295" s="3" t="n">
        <v>0</v>
      </c>
      <c r="Z295" s="3" t="n">
        <v>1</v>
      </c>
      <c r="AA295" s="3" t="n">
        <v>1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1</v>
      </c>
      <c r="AG295" s="3" t="n">
        <v>0</v>
      </c>
      <c r="AH295" s="3" t="n">
        <v>0</v>
      </c>
      <c r="AI295" s="3" t="n">
        <v>1</v>
      </c>
      <c r="AJ295" s="4" t="n">
        <f aca="false">SUM(G295:AI295)</f>
        <v>9</v>
      </c>
      <c r="AK295" s="4" t="n">
        <f aca="false">ROUND(SUMPRODUCT(G295:AI295,Gene_Weights!$B$2:$AD$2),3)</f>
        <v>-7.73</v>
      </c>
      <c r="AL295" s="2" t="n">
        <v>6</v>
      </c>
      <c r="AM295" s="2" t="n">
        <v>1</v>
      </c>
      <c r="AN295" s="2" t="n">
        <v>16.67</v>
      </c>
      <c r="AO295" s="5" t="n">
        <v>75.59</v>
      </c>
      <c r="AP295" s="5" t="n">
        <v>78.01</v>
      </c>
      <c r="AQ295" s="5" t="n">
        <v>80.42</v>
      </c>
      <c r="AR295" s="5" t="n">
        <v>82.83</v>
      </c>
      <c r="AS295" s="5" t="n">
        <v>85.24</v>
      </c>
      <c r="AT295" s="5" t="n">
        <v>87.66</v>
      </c>
      <c r="AU295" s="5" t="n">
        <v>90.07</v>
      </c>
      <c r="AV295" s="5" t="s">
        <v>51</v>
      </c>
    </row>
    <row r="296" customFormat="false" ht="15" hidden="false" customHeight="false" outlineLevel="0" collapsed="false">
      <c r="A296" s="2" t="s">
        <v>105</v>
      </c>
      <c r="B296" s="2" t="n">
        <v>2010</v>
      </c>
      <c r="C296" s="2" t="s">
        <v>49</v>
      </c>
      <c r="D296" s="2" t="n">
        <v>0</v>
      </c>
      <c r="E296" s="2" t="n">
        <v>2</v>
      </c>
      <c r="F296" s="2" t="s">
        <v>50</v>
      </c>
      <c r="G296" s="3" t="n">
        <v>0</v>
      </c>
      <c r="H296" s="3" t="n">
        <v>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1</v>
      </c>
      <c r="N296" s="3" t="n">
        <v>1</v>
      </c>
      <c r="O296" s="3" t="n">
        <v>1</v>
      </c>
      <c r="P296" s="3" t="n">
        <v>0</v>
      </c>
      <c r="Q296" s="3" t="n">
        <v>0</v>
      </c>
      <c r="R296" s="3" t="n">
        <v>0</v>
      </c>
      <c r="S296" s="3" t="n">
        <v>1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1</v>
      </c>
      <c r="Z296" s="3" t="n">
        <v>0</v>
      </c>
      <c r="AA296" s="3" t="n">
        <v>0</v>
      </c>
      <c r="AB296" s="3" t="n">
        <v>1</v>
      </c>
      <c r="AC296" s="3" t="n">
        <v>0</v>
      </c>
      <c r="AD296" s="3" t="n">
        <v>1</v>
      </c>
      <c r="AE296" s="3" t="n">
        <v>0</v>
      </c>
      <c r="AF296" s="3" t="n">
        <v>0</v>
      </c>
      <c r="AG296" s="3" t="n">
        <v>1</v>
      </c>
      <c r="AH296" s="3" t="n">
        <v>0</v>
      </c>
      <c r="AI296" s="3" t="n">
        <v>1</v>
      </c>
      <c r="AJ296" s="4" t="n">
        <f aca="false">SUM(G296:AI296)</f>
        <v>10</v>
      </c>
      <c r="AK296" s="4" t="n">
        <f aca="false">ROUND(SUMPRODUCT(G296:AI296,Gene_Weights!$B$2:$AD$2),3)</f>
        <v>-4.83</v>
      </c>
      <c r="AL296" s="2" t="n">
        <v>3</v>
      </c>
      <c r="AM296" s="2" t="n">
        <v>0</v>
      </c>
      <c r="AN296" s="2" t="n">
        <v>0</v>
      </c>
      <c r="AO296" s="5" t="n">
        <v>55.12</v>
      </c>
      <c r="AP296" s="5" t="n">
        <v>56.02</v>
      </c>
      <c r="AQ296" s="5" t="n">
        <v>56.92</v>
      </c>
      <c r="AR296" s="5" t="n">
        <v>57.82</v>
      </c>
      <c r="AS296" s="5" t="n">
        <v>58.72</v>
      </c>
      <c r="AT296" s="5" t="n">
        <v>59.62</v>
      </c>
      <c r="AU296" s="5" t="n">
        <v>60.52</v>
      </c>
      <c r="AV296" s="5" t="s">
        <v>51</v>
      </c>
    </row>
    <row r="297" customFormat="false" ht="15" hidden="false" customHeight="false" outlineLevel="0" collapsed="false">
      <c r="A297" s="2" t="s">
        <v>105</v>
      </c>
      <c r="B297" s="2" t="n">
        <v>2010</v>
      </c>
      <c r="C297" s="2" t="s">
        <v>52</v>
      </c>
      <c r="D297" s="2" t="n">
        <v>1</v>
      </c>
      <c r="E297" s="2" t="n">
        <v>32</v>
      </c>
      <c r="F297" s="2" t="s">
        <v>50</v>
      </c>
      <c r="G297" s="3" t="n">
        <v>0</v>
      </c>
      <c r="H297" s="3" t="n">
        <v>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1</v>
      </c>
      <c r="N297" s="3" t="n">
        <v>1</v>
      </c>
      <c r="O297" s="3" t="n">
        <v>1</v>
      </c>
      <c r="P297" s="3" t="n">
        <v>0</v>
      </c>
      <c r="Q297" s="3" t="n">
        <v>0</v>
      </c>
      <c r="R297" s="3" t="n">
        <v>0</v>
      </c>
      <c r="S297" s="3" t="n">
        <v>1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1</v>
      </c>
      <c r="Z297" s="3" t="n">
        <v>0</v>
      </c>
      <c r="AA297" s="3" t="n">
        <v>0</v>
      </c>
      <c r="AB297" s="3" t="n">
        <v>1</v>
      </c>
      <c r="AC297" s="3" t="n">
        <v>0</v>
      </c>
      <c r="AD297" s="3" t="n">
        <v>1</v>
      </c>
      <c r="AE297" s="3" t="n">
        <v>0</v>
      </c>
      <c r="AF297" s="3" t="n">
        <v>0</v>
      </c>
      <c r="AG297" s="3" t="n">
        <v>1</v>
      </c>
      <c r="AH297" s="3" t="n">
        <v>0</v>
      </c>
      <c r="AI297" s="3" t="n">
        <v>1</v>
      </c>
      <c r="AJ297" s="4" t="n">
        <f aca="false">SUM(G297:AI297)</f>
        <v>10</v>
      </c>
      <c r="AK297" s="4" t="n">
        <f aca="false">ROUND(SUMPRODUCT(G297:AI297,Gene_Weights!$B$2:$AD$2),3)</f>
        <v>-4.83</v>
      </c>
      <c r="AL297" s="2" t="n">
        <v>3</v>
      </c>
      <c r="AM297" s="2" t="n">
        <v>2</v>
      </c>
      <c r="AN297" s="2" t="n">
        <v>66.67</v>
      </c>
      <c r="AO297" s="5" t="n">
        <v>64.53</v>
      </c>
      <c r="AP297" s="5" t="n">
        <v>66.13</v>
      </c>
      <c r="AQ297" s="5" t="n">
        <v>67.73</v>
      </c>
      <c r="AR297" s="5" t="n">
        <v>69.33</v>
      </c>
      <c r="AS297" s="5" t="n">
        <v>70.93</v>
      </c>
      <c r="AT297" s="5" t="n">
        <v>72.53</v>
      </c>
      <c r="AU297" s="5" t="n">
        <v>74.13</v>
      </c>
      <c r="AV297" s="5" t="s">
        <v>51</v>
      </c>
    </row>
    <row r="298" customFormat="false" ht="15" hidden="false" customHeight="false" outlineLevel="0" collapsed="false">
      <c r="A298" s="2" t="s">
        <v>105</v>
      </c>
      <c r="B298" s="2" t="n">
        <v>2010</v>
      </c>
      <c r="C298" s="2" t="s">
        <v>53</v>
      </c>
      <c r="D298" s="2" t="n">
        <v>0</v>
      </c>
      <c r="E298" s="2" t="n">
        <v>16</v>
      </c>
      <c r="F298" s="2" t="s">
        <v>50</v>
      </c>
      <c r="G298" s="3" t="n">
        <v>0</v>
      </c>
      <c r="H298" s="3" t="n">
        <v>1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1</v>
      </c>
      <c r="O298" s="3" t="n">
        <v>1</v>
      </c>
      <c r="P298" s="3" t="n">
        <v>0</v>
      </c>
      <c r="Q298" s="3" t="n">
        <v>0</v>
      </c>
      <c r="R298" s="3" t="n">
        <v>0</v>
      </c>
      <c r="S298" s="3" t="n">
        <v>1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1</v>
      </c>
      <c r="Z298" s="3" t="n">
        <v>0</v>
      </c>
      <c r="AA298" s="3" t="n">
        <v>0</v>
      </c>
      <c r="AB298" s="3" t="n">
        <v>1</v>
      </c>
      <c r="AC298" s="3" t="n">
        <v>0</v>
      </c>
      <c r="AD298" s="3" t="n">
        <v>1</v>
      </c>
      <c r="AE298" s="3" t="n">
        <v>0</v>
      </c>
      <c r="AF298" s="3" t="n">
        <v>0</v>
      </c>
      <c r="AG298" s="3" t="n">
        <v>1</v>
      </c>
      <c r="AH298" s="3" t="n">
        <v>0</v>
      </c>
      <c r="AI298" s="3" t="n">
        <v>1</v>
      </c>
      <c r="AJ298" s="4" t="n">
        <f aca="false">SUM(G298:AI298)</f>
        <v>10</v>
      </c>
      <c r="AK298" s="4" t="n">
        <f aca="false">ROUND(SUMPRODUCT(G298:AI298,Gene_Weights!$B$2:$AD$2),3)</f>
        <v>-4.83</v>
      </c>
      <c r="AL298" s="2" t="n">
        <v>3</v>
      </c>
      <c r="AM298" s="2" t="n">
        <v>2</v>
      </c>
      <c r="AN298" s="2" t="n">
        <v>66.67</v>
      </c>
      <c r="AO298" s="5" t="n">
        <v>52.86</v>
      </c>
      <c r="AP298" s="5" t="n">
        <v>53.65</v>
      </c>
      <c r="AQ298" s="5" t="n">
        <v>54.45</v>
      </c>
      <c r="AR298" s="5" t="n">
        <v>55.24</v>
      </c>
      <c r="AS298" s="5" t="n">
        <v>56.03</v>
      </c>
      <c r="AT298" s="5" t="n">
        <v>56.83</v>
      </c>
      <c r="AU298" s="5" t="n">
        <v>57.62</v>
      </c>
      <c r="AV298" s="5" t="s">
        <v>51</v>
      </c>
    </row>
    <row r="299" customFormat="false" ht="15" hidden="false" customHeight="false" outlineLevel="0" collapsed="false">
      <c r="A299" s="2" t="s">
        <v>105</v>
      </c>
      <c r="B299" s="2" t="n">
        <v>2010</v>
      </c>
      <c r="C299" s="2" t="s">
        <v>54</v>
      </c>
      <c r="D299" s="2" t="n">
        <v>0</v>
      </c>
      <c r="E299" s="2" t="n">
        <v>32</v>
      </c>
      <c r="F299" s="2" t="s">
        <v>50</v>
      </c>
      <c r="G299" s="3" t="n">
        <v>0</v>
      </c>
      <c r="H299" s="3" t="n">
        <v>1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1</v>
      </c>
      <c r="N299" s="3" t="n">
        <v>1</v>
      </c>
      <c r="O299" s="3" t="n">
        <v>1</v>
      </c>
      <c r="P299" s="3" t="n">
        <v>0</v>
      </c>
      <c r="Q299" s="3" t="n">
        <v>0</v>
      </c>
      <c r="R299" s="3" t="n">
        <v>0</v>
      </c>
      <c r="S299" s="3" t="n">
        <v>1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1</v>
      </c>
      <c r="Z299" s="3" t="n">
        <v>0</v>
      </c>
      <c r="AA299" s="3" t="n">
        <v>0</v>
      </c>
      <c r="AB299" s="3" t="n">
        <v>1</v>
      </c>
      <c r="AC299" s="3" t="n">
        <v>0</v>
      </c>
      <c r="AD299" s="3" t="n">
        <v>1</v>
      </c>
      <c r="AE299" s="3" t="n">
        <v>0</v>
      </c>
      <c r="AF299" s="3" t="n">
        <v>0</v>
      </c>
      <c r="AG299" s="3" t="n">
        <v>1</v>
      </c>
      <c r="AH299" s="3" t="n">
        <v>0</v>
      </c>
      <c r="AI299" s="3" t="n">
        <v>1</v>
      </c>
      <c r="AJ299" s="4" t="n">
        <f aca="false">SUM(G299:AI299)</f>
        <v>10</v>
      </c>
      <c r="AK299" s="4" t="n">
        <f aca="false">ROUND(SUMPRODUCT(G299:AI299,Gene_Weights!$B$2:$AD$2),3)</f>
        <v>-4.83</v>
      </c>
      <c r="AL299" s="2" t="n">
        <v>3</v>
      </c>
      <c r="AM299" s="2" t="n">
        <v>1</v>
      </c>
      <c r="AN299" s="2" t="n">
        <v>33.33</v>
      </c>
      <c r="AO299" s="5" t="n">
        <v>81.84</v>
      </c>
      <c r="AP299" s="5" t="n">
        <v>84.45</v>
      </c>
      <c r="AQ299" s="5" t="n">
        <v>87.06</v>
      </c>
      <c r="AR299" s="5" t="n">
        <v>89.67</v>
      </c>
      <c r="AS299" s="5" t="n">
        <v>92.27</v>
      </c>
      <c r="AT299" s="5" t="n">
        <v>94.88</v>
      </c>
      <c r="AU299" s="5" t="n">
        <v>97.49</v>
      </c>
      <c r="AV299" s="5" t="s">
        <v>51</v>
      </c>
    </row>
    <row r="300" customFormat="false" ht="15" hidden="false" customHeight="false" outlineLevel="0" collapsed="false">
      <c r="A300" s="2" t="s">
        <v>105</v>
      </c>
      <c r="B300" s="2" t="n">
        <v>2010</v>
      </c>
      <c r="C300" s="2" t="s">
        <v>55</v>
      </c>
      <c r="D300" s="2" t="n">
        <v>0</v>
      </c>
      <c r="E300" s="2" t="n">
        <v>32</v>
      </c>
      <c r="F300" s="2" t="s">
        <v>50</v>
      </c>
      <c r="G300" s="3" t="n">
        <v>0</v>
      </c>
      <c r="H300" s="3" t="n">
        <v>1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1</v>
      </c>
      <c r="N300" s="3" t="n">
        <v>1</v>
      </c>
      <c r="O300" s="3" t="n">
        <v>1</v>
      </c>
      <c r="P300" s="3" t="n">
        <v>0</v>
      </c>
      <c r="Q300" s="3" t="n">
        <v>0</v>
      </c>
      <c r="R300" s="3" t="n">
        <v>0</v>
      </c>
      <c r="S300" s="3" t="n">
        <v>1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1</v>
      </c>
      <c r="Z300" s="3" t="n">
        <v>0</v>
      </c>
      <c r="AA300" s="3" t="n">
        <v>0</v>
      </c>
      <c r="AB300" s="3" t="n">
        <v>1</v>
      </c>
      <c r="AC300" s="3" t="n">
        <v>0</v>
      </c>
      <c r="AD300" s="3" t="n">
        <v>1</v>
      </c>
      <c r="AE300" s="3" t="n">
        <v>0</v>
      </c>
      <c r="AF300" s="3" t="n">
        <v>0</v>
      </c>
      <c r="AG300" s="3" t="n">
        <v>1</v>
      </c>
      <c r="AH300" s="3" t="n">
        <v>0</v>
      </c>
      <c r="AI300" s="3" t="n">
        <v>1</v>
      </c>
      <c r="AJ300" s="4" t="n">
        <f aca="false">SUM(G300:AI300)</f>
        <v>10</v>
      </c>
      <c r="AK300" s="4" t="n">
        <f aca="false">ROUND(SUMPRODUCT(G300:AI300,Gene_Weights!$B$2:$AD$2),3)</f>
        <v>-4.83</v>
      </c>
      <c r="AL300" s="2" t="n">
        <v>3</v>
      </c>
      <c r="AM300" s="2" t="n">
        <v>0</v>
      </c>
      <c r="AN300" s="2" t="n">
        <v>0</v>
      </c>
      <c r="AO300" s="5" t="n">
        <v>58.19</v>
      </c>
      <c r="AP300" s="5" t="n">
        <v>59.74</v>
      </c>
      <c r="AQ300" s="5" t="n">
        <v>61.3</v>
      </c>
      <c r="AR300" s="5" t="n">
        <v>62.86</v>
      </c>
      <c r="AS300" s="5" t="n">
        <v>64.42</v>
      </c>
      <c r="AT300" s="5" t="n">
        <v>65.98</v>
      </c>
      <c r="AU300" s="5" t="n">
        <v>67.53</v>
      </c>
      <c r="AV300" s="5" t="s">
        <v>51</v>
      </c>
    </row>
    <row r="301" customFormat="false" ht="15" hidden="false" customHeight="false" outlineLevel="0" collapsed="false">
      <c r="A301" s="2" t="s">
        <v>105</v>
      </c>
      <c r="B301" s="2" t="n">
        <v>2010</v>
      </c>
      <c r="C301" s="2" t="s">
        <v>56</v>
      </c>
      <c r="D301" s="2" t="n">
        <v>1</v>
      </c>
      <c r="E301" s="2" t="n">
        <v>16</v>
      </c>
      <c r="F301" s="2" t="s">
        <v>50</v>
      </c>
      <c r="G301" s="3" t="n">
        <v>0</v>
      </c>
      <c r="H301" s="3" t="n">
        <v>1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1</v>
      </c>
      <c r="N301" s="3" t="n">
        <v>1</v>
      </c>
      <c r="O301" s="3" t="n">
        <v>1</v>
      </c>
      <c r="P301" s="3" t="n">
        <v>0</v>
      </c>
      <c r="Q301" s="3" t="n">
        <v>0</v>
      </c>
      <c r="R301" s="3" t="n">
        <v>0</v>
      </c>
      <c r="S301" s="3" t="n">
        <v>1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1</v>
      </c>
      <c r="Z301" s="3" t="n">
        <v>0</v>
      </c>
      <c r="AA301" s="3" t="n">
        <v>0</v>
      </c>
      <c r="AB301" s="3" t="n">
        <v>1</v>
      </c>
      <c r="AC301" s="3" t="n">
        <v>0</v>
      </c>
      <c r="AD301" s="3" t="n">
        <v>1</v>
      </c>
      <c r="AE301" s="3" t="n">
        <v>0</v>
      </c>
      <c r="AF301" s="3" t="n">
        <v>0</v>
      </c>
      <c r="AG301" s="3" t="n">
        <v>1</v>
      </c>
      <c r="AH301" s="3" t="n">
        <v>0</v>
      </c>
      <c r="AI301" s="3" t="n">
        <v>1</v>
      </c>
      <c r="AJ301" s="4" t="n">
        <f aca="false">SUM(G301:AI301)</f>
        <v>10</v>
      </c>
      <c r="AK301" s="4" t="n">
        <f aca="false">ROUND(SUMPRODUCT(G301:AI301,Gene_Weights!$B$2:$AD$2),3)</f>
        <v>-4.83</v>
      </c>
      <c r="AL301" s="2" t="n">
        <v>3</v>
      </c>
      <c r="AM301" s="2" t="n">
        <v>3</v>
      </c>
      <c r="AN301" s="2" t="n">
        <v>100</v>
      </c>
      <c r="AO301" s="5" t="n">
        <v>75.59</v>
      </c>
      <c r="AP301" s="5" t="n">
        <v>78.01</v>
      </c>
      <c r="AQ301" s="5" t="n">
        <v>80.42</v>
      </c>
      <c r="AR301" s="5" t="n">
        <v>82.83</v>
      </c>
      <c r="AS301" s="5" t="n">
        <v>85.24</v>
      </c>
      <c r="AT301" s="5" t="n">
        <v>87.66</v>
      </c>
      <c r="AU301" s="5" t="n">
        <v>90.07</v>
      </c>
      <c r="AV301" s="5" t="s">
        <v>51</v>
      </c>
    </row>
    <row r="302" customFormat="false" ht="15" hidden="false" customHeight="false" outlineLevel="0" collapsed="false">
      <c r="A302" s="2" t="s">
        <v>106</v>
      </c>
      <c r="B302" s="2" t="n">
        <v>2006</v>
      </c>
      <c r="C302" s="2" t="s">
        <v>49</v>
      </c>
      <c r="D302" s="2" t="n">
        <v>1</v>
      </c>
      <c r="E302" s="2" t="n">
        <v>16</v>
      </c>
      <c r="F302" s="2" t="s">
        <v>50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1</v>
      </c>
      <c r="S302" s="3" t="n">
        <v>1</v>
      </c>
      <c r="T302" s="3" t="n">
        <v>0</v>
      </c>
      <c r="U302" s="3" t="n">
        <v>0</v>
      </c>
      <c r="V302" s="3" t="n">
        <v>1</v>
      </c>
      <c r="W302" s="3" t="n">
        <v>1</v>
      </c>
      <c r="X302" s="3" t="n">
        <v>0</v>
      </c>
      <c r="Y302" s="3" t="n">
        <v>0</v>
      </c>
      <c r="Z302" s="3" t="n">
        <v>0</v>
      </c>
      <c r="AA302" s="3" t="n">
        <v>1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4" t="n">
        <f aca="false">SUM(G302:AI302)</f>
        <v>5</v>
      </c>
      <c r="AK302" s="4" t="n">
        <f aca="false">ROUND(SUMPRODUCT(G302:AI302,Gene_Weights!$B$2:$AD$2),3)</f>
        <v>-3.78</v>
      </c>
      <c r="AL302" s="2" t="n">
        <v>6</v>
      </c>
      <c r="AM302" s="2" t="n">
        <v>3</v>
      </c>
      <c r="AN302" s="2" t="n">
        <v>50</v>
      </c>
      <c r="AO302" s="5" t="n">
        <v>55.12</v>
      </c>
      <c r="AP302" s="5" t="n">
        <v>56.02</v>
      </c>
      <c r="AQ302" s="5" t="n">
        <v>56.92</v>
      </c>
      <c r="AR302" s="5" t="n">
        <v>57.82</v>
      </c>
      <c r="AS302" s="5" t="n">
        <v>58.72</v>
      </c>
      <c r="AT302" s="5" t="n">
        <v>59.62</v>
      </c>
      <c r="AU302" s="5" t="n">
        <v>60.52</v>
      </c>
      <c r="AV302" s="5" t="s">
        <v>51</v>
      </c>
    </row>
    <row r="303" customFormat="false" ht="15" hidden="false" customHeight="false" outlineLevel="0" collapsed="false">
      <c r="A303" s="2" t="s">
        <v>106</v>
      </c>
      <c r="B303" s="2" t="n">
        <v>2006</v>
      </c>
      <c r="C303" s="2" t="s">
        <v>52</v>
      </c>
      <c r="D303" s="2" t="n">
        <v>0</v>
      </c>
      <c r="E303" s="2" t="n">
        <v>2</v>
      </c>
      <c r="F303" s="2" t="s">
        <v>50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1</v>
      </c>
      <c r="S303" s="3" t="n">
        <v>1</v>
      </c>
      <c r="T303" s="3" t="n">
        <v>0</v>
      </c>
      <c r="U303" s="3" t="n">
        <v>0</v>
      </c>
      <c r="V303" s="3" t="n">
        <v>1</v>
      </c>
      <c r="W303" s="3" t="n">
        <v>1</v>
      </c>
      <c r="X303" s="3" t="n">
        <v>0</v>
      </c>
      <c r="Y303" s="3" t="n">
        <v>0</v>
      </c>
      <c r="Z303" s="3" t="n">
        <v>0</v>
      </c>
      <c r="AA303" s="3" t="n">
        <v>1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4" t="n">
        <f aca="false">SUM(G303:AI303)</f>
        <v>5</v>
      </c>
      <c r="AK303" s="4" t="n">
        <f aca="false">ROUND(SUMPRODUCT(G303:AI303,Gene_Weights!$B$2:$AD$2),3)</f>
        <v>-3.78</v>
      </c>
      <c r="AL303" s="2" t="n">
        <v>6</v>
      </c>
      <c r="AM303" s="2" t="n">
        <v>1</v>
      </c>
      <c r="AN303" s="2" t="n">
        <v>16.67</v>
      </c>
      <c r="AO303" s="5" t="n">
        <v>64.53</v>
      </c>
      <c r="AP303" s="5" t="n">
        <v>66.13</v>
      </c>
      <c r="AQ303" s="5" t="n">
        <v>67.73</v>
      </c>
      <c r="AR303" s="5" t="n">
        <v>69.33</v>
      </c>
      <c r="AS303" s="5" t="n">
        <v>70.93</v>
      </c>
      <c r="AT303" s="5" t="n">
        <v>72.53</v>
      </c>
      <c r="AU303" s="5" t="n">
        <v>74.13</v>
      </c>
      <c r="AV303" s="5" t="s">
        <v>51</v>
      </c>
    </row>
    <row r="304" customFormat="false" ht="15" hidden="false" customHeight="false" outlineLevel="0" collapsed="false">
      <c r="A304" s="2" t="s">
        <v>106</v>
      </c>
      <c r="B304" s="2" t="n">
        <v>2006</v>
      </c>
      <c r="C304" s="2" t="s">
        <v>53</v>
      </c>
      <c r="D304" s="2" t="n">
        <v>0</v>
      </c>
      <c r="E304" s="2" t="n">
        <v>16</v>
      </c>
      <c r="F304" s="2" t="s">
        <v>50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1</v>
      </c>
      <c r="S304" s="3" t="n">
        <v>1</v>
      </c>
      <c r="T304" s="3" t="n">
        <v>0</v>
      </c>
      <c r="U304" s="3" t="n">
        <v>0</v>
      </c>
      <c r="V304" s="3" t="n">
        <v>1</v>
      </c>
      <c r="W304" s="3" t="n">
        <v>1</v>
      </c>
      <c r="X304" s="3" t="n">
        <v>0</v>
      </c>
      <c r="Y304" s="3" t="n">
        <v>0</v>
      </c>
      <c r="Z304" s="3" t="n">
        <v>0</v>
      </c>
      <c r="AA304" s="3" t="n">
        <v>1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4" t="n">
        <f aca="false">SUM(G304:AI304)</f>
        <v>5</v>
      </c>
      <c r="AK304" s="4" t="n">
        <f aca="false">ROUND(SUMPRODUCT(G304:AI304,Gene_Weights!$B$2:$AD$2),3)</f>
        <v>-3.78</v>
      </c>
      <c r="AL304" s="2" t="n">
        <v>6</v>
      </c>
      <c r="AM304" s="2" t="n">
        <v>0</v>
      </c>
      <c r="AN304" s="2" t="n">
        <v>0</v>
      </c>
      <c r="AO304" s="5" t="n">
        <v>52.86</v>
      </c>
      <c r="AP304" s="5" t="n">
        <v>53.65</v>
      </c>
      <c r="AQ304" s="5" t="n">
        <v>54.45</v>
      </c>
      <c r="AR304" s="5" t="n">
        <v>55.24</v>
      </c>
      <c r="AS304" s="5" t="n">
        <v>56.03</v>
      </c>
      <c r="AT304" s="5" t="n">
        <v>56.83</v>
      </c>
      <c r="AU304" s="5" t="n">
        <v>57.62</v>
      </c>
      <c r="AV304" s="5" t="s">
        <v>51</v>
      </c>
    </row>
    <row r="305" customFormat="false" ht="15" hidden="false" customHeight="false" outlineLevel="0" collapsed="false">
      <c r="A305" s="2" t="s">
        <v>106</v>
      </c>
      <c r="B305" s="2" t="n">
        <v>2006</v>
      </c>
      <c r="C305" s="2" t="s">
        <v>54</v>
      </c>
      <c r="D305" s="2" t="n">
        <v>0</v>
      </c>
      <c r="E305" s="2" t="n">
        <v>2</v>
      </c>
      <c r="F305" s="2" t="s">
        <v>50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1</v>
      </c>
      <c r="S305" s="3" t="n">
        <v>1</v>
      </c>
      <c r="T305" s="3" t="n">
        <v>0</v>
      </c>
      <c r="U305" s="3" t="n">
        <v>0</v>
      </c>
      <c r="V305" s="3" t="n">
        <v>1</v>
      </c>
      <c r="W305" s="3" t="n">
        <v>1</v>
      </c>
      <c r="X305" s="3" t="n">
        <v>0</v>
      </c>
      <c r="Y305" s="3" t="n">
        <v>0</v>
      </c>
      <c r="Z305" s="3" t="n">
        <v>0</v>
      </c>
      <c r="AA305" s="3" t="n">
        <v>1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4" t="n">
        <f aca="false">SUM(G305:AI305)</f>
        <v>5</v>
      </c>
      <c r="AK305" s="4" t="n">
        <f aca="false">ROUND(SUMPRODUCT(G305:AI305,Gene_Weights!$B$2:$AD$2),3)</f>
        <v>-3.78</v>
      </c>
      <c r="AL305" s="2" t="n">
        <v>6</v>
      </c>
      <c r="AM305" s="2" t="n">
        <v>2</v>
      </c>
      <c r="AN305" s="2" t="n">
        <v>33.33</v>
      </c>
      <c r="AO305" s="5" t="n">
        <v>81.84</v>
      </c>
      <c r="AP305" s="5" t="n">
        <v>84.45</v>
      </c>
      <c r="AQ305" s="5" t="n">
        <v>87.06</v>
      </c>
      <c r="AR305" s="5" t="n">
        <v>89.67</v>
      </c>
      <c r="AS305" s="5" t="n">
        <v>92.27</v>
      </c>
      <c r="AT305" s="5" t="n">
        <v>94.88</v>
      </c>
      <c r="AU305" s="5" t="n">
        <v>97.49</v>
      </c>
      <c r="AV305" s="5" t="s">
        <v>51</v>
      </c>
    </row>
    <row r="306" customFormat="false" ht="15" hidden="false" customHeight="false" outlineLevel="0" collapsed="false">
      <c r="A306" s="2" t="s">
        <v>106</v>
      </c>
      <c r="B306" s="2" t="n">
        <v>2006</v>
      </c>
      <c r="C306" s="2" t="s">
        <v>55</v>
      </c>
      <c r="D306" s="2" t="n">
        <v>0</v>
      </c>
      <c r="E306" s="2" t="n">
        <v>4</v>
      </c>
      <c r="F306" s="2" t="s">
        <v>50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1</v>
      </c>
      <c r="S306" s="3" t="n">
        <v>1</v>
      </c>
      <c r="T306" s="3" t="n">
        <v>0</v>
      </c>
      <c r="U306" s="3" t="n">
        <v>0</v>
      </c>
      <c r="V306" s="3" t="n">
        <v>1</v>
      </c>
      <c r="W306" s="3" t="n">
        <v>1</v>
      </c>
      <c r="X306" s="3" t="n">
        <v>0</v>
      </c>
      <c r="Y306" s="3" t="n">
        <v>0</v>
      </c>
      <c r="Z306" s="3" t="n">
        <v>0</v>
      </c>
      <c r="AA306" s="3" t="n">
        <v>1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4" t="n">
        <f aca="false">SUM(G306:AI306)</f>
        <v>5</v>
      </c>
      <c r="AK306" s="4" t="n">
        <f aca="false">ROUND(SUMPRODUCT(G306:AI306,Gene_Weights!$B$2:$AD$2),3)</f>
        <v>-3.78</v>
      </c>
      <c r="AL306" s="2" t="n">
        <v>6</v>
      </c>
      <c r="AM306" s="2" t="n">
        <v>1</v>
      </c>
      <c r="AN306" s="2" t="n">
        <v>16.67</v>
      </c>
      <c r="AO306" s="5" t="n">
        <v>58.19</v>
      </c>
      <c r="AP306" s="5" t="n">
        <v>59.74</v>
      </c>
      <c r="AQ306" s="5" t="n">
        <v>61.3</v>
      </c>
      <c r="AR306" s="5" t="n">
        <v>62.86</v>
      </c>
      <c r="AS306" s="5" t="n">
        <v>64.42</v>
      </c>
      <c r="AT306" s="5" t="n">
        <v>65.98</v>
      </c>
      <c r="AU306" s="5" t="n">
        <v>67.53</v>
      </c>
      <c r="AV306" s="5" t="s">
        <v>51</v>
      </c>
    </row>
    <row r="307" customFormat="false" ht="15" hidden="false" customHeight="false" outlineLevel="0" collapsed="false">
      <c r="A307" s="2" t="s">
        <v>106</v>
      </c>
      <c r="B307" s="2" t="n">
        <v>2006</v>
      </c>
      <c r="C307" s="2" t="s">
        <v>56</v>
      </c>
      <c r="D307" s="2" t="n">
        <v>0</v>
      </c>
      <c r="E307" s="2" t="n">
        <v>32</v>
      </c>
      <c r="F307" s="2" t="s">
        <v>50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1</v>
      </c>
      <c r="S307" s="3" t="n">
        <v>1</v>
      </c>
      <c r="T307" s="3" t="n">
        <v>0</v>
      </c>
      <c r="U307" s="3" t="n">
        <v>0</v>
      </c>
      <c r="V307" s="3" t="n">
        <v>1</v>
      </c>
      <c r="W307" s="3" t="n">
        <v>1</v>
      </c>
      <c r="X307" s="3" t="n">
        <v>0</v>
      </c>
      <c r="Y307" s="3" t="n">
        <v>0</v>
      </c>
      <c r="Z307" s="3" t="n">
        <v>0</v>
      </c>
      <c r="AA307" s="3" t="n">
        <v>1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4" t="n">
        <f aca="false">SUM(G307:AI307)</f>
        <v>5</v>
      </c>
      <c r="AK307" s="4" t="n">
        <f aca="false">ROUND(SUMPRODUCT(G307:AI307,Gene_Weights!$B$2:$AD$2),3)</f>
        <v>-3.78</v>
      </c>
      <c r="AL307" s="2" t="n">
        <v>6</v>
      </c>
      <c r="AM307" s="2" t="n">
        <v>1</v>
      </c>
      <c r="AN307" s="2" t="n">
        <v>16.67</v>
      </c>
      <c r="AO307" s="5" t="n">
        <v>75.59</v>
      </c>
      <c r="AP307" s="5" t="n">
        <v>78.01</v>
      </c>
      <c r="AQ307" s="5" t="n">
        <v>80.42</v>
      </c>
      <c r="AR307" s="5" t="n">
        <v>82.83</v>
      </c>
      <c r="AS307" s="5" t="n">
        <v>85.24</v>
      </c>
      <c r="AT307" s="5" t="n">
        <v>87.66</v>
      </c>
      <c r="AU307" s="5" t="n">
        <v>90.07</v>
      </c>
      <c r="AV307" s="5" t="s">
        <v>51</v>
      </c>
    </row>
    <row r="308" customFormat="false" ht="15" hidden="false" customHeight="false" outlineLevel="0" collapsed="false">
      <c r="A308" s="2" t="s">
        <v>107</v>
      </c>
      <c r="B308" s="2" t="n">
        <v>2003</v>
      </c>
      <c r="C308" s="2" t="s">
        <v>49</v>
      </c>
      <c r="D308" s="2" t="n">
        <v>0</v>
      </c>
      <c r="E308" s="2" t="n">
        <v>32</v>
      </c>
      <c r="F308" s="2" t="s">
        <v>50</v>
      </c>
      <c r="G308" s="3" t="n">
        <v>0</v>
      </c>
      <c r="H308" s="3" t="n">
        <v>0</v>
      </c>
      <c r="I308" s="3" t="n">
        <v>0</v>
      </c>
      <c r="J308" s="3" t="n">
        <v>1</v>
      </c>
      <c r="K308" s="3" t="n">
        <v>1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</v>
      </c>
      <c r="R308" s="3" t="n">
        <v>0</v>
      </c>
      <c r="S308" s="3" t="n">
        <v>1</v>
      </c>
      <c r="T308" s="3" t="n">
        <v>0</v>
      </c>
      <c r="U308" s="3" t="n">
        <v>0</v>
      </c>
      <c r="V308" s="3" t="n">
        <v>1</v>
      </c>
      <c r="W308" s="3" t="n">
        <v>1</v>
      </c>
      <c r="X308" s="3" t="n">
        <v>0</v>
      </c>
      <c r="Y308" s="3" t="n">
        <v>1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1</v>
      </c>
      <c r="AI308" s="3" t="n">
        <v>1</v>
      </c>
      <c r="AJ308" s="4" t="n">
        <f aca="false">SUM(G308:AI308)</f>
        <v>9</v>
      </c>
      <c r="AK308" s="4" t="n">
        <f aca="false">ROUND(SUMPRODUCT(G308:AI308,Gene_Weights!$B$2:$AD$2),3)</f>
        <v>-8.8</v>
      </c>
      <c r="AL308" s="2" t="n">
        <v>7</v>
      </c>
      <c r="AM308" s="2" t="n">
        <v>2</v>
      </c>
      <c r="AN308" s="2" t="n">
        <v>28.57</v>
      </c>
      <c r="AO308" s="5" t="n">
        <v>55.12</v>
      </c>
      <c r="AP308" s="5" t="n">
        <v>56.02</v>
      </c>
      <c r="AQ308" s="5" t="n">
        <v>56.92</v>
      </c>
      <c r="AR308" s="5" t="n">
        <v>57.82</v>
      </c>
      <c r="AS308" s="5" t="n">
        <v>58.72</v>
      </c>
      <c r="AT308" s="5" t="n">
        <v>59.62</v>
      </c>
      <c r="AU308" s="5" t="n">
        <v>60.52</v>
      </c>
      <c r="AV308" s="5" t="s">
        <v>51</v>
      </c>
    </row>
    <row r="309" customFormat="false" ht="15" hidden="false" customHeight="false" outlineLevel="0" collapsed="false">
      <c r="A309" s="2" t="s">
        <v>107</v>
      </c>
      <c r="B309" s="2" t="n">
        <v>2003</v>
      </c>
      <c r="C309" s="2" t="s">
        <v>52</v>
      </c>
      <c r="D309" s="2" t="n">
        <v>0</v>
      </c>
      <c r="E309" s="2" t="n">
        <v>4</v>
      </c>
      <c r="F309" s="2" t="s">
        <v>50</v>
      </c>
      <c r="G309" s="3" t="n">
        <v>0</v>
      </c>
      <c r="H309" s="3" t="n">
        <v>0</v>
      </c>
      <c r="I309" s="3" t="n">
        <v>0</v>
      </c>
      <c r="J309" s="3" t="n">
        <v>1</v>
      </c>
      <c r="K309" s="3" t="n">
        <v>1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1</v>
      </c>
      <c r="R309" s="3" t="n">
        <v>0</v>
      </c>
      <c r="S309" s="3" t="n">
        <v>1</v>
      </c>
      <c r="T309" s="3" t="n">
        <v>0</v>
      </c>
      <c r="U309" s="3" t="n">
        <v>0</v>
      </c>
      <c r="V309" s="3" t="n">
        <v>1</v>
      </c>
      <c r="W309" s="3" t="n">
        <v>1</v>
      </c>
      <c r="X309" s="3" t="n">
        <v>0</v>
      </c>
      <c r="Y309" s="3" t="n">
        <v>1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1</v>
      </c>
      <c r="AI309" s="3" t="n">
        <v>1</v>
      </c>
      <c r="AJ309" s="4" t="n">
        <f aca="false">SUM(G309:AI309)</f>
        <v>9</v>
      </c>
      <c r="AK309" s="4" t="n">
        <f aca="false">ROUND(SUMPRODUCT(G309:AI309,Gene_Weights!$B$2:$AD$2),3)</f>
        <v>-8.8</v>
      </c>
      <c r="AL309" s="2" t="n">
        <v>7</v>
      </c>
      <c r="AM309" s="2" t="n">
        <v>2</v>
      </c>
      <c r="AN309" s="2" t="n">
        <v>28.57</v>
      </c>
      <c r="AO309" s="5" t="n">
        <v>64.53</v>
      </c>
      <c r="AP309" s="5" t="n">
        <v>66.13</v>
      </c>
      <c r="AQ309" s="5" t="n">
        <v>67.73</v>
      </c>
      <c r="AR309" s="5" t="n">
        <v>69.33</v>
      </c>
      <c r="AS309" s="5" t="n">
        <v>70.93</v>
      </c>
      <c r="AT309" s="5" t="n">
        <v>72.53</v>
      </c>
      <c r="AU309" s="5" t="n">
        <v>74.13</v>
      </c>
      <c r="AV309" s="5" t="s">
        <v>51</v>
      </c>
    </row>
    <row r="310" customFormat="false" ht="15" hidden="false" customHeight="false" outlineLevel="0" collapsed="false">
      <c r="A310" s="2" t="s">
        <v>107</v>
      </c>
      <c r="B310" s="2" t="n">
        <v>2003</v>
      </c>
      <c r="C310" s="2" t="s">
        <v>53</v>
      </c>
      <c r="D310" s="2" t="n">
        <v>1</v>
      </c>
      <c r="E310" s="2" t="n">
        <v>4</v>
      </c>
      <c r="F310" s="2" t="s">
        <v>50</v>
      </c>
      <c r="G310" s="3" t="n">
        <v>0</v>
      </c>
      <c r="H310" s="3" t="n">
        <v>0</v>
      </c>
      <c r="I310" s="3" t="n">
        <v>0</v>
      </c>
      <c r="J310" s="3" t="n">
        <v>1</v>
      </c>
      <c r="K310" s="3" t="n">
        <v>1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1</v>
      </c>
      <c r="R310" s="3" t="n">
        <v>0</v>
      </c>
      <c r="S310" s="3" t="n">
        <v>1</v>
      </c>
      <c r="T310" s="3" t="n">
        <v>0</v>
      </c>
      <c r="U310" s="3" t="n">
        <v>0</v>
      </c>
      <c r="V310" s="3" t="n">
        <v>1</v>
      </c>
      <c r="W310" s="3" t="n">
        <v>1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1</v>
      </c>
      <c r="AI310" s="3" t="n">
        <v>1</v>
      </c>
      <c r="AJ310" s="4" t="n">
        <f aca="false">SUM(G310:AI310)</f>
        <v>9</v>
      </c>
      <c r="AK310" s="4" t="n">
        <f aca="false">ROUND(SUMPRODUCT(G310:AI310,Gene_Weights!$B$2:$AD$2),3)</f>
        <v>-8.8</v>
      </c>
      <c r="AL310" s="2" t="n">
        <v>7</v>
      </c>
      <c r="AM310" s="2" t="n">
        <v>3</v>
      </c>
      <c r="AN310" s="2" t="n">
        <v>42.86</v>
      </c>
      <c r="AO310" s="5" t="n">
        <v>52.86</v>
      </c>
      <c r="AP310" s="5" t="n">
        <v>53.65</v>
      </c>
      <c r="AQ310" s="5" t="n">
        <v>54.45</v>
      </c>
      <c r="AR310" s="5" t="n">
        <v>55.24</v>
      </c>
      <c r="AS310" s="5" t="n">
        <v>56.03</v>
      </c>
      <c r="AT310" s="5" t="n">
        <v>56.83</v>
      </c>
      <c r="AU310" s="5" t="n">
        <v>57.62</v>
      </c>
      <c r="AV310" s="5" t="s">
        <v>51</v>
      </c>
    </row>
    <row r="311" customFormat="false" ht="15" hidden="false" customHeight="false" outlineLevel="0" collapsed="false">
      <c r="A311" s="2" t="s">
        <v>107</v>
      </c>
      <c r="B311" s="2" t="n">
        <v>2003</v>
      </c>
      <c r="C311" s="2" t="s">
        <v>54</v>
      </c>
      <c r="D311" s="2" t="n">
        <v>0</v>
      </c>
      <c r="E311" s="2" t="n">
        <v>32</v>
      </c>
      <c r="F311" s="2" t="s">
        <v>50</v>
      </c>
      <c r="G311" s="3" t="n">
        <v>0</v>
      </c>
      <c r="H311" s="3" t="n">
        <v>0</v>
      </c>
      <c r="I311" s="3" t="n">
        <v>0</v>
      </c>
      <c r="J311" s="3" t="n">
        <v>1</v>
      </c>
      <c r="K311" s="3" t="n">
        <v>1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1</v>
      </c>
      <c r="R311" s="3" t="n">
        <v>0</v>
      </c>
      <c r="S311" s="3" t="n">
        <v>1</v>
      </c>
      <c r="T311" s="3" t="n">
        <v>0</v>
      </c>
      <c r="U311" s="3" t="n">
        <v>0</v>
      </c>
      <c r="V311" s="3" t="n">
        <v>1</v>
      </c>
      <c r="W311" s="3" t="n">
        <v>1</v>
      </c>
      <c r="X311" s="3" t="n">
        <v>0</v>
      </c>
      <c r="Y311" s="3" t="n">
        <v>1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1</v>
      </c>
      <c r="AI311" s="3" t="n">
        <v>1</v>
      </c>
      <c r="AJ311" s="4" t="n">
        <f aca="false">SUM(G311:AI311)</f>
        <v>9</v>
      </c>
      <c r="AK311" s="4" t="n">
        <f aca="false">ROUND(SUMPRODUCT(G311:AI311,Gene_Weights!$B$2:$AD$2),3)</f>
        <v>-8.8</v>
      </c>
      <c r="AL311" s="2" t="n">
        <v>7</v>
      </c>
      <c r="AM311" s="2" t="n">
        <v>3</v>
      </c>
      <c r="AN311" s="2" t="n">
        <v>42.86</v>
      </c>
      <c r="AO311" s="5" t="n">
        <v>81.84</v>
      </c>
      <c r="AP311" s="5" t="n">
        <v>84.45</v>
      </c>
      <c r="AQ311" s="5" t="n">
        <v>87.06</v>
      </c>
      <c r="AR311" s="5" t="n">
        <v>89.67</v>
      </c>
      <c r="AS311" s="5" t="n">
        <v>92.27</v>
      </c>
      <c r="AT311" s="5" t="n">
        <v>94.88</v>
      </c>
      <c r="AU311" s="5" t="n">
        <v>97.49</v>
      </c>
      <c r="AV311" s="5" t="s">
        <v>51</v>
      </c>
    </row>
    <row r="312" customFormat="false" ht="15" hidden="false" customHeight="false" outlineLevel="0" collapsed="false">
      <c r="A312" s="2" t="s">
        <v>107</v>
      </c>
      <c r="B312" s="2" t="n">
        <v>2003</v>
      </c>
      <c r="C312" s="2" t="s">
        <v>55</v>
      </c>
      <c r="D312" s="2" t="n">
        <v>0</v>
      </c>
      <c r="E312" s="2" t="n">
        <v>32</v>
      </c>
      <c r="F312" s="2" t="s">
        <v>50</v>
      </c>
      <c r="G312" s="3" t="n">
        <v>0</v>
      </c>
      <c r="H312" s="3" t="n">
        <v>0</v>
      </c>
      <c r="I312" s="3" t="n">
        <v>0</v>
      </c>
      <c r="J312" s="3" t="n">
        <v>1</v>
      </c>
      <c r="K312" s="3" t="n">
        <v>1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1</v>
      </c>
      <c r="R312" s="3" t="n">
        <v>0</v>
      </c>
      <c r="S312" s="3" t="n">
        <v>1</v>
      </c>
      <c r="T312" s="3" t="n">
        <v>0</v>
      </c>
      <c r="U312" s="3" t="n">
        <v>0</v>
      </c>
      <c r="V312" s="3" t="n">
        <v>1</v>
      </c>
      <c r="W312" s="3" t="n">
        <v>1</v>
      </c>
      <c r="X312" s="3" t="n">
        <v>0</v>
      </c>
      <c r="Y312" s="3" t="n">
        <v>1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1</v>
      </c>
      <c r="AI312" s="3" t="n">
        <v>1</v>
      </c>
      <c r="AJ312" s="4" t="n">
        <f aca="false">SUM(G312:AI312)</f>
        <v>9</v>
      </c>
      <c r="AK312" s="4" t="n">
        <f aca="false">ROUND(SUMPRODUCT(G312:AI312,Gene_Weights!$B$2:$AD$2),3)</f>
        <v>-8.8</v>
      </c>
      <c r="AL312" s="2" t="n">
        <v>7</v>
      </c>
      <c r="AM312" s="2" t="n">
        <v>1</v>
      </c>
      <c r="AN312" s="2" t="n">
        <v>14.29</v>
      </c>
      <c r="AO312" s="5" t="n">
        <v>58.19</v>
      </c>
      <c r="AP312" s="5" t="n">
        <v>59.74</v>
      </c>
      <c r="AQ312" s="5" t="n">
        <v>61.3</v>
      </c>
      <c r="AR312" s="5" t="n">
        <v>62.86</v>
      </c>
      <c r="AS312" s="5" t="n">
        <v>64.42</v>
      </c>
      <c r="AT312" s="5" t="n">
        <v>65.98</v>
      </c>
      <c r="AU312" s="5" t="n">
        <v>67.53</v>
      </c>
      <c r="AV312" s="5" t="s">
        <v>51</v>
      </c>
    </row>
    <row r="313" customFormat="false" ht="15" hidden="false" customHeight="false" outlineLevel="0" collapsed="false">
      <c r="A313" s="2" t="s">
        <v>107</v>
      </c>
      <c r="B313" s="2" t="n">
        <v>2003</v>
      </c>
      <c r="C313" s="2" t="s">
        <v>56</v>
      </c>
      <c r="D313" s="2" t="n">
        <v>0</v>
      </c>
      <c r="E313" s="2" t="n">
        <v>32</v>
      </c>
      <c r="F313" s="2" t="s">
        <v>50</v>
      </c>
      <c r="G313" s="3" t="n">
        <v>0</v>
      </c>
      <c r="H313" s="3" t="n">
        <v>0</v>
      </c>
      <c r="I313" s="3" t="n">
        <v>0</v>
      </c>
      <c r="J313" s="3" t="n">
        <v>1</v>
      </c>
      <c r="K313" s="3" t="n">
        <v>1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1</v>
      </c>
      <c r="R313" s="3" t="n">
        <v>0</v>
      </c>
      <c r="S313" s="3" t="n">
        <v>1</v>
      </c>
      <c r="T313" s="3" t="n">
        <v>0</v>
      </c>
      <c r="U313" s="3" t="n">
        <v>0</v>
      </c>
      <c r="V313" s="3" t="n">
        <v>1</v>
      </c>
      <c r="W313" s="3" t="n">
        <v>1</v>
      </c>
      <c r="X313" s="3" t="n">
        <v>0</v>
      </c>
      <c r="Y313" s="3" t="n">
        <v>1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1</v>
      </c>
      <c r="AI313" s="3" t="n">
        <v>1</v>
      </c>
      <c r="AJ313" s="4" t="n">
        <f aca="false">SUM(G313:AI313)</f>
        <v>9</v>
      </c>
      <c r="AK313" s="4" t="n">
        <f aca="false">ROUND(SUMPRODUCT(G313:AI313,Gene_Weights!$B$2:$AD$2),3)</f>
        <v>-8.8</v>
      </c>
      <c r="AL313" s="2" t="n">
        <v>7</v>
      </c>
      <c r="AM313" s="2" t="n">
        <v>1</v>
      </c>
      <c r="AN313" s="2" t="n">
        <v>14.29</v>
      </c>
      <c r="AO313" s="5" t="n">
        <v>75.59</v>
      </c>
      <c r="AP313" s="5" t="n">
        <v>78.01</v>
      </c>
      <c r="AQ313" s="5" t="n">
        <v>80.42</v>
      </c>
      <c r="AR313" s="5" t="n">
        <v>82.83</v>
      </c>
      <c r="AS313" s="5" t="n">
        <v>85.24</v>
      </c>
      <c r="AT313" s="5" t="n">
        <v>87.66</v>
      </c>
      <c r="AU313" s="5" t="n">
        <v>90.07</v>
      </c>
      <c r="AV313" s="5" t="s">
        <v>51</v>
      </c>
    </row>
    <row r="314" customFormat="false" ht="15" hidden="false" customHeight="false" outlineLevel="0" collapsed="false">
      <c r="A314" s="2" t="s">
        <v>108</v>
      </c>
      <c r="B314" s="2" t="n">
        <v>2024</v>
      </c>
      <c r="C314" s="2" t="s">
        <v>49</v>
      </c>
      <c r="D314" s="2" t="n">
        <v>0</v>
      </c>
      <c r="E314" s="2" t="n">
        <v>2</v>
      </c>
      <c r="F314" s="2" t="s">
        <v>50</v>
      </c>
      <c r="G314" s="3" t="n">
        <v>0</v>
      </c>
      <c r="H314" s="3" t="n">
        <v>1</v>
      </c>
      <c r="I314" s="3" t="n">
        <v>1</v>
      </c>
      <c r="J314" s="3" t="n">
        <v>0</v>
      </c>
      <c r="K314" s="3" t="n">
        <v>0</v>
      </c>
      <c r="L314" s="3" t="n">
        <v>1</v>
      </c>
      <c r="M314" s="3" t="n">
        <v>0</v>
      </c>
      <c r="N314" s="3" t="n">
        <v>0</v>
      </c>
      <c r="O314" s="3" t="n">
        <v>0</v>
      </c>
      <c r="P314" s="3" t="n">
        <v>1</v>
      </c>
      <c r="Q314" s="3" t="n">
        <v>0</v>
      </c>
      <c r="R314" s="3" t="n">
        <v>0</v>
      </c>
      <c r="S314" s="3" t="n">
        <v>1</v>
      </c>
      <c r="T314" s="3" t="n">
        <v>0</v>
      </c>
      <c r="U314" s="3" t="n">
        <v>0</v>
      </c>
      <c r="V314" s="3" t="n">
        <v>1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1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4" t="n">
        <f aca="false">SUM(G314:AI314)</f>
        <v>7</v>
      </c>
      <c r="AK314" s="4" t="n">
        <f aca="false">ROUND(SUMPRODUCT(G314:AI314,Gene_Weights!$B$2:$AD$2),3)</f>
        <v>-3.07</v>
      </c>
      <c r="AL314" s="2" t="n">
        <v>7</v>
      </c>
      <c r="AM314" s="2" t="n">
        <v>6</v>
      </c>
      <c r="AN314" s="2" t="n">
        <v>85.71</v>
      </c>
      <c r="AO314" s="5" t="n">
        <v>55.12</v>
      </c>
      <c r="AP314" s="5" t="n">
        <v>56.02</v>
      </c>
      <c r="AQ314" s="5" t="n">
        <v>56.92</v>
      </c>
      <c r="AR314" s="5" t="n">
        <v>57.82</v>
      </c>
      <c r="AS314" s="5" t="n">
        <v>58.72</v>
      </c>
      <c r="AT314" s="5" t="n">
        <v>59.62</v>
      </c>
      <c r="AU314" s="5" t="n">
        <v>60.52</v>
      </c>
      <c r="AV314" s="5" t="s">
        <v>51</v>
      </c>
    </row>
    <row r="315" customFormat="false" ht="15" hidden="false" customHeight="false" outlineLevel="0" collapsed="false">
      <c r="A315" s="2" t="s">
        <v>108</v>
      </c>
      <c r="B315" s="2" t="n">
        <v>2024</v>
      </c>
      <c r="C315" s="2" t="s">
        <v>52</v>
      </c>
      <c r="D315" s="2" t="n">
        <v>1</v>
      </c>
      <c r="E315" s="2" t="n">
        <v>2</v>
      </c>
      <c r="F315" s="2" t="s">
        <v>50</v>
      </c>
      <c r="G315" s="3" t="n">
        <v>0</v>
      </c>
      <c r="H315" s="3" t="n">
        <v>1</v>
      </c>
      <c r="I315" s="3" t="n">
        <v>1</v>
      </c>
      <c r="J315" s="3" t="n">
        <v>0</v>
      </c>
      <c r="K315" s="3" t="n">
        <v>0</v>
      </c>
      <c r="L315" s="3" t="n">
        <v>1</v>
      </c>
      <c r="M315" s="3" t="n">
        <v>0</v>
      </c>
      <c r="N315" s="3" t="n">
        <v>0</v>
      </c>
      <c r="O315" s="3" t="n">
        <v>0</v>
      </c>
      <c r="P315" s="3" t="n">
        <v>1</v>
      </c>
      <c r="Q315" s="3" t="n">
        <v>0</v>
      </c>
      <c r="R315" s="3" t="n">
        <v>0</v>
      </c>
      <c r="S315" s="3" t="n">
        <v>1</v>
      </c>
      <c r="T315" s="3" t="n">
        <v>0</v>
      </c>
      <c r="U315" s="3" t="n">
        <v>0</v>
      </c>
      <c r="V315" s="3" t="n">
        <v>1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1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4" t="n">
        <f aca="false">SUM(G315:AI315)</f>
        <v>7</v>
      </c>
      <c r="AK315" s="4" t="n">
        <f aca="false">ROUND(SUMPRODUCT(G315:AI315,Gene_Weights!$B$2:$AD$2),3)</f>
        <v>-3.07</v>
      </c>
      <c r="AL315" s="2" t="n">
        <v>7</v>
      </c>
      <c r="AM315" s="2" t="n">
        <v>7</v>
      </c>
      <c r="AN315" s="2" t="n">
        <v>100</v>
      </c>
      <c r="AO315" s="5" t="n">
        <v>64.53</v>
      </c>
      <c r="AP315" s="5" t="n">
        <v>66.13</v>
      </c>
      <c r="AQ315" s="5" t="n">
        <v>67.73</v>
      </c>
      <c r="AR315" s="5" t="n">
        <v>69.33</v>
      </c>
      <c r="AS315" s="5" t="n">
        <v>70.93</v>
      </c>
      <c r="AT315" s="5" t="n">
        <v>72.53</v>
      </c>
      <c r="AU315" s="5" t="n">
        <v>74.13</v>
      </c>
      <c r="AV315" s="5" t="s">
        <v>51</v>
      </c>
    </row>
    <row r="316" customFormat="false" ht="15" hidden="false" customHeight="false" outlineLevel="0" collapsed="false">
      <c r="A316" s="2" t="s">
        <v>108</v>
      </c>
      <c r="B316" s="2" t="n">
        <v>2024</v>
      </c>
      <c r="C316" s="2" t="s">
        <v>53</v>
      </c>
      <c r="D316" s="2" t="n">
        <v>0</v>
      </c>
      <c r="E316" s="2" t="n">
        <v>32</v>
      </c>
      <c r="F316" s="2" t="s">
        <v>50</v>
      </c>
      <c r="G316" s="3" t="n">
        <v>0</v>
      </c>
      <c r="H316" s="3" t="n">
        <v>1</v>
      </c>
      <c r="I316" s="3" t="n">
        <v>1</v>
      </c>
      <c r="J316" s="3" t="n">
        <v>0</v>
      </c>
      <c r="K316" s="3" t="n">
        <v>0</v>
      </c>
      <c r="L316" s="3" t="n">
        <v>1</v>
      </c>
      <c r="M316" s="3" t="n">
        <v>0</v>
      </c>
      <c r="N316" s="3" t="n">
        <v>0</v>
      </c>
      <c r="O316" s="3" t="n">
        <v>0</v>
      </c>
      <c r="P316" s="3" t="n">
        <v>1</v>
      </c>
      <c r="Q316" s="3" t="n">
        <v>0</v>
      </c>
      <c r="R316" s="3" t="n">
        <v>0</v>
      </c>
      <c r="S316" s="3" t="n">
        <v>1</v>
      </c>
      <c r="T316" s="3" t="n">
        <v>0</v>
      </c>
      <c r="U316" s="3" t="n">
        <v>0</v>
      </c>
      <c r="V316" s="3" t="n">
        <v>1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1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4" t="n">
        <f aca="false">SUM(G316:AI316)</f>
        <v>7</v>
      </c>
      <c r="AK316" s="4" t="n">
        <f aca="false">ROUND(SUMPRODUCT(G316:AI316,Gene_Weights!$B$2:$AD$2),3)</f>
        <v>-3.07</v>
      </c>
      <c r="AL316" s="2" t="n">
        <v>7</v>
      </c>
      <c r="AM316" s="2" t="n">
        <v>5</v>
      </c>
      <c r="AN316" s="2" t="n">
        <v>71.43</v>
      </c>
      <c r="AO316" s="5" t="n">
        <v>52.86</v>
      </c>
      <c r="AP316" s="5" t="n">
        <v>53.65</v>
      </c>
      <c r="AQ316" s="5" t="n">
        <v>54.45</v>
      </c>
      <c r="AR316" s="5" t="n">
        <v>55.24</v>
      </c>
      <c r="AS316" s="5" t="n">
        <v>56.03</v>
      </c>
      <c r="AT316" s="5" t="n">
        <v>56.83</v>
      </c>
      <c r="AU316" s="5" t="n">
        <v>57.62</v>
      </c>
      <c r="AV316" s="5" t="s">
        <v>51</v>
      </c>
    </row>
    <row r="317" customFormat="false" ht="15" hidden="false" customHeight="false" outlineLevel="0" collapsed="false">
      <c r="A317" s="2" t="s">
        <v>108</v>
      </c>
      <c r="B317" s="2" t="n">
        <v>2024</v>
      </c>
      <c r="C317" s="2" t="s">
        <v>54</v>
      </c>
      <c r="D317" s="2" t="n">
        <v>1</v>
      </c>
      <c r="E317" s="2" t="n">
        <v>2</v>
      </c>
      <c r="F317" s="2" t="s">
        <v>50</v>
      </c>
      <c r="G317" s="3" t="n">
        <v>0</v>
      </c>
      <c r="H317" s="3" t="n">
        <v>1</v>
      </c>
      <c r="I317" s="3" t="n">
        <v>1</v>
      </c>
      <c r="J317" s="3" t="n">
        <v>0</v>
      </c>
      <c r="K317" s="3" t="n">
        <v>0</v>
      </c>
      <c r="L317" s="3" t="n">
        <v>1</v>
      </c>
      <c r="M317" s="3" t="n">
        <v>0</v>
      </c>
      <c r="N317" s="3" t="n">
        <v>0</v>
      </c>
      <c r="O317" s="3" t="n">
        <v>0</v>
      </c>
      <c r="P317" s="3" t="n">
        <v>1</v>
      </c>
      <c r="Q317" s="3" t="n">
        <v>0</v>
      </c>
      <c r="R317" s="3" t="n">
        <v>0</v>
      </c>
      <c r="S317" s="3" t="n">
        <v>1</v>
      </c>
      <c r="T317" s="3" t="n">
        <v>0</v>
      </c>
      <c r="U317" s="3" t="n">
        <v>0</v>
      </c>
      <c r="V317" s="3" t="n">
        <v>1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1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4" t="n">
        <f aca="false">SUM(G317:AI317)</f>
        <v>7</v>
      </c>
      <c r="AK317" s="4" t="n">
        <f aca="false">ROUND(SUMPRODUCT(G317:AI317,Gene_Weights!$B$2:$AD$2),3)</f>
        <v>-3.07</v>
      </c>
      <c r="AL317" s="2" t="n">
        <v>7</v>
      </c>
      <c r="AM317" s="2" t="n">
        <v>6</v>
      </c>
      <c r="AN317" s="2" t="n">
        <v>85.71</v>
      </c>
      <c r="AO317" s="5" t="n">
        <v>81.84</v>
      </c>
      <c r="AP317" s="5" t="n">
        <v>84.45</v>
      </c>
      <c r="AQ317" s="5" t="n">
        <v>87.06</v>
      </c>
      <c r="AR317" s="5" t="n">
        <v>89.67</v>
      </c>
      <c r="AS317" s="5" t="n">
        <v>92.27</v>
      </c>
      <c r="AT317" s="5" t="n">
        <v>94.88</v>
      </c>
      <c r="AU317" s="5" t="n">
        <v>97.49</v>
      </c>
      <c r="AV317" s="5" t="s">
        <v>51</v>
      </c>
    </row>
    <row r="318" customFormat="false" ht="15" hidden="false" customHeight="false" outlineLevel="0" collapsed="false">
      <c r="A318" s="2" t="s">
        <v>108</v>
      </c>
      <c r="B318" s="2" t="n">
        <v>2024</v>
      </c>
      <c r="C318" s="2" t="s">
        <v>55</v>
      </c>
      <c r="D318" s="2" t="n">
        <v>0</v>
      </c>
      <c r="E318" s="2" t="n">
        <v>2</v>
      </c>
      <c r="F318" s="2" t="s">
        <v>50</v>
      </c>
      <c r="G318" s="3" t="n">
        <v>0</v>
      </c>
      <c r="H318" s="3" t="n">
        <v>1</v>
      </c>
      <c r="I318" s="3" t="n">
        <v>1</v>
      </c>
      <c r="J318" s="3" t="n">
        <v>0</v>
      </c>
      <c r="K318" s="3" t="n">
        <v>0</v>
      </c>
      <c r="L318" s="3" t="n">
        <v>1</v>
      </c>
      <c r="M318" s="3" t="n">
        <v>0</v>
      </c>
      <c r="N318" s="3" t="n">
        <v>0</v>
      </c>
      <c r="O318" s="3" t="n">
        <v>0</v>
      </c>
      <c r="P318" s="3" t="n">
        <v>1</v>
      </c>
      <c r="Q318" s="3" t="n">
        <v>0</v>
      </c>
      <c r="R318" s="3" t="n">
        <v>0</v>
      </c>
      <c r="S318" s="3" t="n">
        <v>1</v>
      </c>
      <c r="T318" s="3" t="n">
        <v>0</v>
      </c>
      <c r="U318" s="3" t="n">
        <v>0</v>
      </c>
      <c r="V318" s="3" t="n">
        <v>1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1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4" t="n">
        <f aca="false">SUM(G318:AI318)</f>
        <v>7</v>
      </c>
      <c r="AK318" s="4" t="n">
        <f aca="false">ROUND(SUMPRODUCT(G318:AI318,Gene_Weights!$B$2:$AD$2),3)</f>
        <v>-3.07</v>
      </c>
      <c r="AL318" s="2" t="n">
        <v>7</v>
      </c>
      <c r="AM318" s="2" t="n">
        <v>5</v>
      </c>
      <c r="AN318" s="2" t="n">
        <v>71.43</v>
      </c>
      <c r="AO318" s="5" t="n">
        <v>58.19</v>
      </c>
      <c r="AP318" s="5" t="n">
        <v>59.74</v>
      </c>
      <c r="AQ318" s="5" t="n">
        <v>61.3</v>
      </c>
      <c r="AR318" s="5" t="n">
        <v>62.86</v>
      </c>
      <c r="AS318" s="5" t="n">
        <v>64.42</v>
      </c>
      <c r="AT318" s="5" t="n">
        <v>65.98</v>
      </c>
      <c r="AU318" s="5" t="n">
        <v>67.53</v>
      </c>
      <c r="AV318" s="5" t="s">
        <v>51</v>
      </c>
    </row>
    <row r="319" customFormat="false" ht="15" hidden="false" customHeight="false" outlineLevel="0" collapsed="false">
      <c r="A319" s="2" t="s">
        <v>108</v>
      </c>
      <c r="B319" s="2" t="n">
        <v>2024</v>
      </c>
      <c r="C319" s="2" t="s">
        <v>56</v>
      </c>
      <c r="D319" s="2" t="n">
        <v>0</v>
      </c>
      <c r="E319" s="2" t="n">
        <v>16</v>
      </c>
      <c r="F319" s="2" t="s">
        <v>50</v>
      </c>
      <c r="G319" s="3" t="n">
        <v>0</v>
      </c>
      <c r="H319" s="3" t="n">
        <v>1</v>
      </c>
      <c r="I319" s="3" t="n">
        <v>1</v>
      </c>
      <c r="J319" s="3" t="n">
        <v>0</v>
      </c>
      <c r="K319" s="3" t="n">
        <v>0</v>
      </c>
      <c r="L319" s="3" t="n">
        <v>1</v>
      </c>
      <c r="M319" s="3" t="n">
        <v>0</v>
      </c>
      <c r="N319" s="3" t="n">
        <v>0</v>
      </c>
      <c r="O319" s="3" t="n">
        <v>0</v>
      </c>
      <c r="P319" s="3" t="n">
        <v>1</v>
      </c>
      <c r="Q319" s="3" t="n">
        <v>0</v>
      </c>
      <c r="R319" s="3" t="n">
        <v>0</v>
      </c>
      <c r="S319" s="3" t="n">
        <v>1</v>
      </c>
      <c r="T319" s="3" t="n">
        <v>0</v>
      </c>
      <c r="U319" s="3" t="n">
        <v>0</v>
      </c>
      <c r="V319" s="3" t="n">
        <v>1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1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4" t="n">
        <f aca="false">SUM(G319:AI319)</f>
        <v>7</v>
      </c>
      <c r="AK319" s="4" t="n">
        <f aca="false">ROUND(SUMPRODUCT(G319:AI319,Gene_Weights!$B$2:$AD$2),3)</f>
        <v>-3.07</v>
      </c>
      <c r="AL319" s="2" t="n">
        <v>7</v>
      </c>
      <c r="AM319" s="2" t="n">
        <v>5</v>
      </c>
      <c r="AN319" s="2" t="n">
        <v>71.43</v>
      </c>
      <c r="AO319" s="5" t="n">
        <v>75.59</v>
      </c>
      <c r="AP319" s="5" t="n">
        <v>78.01</v>
      </c>
      <c r="AQ319" s="5" t="n">
        <v>80.42</v>
      </c>
      <c r="AR319" s="5" t="n">
        <v>82.83</v>
      </c>
      <c r="AS319" s="5" t="n">
        <v>85.24</v>
      </c>
      <c r="AT319" s="5" t="n">
        <v>87.66</v>
      </c>
      <c r="AU319" s="5" t="n">
        <v>90.07</v>
      </c>
      <c r="AV319" s="5" t="s">
        <v>51</v>
      </c>
    </row>
    <row r="320" customFormat="false" ht="15" hidden="false" customHeight="false" outlineLevel="0" collapsed="false">
      <c r="A320" s="2" t="s">
        <v>109</v>
      </c>
      <c r="B320" s="2" t="n">
        <v>2002</v>
      </c>
      <c r="C320" s="2" t="s">
        <v>49</v>
      </c>
      <c r="D320" s="2" t="n">
        <v>0</v>
      </c>
      <c r="E320" s="2" t="n">
        <v>4</v>
      </c>
      <c r="F320" s="2" t="s">
        <v>50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1</v>
      </c>
      <c r="L320" s="3" t="n">
        <v>0</v>
      </c>
      <c r="M320" s="3" t="n">
        <v>1</v>
      </c>
      <c r="N320" s="3" t="n">
        <v>0</v>
      </c>
      <c r="O320" s="3" t="n">
        <v>1</v>
      </c>
      <c r="P320" s="3" t="n">
        <v>1</v>
      </c>
      <c r="Q320" s="3" t="n">
        <v>0</v>
      </c>
      <c r="R320" s="3" t="n">
        <v>1</v>
      </c>
      <c r="S320" s="3" t="n">
        <v>0</v>
      </c>
      <c r="T320" s="3" t="n">
        <v>0</v>
      </c>
      <c r="U320" s="3" t="n">
        <v>0</v>
      </c>
      <c r="V320" s="3" t="n">
        <v>1</v>
      </c>
      <c r="W320" s="3" t="n">
        <v>1</v>
      </c>
      <c r="X320" s="3" t="n">
        <v>0</v>
      </c>
      <c r="Y320" s="3" t="n">
        <v>0</v>
      </c>
      <c r="Z320" s="3" t="n">
        <v>1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1</v>
      </c>
      <c r="AH320" s="3" t="n">
        <v>0</v>
      </c>
      <c r="AI320" s="3" t="n">
        <v>0</v>
      </c>
      <c r="AJ320" s="4" t="n">
        <f aca="false">SUM(G320:AI320)</f>
        <v>9</v>
      </c>
      <c r="AK320" s="4" t="n">
        <f aca="false">ROUND(SUMPRODUCT(G320:AI320,Gene_Weights!$B$2:$AD$2),3)</f>
        <v>-6.86</v>
      </c>
      <c r="AL320" s="2" t="n">
        <v>5</v>
      </c>
      <c r="AM320" s="2" t="n">
        <v>1</v>
      </c>
      <c r="AN320" s="2" t="n">
        <v>20</v>
      </c>
      <c r="AO320" s="5" t="n">
        <v>55.12</v>
      </c>
      <c r="AP320" s="5" t="n">
        <v>56.02</v>
      </c>
      <c r="AQ320" s="5" t="n">
        <v>56.92</v>
      </c>
      <c r="AR320" s="5" t="n">
        <v>57.82</v>
      </c>
      <c r="AS320" s="5" t="n">
        <v>58.72</v>
      </c>
      <c r="AT320" s="5" t="n">
        <v>59.62</v>
      </c>
      <c r="AU320" s="5" t="n">
        <v>60.52</v>
      </c>
      <c r="AV320" s="5" t="s">
        <v>51</v>
      </c>
    </row>
    <row r="321" customFormat="false" ht="15" hidden="false" customHeight="false" outlineLevel="0" collapsed="false">
      <c r="A321" s="2" t="s">
        <v>109</v>
      </c>
      <c r="B321" s="2" t="n">
        <v>2002</v>
      </c>
      <c r="C321" s="2" t="s">
        <v>52</v>
      </c>
      <c r="D321" s="2" t="n">
        <v>1</v>
      </c>
      <c r="E321" s="2" t="n">
        <v>4</v>
      </c>
      <c r="F321" s="2" t="s">
        <v>50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1</v>
      </c>
      <c r="L321" s="3" t="n">
        <v>0</v>
      </c>
      <c r="M321" s="3" t="n">
        <v>1</v>
      </c>
      <c r="N321" s="3" t="n">
        <v>0</v>
      </c>
      <c r="O321" s="3" t="n">
        <v>1</v>
      </c>
      <c r="P321" s="3" t="n">
        <v>1</v>
      </c>
      <c r="Q321" s="3" t="n">
        <v>0</v>
      </c>
      <c r="R321" s="3" t="n">
        <v>1</v>
      </c>
      <c r="S321" s="3" t="n">
        <v>0</v>
      </c>
      <c r="T321" s="3" t="n">
        <v>0</v>
      </c>
      <c r="U321" s="3" t="n">
        <v>0</v>
      </c>
      <c r="V321" s="3" t="n">
        <v>1</v>
      </c>
      <c r="W321" s="3" t="n">
        <v>1</v>
      </c>
      <c r="X321" s="3" t="n">
        <v>0</v>
      </c>
      <c r="Y321" s="3" t="n">
        <v>0</v>
      </c>
      <c r="Z321" s="3" t="n">
        <v>1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1</v>
      </c>
      <c r="AH321" s="3" t="n">
        <v>0</v>
      </c>
      <c r="AI321" s="3" t="n">
        <v>0</v>
      </c>
      <c r="AJ321" s="4" t="n">
        <f aca="false">SUM(G321:AI321)</f>
        <v>9</v>
      </c>
      <c r="AK321" s="4" t="n">
        <f aca="false">ROUND(SUMPRODUCT(G321:AI321,Gene_Weights!$B$2:$AD$2),3)</f>
        <v>-6.86</v>
      </c>
      <c r="AL321" s="2" t="n">
        <v>5</v>
      </c>
      <c r="AM321" s="2" t="n">
        <v>3</v>
      </c>
      <c r="AN321" s="2" t="n">
        <v>60</v>
      </c>
      <c r="AO321" s="5" t="n">
        <v>64.53</v>
      </c>
      <c r="AP321" s="5" t="n">
        <v>66.13</v>
      </c>
      <c r="AQ321" s="5" t="n">
        <v>67.73</v>
      </c>
      <c r="AR321" s="5" t="n">
        <v>69.33</v>
      </c>
      <c r="AS321" s="5" t="n">
        <v>70.93</v>
      </c>
      <c r="AT321" s="5" t="n">
        <v>72.53</v>
      </c>
      <c r="AU321" s="5" t="n">
        <v>74.13</v>
      </c>
      <c r="AV321" s="5" t="s">
        <v>51</v>
      </c>
    </row>
    <row r="322" customFormat="false" ht="15" hidden="false" customHeight="false" outlineLevel="0" collapsed="false">
      <c r="A322" s="2" t="s">
        <v>109</v>
      </c>
      <c r="B322" s="2" t="n">
        <v>2002</v>
      </c>
      <c r="C322" s="2" t="s">
        <v>53</v>
      </c>
      <c r="D322" s="2" t="n">
        <v>0</v>
      </c>
      <c r="E322" s="2" t="n">
        <v>2</v>
      </c>
      <c r="F322" s="2" t="s">
        <v>50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1</v>
      </c>
      <c r="L322" s="3" t="n">
        <v>0</v>
      </c>
      <c r="M322" s="3" t="n">
        <v>1</v>
      </c>
      <c r="N322" s="3" t="n">
        <v>0</v>
      </c>
      <c r="O322" s="3" t="n">
        <v>1</v>
      </c>
      <c r="P322" s="3" t="n">
        <v>1</v>
      </c>
      <c r="Q322" s="3" t="n">
        <v>0</v>
      </c>
      <c r="R322" s="3" t="n">
        <v>1</v>
      </c>
      <c r="S322" s="3" t="n">
        <v>0</v>
      </c>
      <c r="T322" s="3" t="n">
        <v>0</v>
      </c>
      <c r="U322" s="3" t="n">
        <v>0</v>
      </c>
      <c r="V322" s="3" t="n">
        <v>1</v>
      </c>
      <c r="W322" s="3" t="n">
        <v>1</v>
      </c>
      <c r="X322" s="3" t="n">
        <v>0</v>
      </c>
      <c r="Y322" s="3" t="n">
        <v>0</v>
      </c>
      <c r="Z322" s="3" t="n">
        <v>1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1</v>
      </c>
      <c r="AH322" s="3" t="n">
        <v>0</v>
      </c>
      <c r="AI322" s="3" t="n">
        <v>0</v>
      </c>
      <c r="AJ322" s="4" t="n">
        <f aca="false">SUM(G322:AI322)</f>
        <v>9</v>
      </c>
      <c r="AK322" s="4" t="n">
        <f aca="false">ROUND(SUMPRODUCT(G322:AI322,Gene_Weights!$B$2:$AD$2),3)</f>
        <v>-6.86</v>
      </c>
      <c r="AL322" s="2" t="n">
        <v>5</v>
      </c>
      <c r="AM322" s="2" t="n">
        <v>0</v>
      </c>
      <c r="AN322" s="2" t="n">
        <v>0</v>
      </c>
      <c r="AO322" s="5" t="n">
        <v>52.86</v>
      </c>
      <c r="AP322" s="5" t="n">
        <v>53.65</v>
      </c>
      <c r="AQ322" s="5" t="n">
        <v>54.45</v>
      </c>
      <c r="AR322" s="5" t="n">
        <v>55.24</v>
      </c>
      <c r="AS322" s="5" t="n">
        <v>56.03</v>
      </c>
      <c r="AT322" s="5" t="n">
        <v>56.83</v>
      </c>
      <c r="AU322" s="5" t="n">
        <v>57.62</v>
      </c>
      <c r="AV322" s="5" t="s">
        <v>51</v>
      </c>
    </row>
    <row r="323" customFormat="false" ht="15" hidden="false" customHeight="false" outlineLevel="0" collapsed="false">
      <c r="A323" s="2" t="s">
        <v>109</v>
      </c>
      <c r="B323" s="2" t="n">
        <v>2002</v>
      </c>
      <c r="C323" s="2" t="s">
        <v>54</v>
      </c>
      <c r="D323" s="2" t="n">
        <v>1</v>
      </c>
      <c r="E323" s="2" t="n">
        <v>32</v>
      </c>
      <c r="F323" s="2" t="s">
        <v>50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1</v>
      </c>
      <c r="L323" s="3" t="n">
        <v>0</v>
      </c>
      <c r="M323" s="3" t="n">
        <v>1</v>
      </c>
      <c r="N323" s="3" t="n">
        <v>0</v>
      </c>
      <c r="O323" s="3" t="n">
        <v>1</v>
      </c>
      <c r="P323" s="3" t="n">
        <v>1</v>
      </c>
      <c r="Q323" s="3" t="n">
        <v>0</v>
      </c>
      <c r="R323" s="3" t="n">
        <v>1</v>
      </c>
      <c r="S323" s="3" t="n">
        <v>0</v>
      </c>
      <c r="T323" s="3" t="n">
        <v>0</v>
      </c>
      <c r="U323" s="3" t="n">
        <v>0</v>
      </c>
      <c r="V323" s="3" t="n">
        <v>1</v>
      </c>
      <c r="W323" s="3" t="n">
        <v>1</v>
      </c>
      <c r="X323" s="3" t="n">
        <v>0</v>
      </c>
      <c r="Y323" s="3" t="n">
        <v>0</v>
      </c>
      <c r="Z323" s="3" t="n">
        <v>1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1</v>
      </c>
      <c r="AH323" s="3" t="n">
        <v>0</v>
      </c>
      <c r="AI323" s="3" t="n">
        <v>0</v>
      </c>
      <c r="AJ323" s="4" t="n">
        <f aca="false">SUM(G323:AI323)</f>
        <v>9</v>
      </c>
      <c r="AK323" s="4" t="n">
        <f aca="false">ROUND(SUMPRODUCT(G323:AI323,Gene_Weights!$B$2:$AD$2),3)</f>
        <v>-6.86</v>
      </c>
      <c r="AL323" s="2" t="n">
        <v>5</v>
      </c>
      <c r="AM323" s="2" t="n">
        <v>2</v>
      </c>
      <c r="AN323" s="2" t="n">
        <v>40</v>
      </c>
      <c r="AO323" s="5" t="n">
        <v>81.84</v>
      </c>
      <c r="AP323" s="5" t="n">
        <v>84.45</v>
      </c>
      <c r="AQ323" s="5" t="n">
        <v>87.06</v>
      </c>
      <c r="AR323" s="5" t="n">
        <v>89.67</v>
      </c>
      <c r="AS323" s="5" t="n">
        <v>92.27</v>
      </c>
      <c r="AT323" s="5" t="n">
        <v>94.88</v>
      </c>
      <c r="AU323" s="5" t="n">
        <v>97.49</v>
      </c>
      <c r="AV323" s="5" t="s">
        <v>51</v>
      </c>
    </row>
    <row r="324" customFormat="false" ht="15" hidden="false" customHeight="false" outlineLevel="0" collapsed="false">
      <c r="A324" s="2" t="s">
        <v>109</v>
      </c>
      <c r="B324" s="2" t="n">
        <v>2002</v>
      </c>
      <c r="C324" s="2" t="s">
        <v>55</v>
      </c>
      <c r="D324" s="2" t="n">
        <v>0</v>
      </c>
      <c r="E324" s="2" t="n">
        <v>2</v>
      </c>
      <c r="F324" s="2" t="s">
        <v>50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1</v>
      </c>
      <c r="L324" s="3" t="n">
        <v>0</v>
      </c>
      <c r="M324" s="3" t="n">
        <v>1</v>
      </c>
      <c r="N324" s="3" t="n">
        <v>0</v>
      </c>
      <c r="O324" s="3" t="n">
        <v>1</v>
      </c>
      <c r="P324" s="3" t="n">
        <v>1</v>
      </c>
      <c r="Q324" s="3" t="n">
        <v>0</v>
      </c>
      <c r="R324" s="3" t="n">
        <v>1</v>
      </c>
      <c r="S324" s="3" t="n">
        <v>0</v>
      </c>
      <c r="T324" s="3" t="n">
        <v>0</v>
      </c>
      <c r="U324" s="3" t="n">
        <v>0</v>
      </c>
      <c r="V324" s="3" t="n">
        <v>1</v>
      </c>
      <c r="W324" s="3" t="n">
        <v>1</v>
      </c>
      <c r="X324" s="3" t="n">
        <v>0</v>
      </c>
      <c r="Y324" s="3" t="n">
        <v>0</v>
      </c>
      <c r="Z324" s="3" t="n">
        <v>1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1</v>
      </c>
      <c r="AH324" s="3" t="n">
        <v>0</v>
      </c>
      <c r="AI324" s="3" t="n">
        <v>0</v>
      </c>
      <c r="AJ324" s="4" t="n">
        <f aca="false">SUM(G324:AI324)</f>
        <v>9</v>
      </c>
      <c r="AK324" s="4" t="n">
        <f aca="false">ROUND(SUMPRODUCT(G324:AI324,Gene_Weights!$B$2:$AD$2),3)</f>
        <v>-6.86</v>
      </c>
      <c r="AL324" s="2" t="n">
        <v>5</v>
      </c>
      <c r="AM324" s="2" t="n">
        <v>2</v>
      </c>
      <c r="AN324" s="2" t="n">
        <v>40</v>
      </c>
      <c r="AO324" s="5" t="n">
        <v>58.19</v>
      </c>
      <c r="AP324" s="5" t="n">
        <v>59.74</v>
      </c>
      <c r="AQ324" s="5" t="n">
        <v>61.3</v>
      </c>
      <c r="AR324" s="5" t="n">
        <v>62.86</v>
      </c>
      <c r="AS324" s="5" t="n">
        <v>64.42</v>
      </c>
      <c r="AT324" s="5" t="n">
        <v>65.98</v>
      </c>
      <c r="AU324" s="5" t="n">
        <v>67.53</v>
      </c>
      <c r="AV324" s="5" t="s">
        <v>51</v>
      </c>
    </row>
    <row r="325" customFormat="false" ht="15" hidden="false" customHeight="false" outlineLevel="0" collapsed="false">
      <c r="A325" s="2" t="s">
        <v>109</v>
      </c>
      <c r="B325" s="2" t="n">
        <v>2002</v>
      </c>
      <c r="C325" s="2" t="s">
        <v>56</v>
      </c>
      <c r="D325" s="2" t="n">
        <v>0</v>
      </c>
      <c r="E325" s="2" t="n">
        <v>16</v>
      </c>
      <c r="F325" s="2" t="s">
        <v>50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1</v>
      </c>
      <c r="L325" s="3" t="n">
        <v>0</v>
      </c>
      <c r="M325" s="3" t="n">
        <v>1</v>
      </c>
      <c r="N325" s="3" t="n">
        <v>0</v>
      </c>
      <c r="O325" s="3" t="n">
        <v>1</v>
      </c>
      <c r="P325" s="3" t="n">
        <v>1</v>
      </c>
      <c r="Q325" s="3" t="n">
        <v>0</v>
      </c>
      <c r="R325" s="3" t="n">
        <v>1</v>
      </c>
      <c r="S325" s="3" t="n">
        <v>0</v>
      </c>
      <c r="T325" s="3" t="n">
        <v>0</v>
      </c>
      <c r="U325" s="3" t="n">
        <v>0</v>
      </c>
      <c r="V325" s="3" t="n">
        <v>1</v>
      </c>
      <c r="W325" s="3" t="n">
        <v>1</v>
      </c>
      <c r="X325" s="3" t="n">
        <v>0</v>
      </c>
      <c r="Y325" s="3" t="n">
        <v>0</v>
      </c>
      <c r="Z325" s="3" t="n">
        <v>1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1</v>
      </c>
      <c r="AH325" s="3" t="n">
        <v>0</v>
      </c>
      <c r="AI325" s="3" t="n">
        <v>0</v>
      </c>
      <c r="AJ325" s="4" t="n">
        <f aca="false">SUM(G325:AI325)</f>
        <v>9</v>
      </c>
      <c r="AK325" s="4" t="n">
        <f aca="false">ROUND(SUMPRODUCT(G325:AI325,Gene_Weights!$B$2:$AD$2),3)</f>
        <v>-6.86</v>
      </c>
      <c r="AL325" s="2" t="n">
        <v>5</v>
      </c>
      <c r="AM325" s="2" t="n">
        <v>2</v>
      </c>
      <c r="AN325" s="2" t="n">
        <v>40</v>
      </c>
      <c r="AO325" s="5" t="n">
        <v>75.59</v>
      </c>
      <c r="AP325" s="5" t="n">
        <v>78.01</v>
      </c>
      <c r="AQ325" s="5" t="n">
        <v>80.42</v>
      </c>
      <c r="AR325" s="5" t="n">
        <v>82.83</v>
      </c>
      <c r="AS325" s="5" t="n">
        <v>85.24</v>
      </c>
      <c r="AT325" s="5" t="n">
        <v>87.66</v>
      </c>
      <c r="AU325" s="5" t="n">
        <v>90.07</v>
      </c>
      <c r="AV325" s="5" t="s">
        <v>51</v>
      </c>
    </row>
    <row r="326" customFormat="false" ht="15" hidden="false" customHeight="false" outlineLevel="0" collapsed="false">
      <c r="A326" s="2" t="s">
        <v>110</v>
      </c>
      <c r="B326" s="2" t="n">
        <v>2014</v>
      </c>
      <c r="C326" s="2" t="s">
        <v>49</v>
      </c>
      <c r="D326" s="2" t="n">
        <v>1</v>
      </c>
      <c r="E326" s="2" t="n">
        <v>4</v>
      </c>
      <c r="F326" s="2" t="s">
        <v>50</v>
      </c>
      <c r="G326" s="3" t="n">
        <v>1</v>
      </c>
      <c r="H326" s="3" t="n">
        <v>1</v>
      </c>
      <c r="I326" s="3" t="n">
        <v>0</v>
      </c>
      <c r="J326" s="3" t="n">
        <v>0</v>
      </c>
      <c r="K326" s="3" t="n">
        <v>1</v>
      </c>
      <c r="L326" s="3" t="n">
        <v>1</v>
      </c>
      <c r="M326" s="3" t="n">
        <v>0</v>
      </c>
      <c r="N326" s="3" t="n">
        <v>0</v>
      </c>
      <c r="O326" s="3" t="n">
        <v>0</v>
      </c>
      <c r="P326" s="3" t="n">
        <v>1</v>
      </c>
      <c r="Q326" s="3" t="n">
        <v>0</v>
      </c>
      <c r="R326" s="3" t="n">
        <v>0</v>
      </c>
      <c r="S326" s="3" t="n">
        <v>1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1</v>
      </c>
      <c r="AI326" s="3" t="n">
        <v>0</v>
      </c>
      <c r="AJ326" s="4" t="n">
        <f aca="false">SUM(G326:AI326)</f>
        <v>7</v>
      </c>
      <c r="AK326" s="4" t="n">
        <f aca="false">ROUND(SUMPRODUCT(G326:AI326,Gene_Weights!$B$2:$AD$2),3)</f>
        <v>-4.28</v>
      </c>
      <c r="AL326" s="2" t="n">
        <v>8</v>
      </c>
      <c r="AM326" s="2" t="n">
        <v>3</v>
      </c>
      <c r="AN326" s="2" t="n">
        <v>37.5</v>
      </c>
      <c r="AO326" s="5" t="n">
        <v>55.12</v>
      </c>
      <c r="AP326" s="5" t="n">
        <v>56.02</v>
      </c>
      <c r="AQ326" s="5" t="n">
        <v>56.92</v>
      </c>
      <c r="AR326" s="5" t="n">
        <v>57.82</v>
      </c>
      <c r="AS326" s="5" t="n">
        <v>58.72</v>
      </c>
      <c r="AT326" s="5" t="n">
        <v>59.62</v>
      </c>
      <c r="AU326" s="5" t="n">
        <v>60.52</v>
      </c>
      <c r="AV326" s="5" t="s">
        <v>51</v>
      </c>
    </row>
    <row r="327" customFormat="false" ht="15" hidden="false" customHeight="false" outlineLevel="0" collapsed="false">
      <c r="A327" s="2" t="s">
        <v>110</v>
      </c>
      <c r="B327" s="2" t="n">
        <v>2014</v>
      </c>
      <c r="C327" s="2" t="s">
        <v>52</v>
      </c>
      <c r="D327" s="2" t="n">
        <v>1</v>
      </c>
      <c r="E327" s="2" t="n">
        <v>4</v>
      </c>
      <c r="F327" s="2" t="s">
        <v>50</v>
      </c>
      <c r="G327" s="3" t="n">
        <v>1</v>
      </c>
      <c r="H327" s="3" t="n">
        <v>1</v>
      </c>
      <c r="I327" s="3" t="n">
        <v>0</v>
      </c>
      <c r="J327" s="3" t="n">
        <v>0</v>
      </c>
      <c r="K327" s="3" t="n">
        <v>1</v>
      </c>
      <c r="L327" s="3" t="n">
        <v>1</v>
      </c>
      <c r="M327" s="3" t="n">
        <v>0</v>
      </c>
      <c r="N327" s="3" t="n">
        <v>0</v>
      </c>
      <c r="O327" s="3" t="n">
        <v>0</v>
      </c>
      <c r="P327" s="3" t="n">
        <v>1</v>
      </c>
      <c r="Q327" s="3" t="n">
        <v>0</v>
      </c>
      <c r="R327" s="3" t="n">
        <v>0</v>
      </c>
      <c r="S327" s="3" t="n">
        <v>1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1</v>
      </c>
      <c r="AI327" s="3" t="n">
        <v>0</v>
      </c>
      <c r="AJ327" s="4" t="n">
        <f aca="false">SUM(G327:AI327)</f>
        <v>7</v>
      </c>
      <c r="AK327" s="4" t="n">
        <f aca="false">ROUND(SUMPRODUCT(G327:AI327,Gene_Weights!$B$2:$AD$2),3)</f>
        <v>-4.28</v>
      </c>
      <c r="AL327" s="2" t="n">
        <v>8</v>
      </c>
      <c r="AM327" s="2" t="n">
        <v>4</v>
      </c>
      <c r="AN327" s="2" t="n">
        <v>50</v>
      </c>
      <c r="AO327" s="5" t="n">
        <v>64.53</v>
      </c>
      <c r="AP327" s="5" t="n">
        <v>66.13</v>
      </c>
      <c r="AQ327" s="5" t="n">
        <v>67.73</v>
      </c>
      <c r="AR327" s="5" t="n">
        <v>69.33</v>
      </c>
      <c r="AS327" s="5" t="n">
        <v>70.93</v>
      </c>
      <c r="AT327" s="5" t="n">
        <v>72.53</v>
      </c>
      <c r="AU327" s="5" t="n">
        <v>74.13</v>
      </c>
      <c r="AV327" s="5" t="s">
        <v>51</v>
      </c>
    </row>
    <row r="328" customFormat="false" ht="15" hidden="false" customHeight="false" outlineLevel="0" collapsed="false">
      <c r="A328" s="2" t="s">
        <v>110</v>
      </c>
      <c r="B328" s="2" t="n">
        <v>2014</v>
      </c>
      <c r="C328" s="2" t="s">
        <v>53</v>
      </c>
      <c r="D328" s="2" t="n">
        <v>0</v>
      </c>
      <c r="E328" s="2" t="n">
        <v>2</v>
      </c>
      <c r="F328" s="2" t="s">
        <v>50</v>
      </c>
      <c r="G328" s="3" t="n">
        <v>1</v>
      </c>
      <c r="H328" s="3" t="n">
        <v>1</v>
      </c>
      <c r="I328" s="3" t="n">
        <v>0</v>
      </c>
      <c r="J328" s="3" t="n">
        <v>0</v>
      </c>
      <c r="K328" s="3" t="n">
        <v>1</v>
      </c>
      <c r="L328" s="3" t="n">
        <v>1</v>
      </c>
      <c r="M328" s="3" t="n">
        <v>0</v>
      </c>
      <c r="N328" s="3" t="n">
        <v>0</v>
      </c>
      <c r="O328" s="3" t="n">
        <v>0</v>
      </c>
      <c r="P328" s="3" t="n">
        <v>1</v>
      </c>
      <c r="Q328" s="3" t="n">
        <v>0</v>
      </c>
      <c r="R328" s="3" t="n">
        <v>0</v>
      </c>
      <c r="S328" s="3" t="n">
        <v>1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1</v>
      </c>
      <c r="AI328" s="3" t="n">
        <v>0</v>
      </c>
      <c r="AJ328" s="4" t="n">
        <f aca="false">SUM(G328:AI328)</f>
        <v>7</v>
      </c>
      <c r="AK328" s="4" t="n">
        <f aca="false">ROUND(SUMPRODUCT(G328:AI328,Gene_Weights!$B$2:$AD$2),3)</f>
        <v>-4.28</v>
      </c>
      <c r="AL328" s="2" t="n">
        <v>8</v>
      </c>
      <c r="AM328" s="2" t="n">
        <v>2</v>
      </c>
      <c r="AN328" s="2" t="n">
        <v>25</v>
      </c>
      <c r="AO328" s="5" t="n">
        <v>52.86</v>
      </c>
      <c r="AP328" s="5" t="n">
        <v>53.65</v>
      </c>
      <c r="AQ328" s="5" t="n">
        <v>54.45</v>
      </c>
      <c r="AR328" s="5" t="n">
        <v>55.24</v>
      </c>
      <c r="AS328" s="5" t="n">
        <v>56.03</v>
      </c>
      <c r="AT328" s="5" t="n">
        <v>56.83</v>
      </c>
      <c r="AU328" s="5" t="n">
        <v>57.62</v>
      </c>
      <c r="AV328" s="5" t="s">
        <v>51</v>
      </c>
    </row>
    <row r="329" customFormat="false" ht="15" hidden="false" customHeight="false" outlineLevel="0" collapsed="false">
      <c r="A329" s="2" t="s">
        <v>110</v>
      </c>
      <c r="B329" s="2" t="n">
        <v>2014</v>
      </c>
      <c r="C329" s="2" t="s">
        <v>54</v>
      </c>
      <c r="D329" s="2" t="n">
        <v>0</v>
      </c>
      <c r="E329" s="2" t="n">
        <v>4</v>
      </c>
      <c r="F329" s="2" t="s">
        <v>50</v>
      </c>
      <c r="G329" s="3" t="n">
        <v>1</v>
      </c>
      <c r="H329" s="3" t="n">
        <v>1</v>
      </c>
      <c r="I329" s="3" t="n">
        <v>0</v>
      </c>
      <c r="J329" s="3" t="n">
        <v>0</v>
      </c>
      <c r="K329" s="3" t="n">
        <v>1</v>
      </c>
      <c r="L329" s="3" t="n">
        <v>1</v>
      </c>
      <c r="M329" s="3" t="n">
        <v>0</v>
      </c>
      <c r="N329" s="3" t="n">
        <v>0</v>
      </c>
      <c r="O329" s="3" t="n">
        <v>0</v>
      </c>
      <c r="P329" s="3" t="n">
        <v>1</v>
      </c>
      <c r="Q329" s="3" t="n">
        <v>0</v>
      </c>
      <c r="R329" s="3" t="n">
        <v>0</v>
      </c>
      <c r="S329" s="3" t="n">
        <v>1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1</v>
      </c>
      <c r="AI329" s="3" t="n">
        <v>0</v>
      </c>
      <c r="AJ329" s="4" t="n">
        <f aca="false">SUM(G329:AI329)</f>
        <v>7</v>
      </c>
      <c r="AK329" s="4" t="n">
        <f aca="false">ROUND(SUMPRODUCT(G329:AI329,Gene_Weights!$B$2:$AD$2),3)</f>
        <v>-4.28</v>
      </c>
      <c r="AL329" s="2" t="n">
        <v>8</v>
      </c>
      <c r="AM329" s="2" t="n">
        <v>5</v>
      </c>
      <c r="AN329" s="2" t="n">
        <v>62.5</v>
      </c>
      <c r="AO329" s="5" t="n">
        <v>81.84</v>
      </c>
      <c r="AP329" s="5" t="n">
        <v>84.45</v>
      </c>
      <c r="AQ329" s="5" t="n">
        <v>87.06</v>
      </c>
      <c r="AR329" s="5" t="n">
        <v>89.67</v>
      </c>
      <c r="AS329" s="5" t="n">
        <v>92.27</v>
      </c>
      <c r="AT329" s="5" t="n">
        <v>94.88</v>
      </c>
      <c r="AU329" s="5" t="n">
        <v>97.49</v>
      </c>
      <c r="AV329" s="5" t="s">
        <v>51</v>
      </c>
    </row>
    <row r="330" customFormat="false" ht="15" hidden="false" customHeight="false" outlineLevel="0" collapsed="false">
      <c r="A330" s="2" t="s">
        <v>110</v>
      </c>
      <c r="B330" s="2" t="n">
        <v>2014</v>
      </c>
      <c r="C330" s="2" t="s">
        <v>55</v>
      </c>
      <c r="D330" s="2" t="n">
        <v>1</v>
      </c>
      <c r="E330" s="2" t="n">
        <v>16</v>
      </c>
      <c r="F330" s="2" t="s">
        <v>50</v>
      </c>
      <c r="G330" s="3" t="n">
        <v>1</v>
      </c>
      <c r="H330" s="3" t="n">
        <v>1</v>
      </c>
      <c r="I330" s="3" t="n">
        <v>0</v>
      </c>
      <c r="J330" s="3" t="n">
        <v>0</v>
      </c>
      <c r="K330" s="3" t="n">
        <v>1</v>
      </c>
      <c r="L330" s="3" t="n">
        <v>1</v>
      </c>
      <c r="M330" s="3" t="n">
        <v>0</v>
      </c>
      <c r="N330" s="3" t="n">
        <v>0</v>
      </c>
      <c r="O330" s="3" t="n">
        <v>0</v>
      </c>
      <c r="P330" s="3" t="n">
        <v>1</v>
      </c>
      <c r="Q330" s="3" t="n">
        <v>0</v>
      </c>
      <c r="R330" s="3" t="n">
        <v>0</v>
      </c>
      <c r="S330" s="3" t="n">
        <v>1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1</v>
      </c>
      <c r="AI330" s="3" t="n">
        <v>0</v>
      </c>
      <c r="AJ330" s="4" t="n">
        <f aca="false">SUM(G330:AI330)</f>
        <v>7</v>
      </c>
      <c r="AK330" s="4" t="n">
        <f aca="false">ROUND(SUMPRODUCT(G330:AI330,Gene_Weights!$B$2:$AD$2),3)</f>
        <v>-4.28</v>
      </c>
      <c r="AL330" s="2" t="n">
        <v>8</v>
      </c>
      <c r="AM330" s="2" t="n">
        <v>3</v>
      </c>
      <c r="AN330" s="2" t="n">
        <v>37.5</v>
      </c>
      <c r="AO330" s="5" t="n">
        <v>58.19</v>
      </c>
      <c r="AP330" s="5" t="n">
        <v>59.74</v>
      </c>
      <c r="AQ330" s="5" t="n">
        <v>61.3</v>
      </c>
      <c r="AR330" s="5" t="n">
        <v>62.86</v>
      </c>
      <c r="AS330" s="5" t="n">
        <v>64.42</v>
      </c>
      <c r="AT330" s="5" t="n">
        <v>65.98</v>
      </c>
      <c r="AU330" s="5" t="n">
        <v>67.53</v>
      </c>
      <c r="AV330" s="5" t="s">
        <v>51</v>
      </c>
    </row>
    <row r="331" customFormat="false" ht="15" hidden="false" customHeight="false" outlineLevel="0" collapsed="false">
      <c r="A331" s="2" t="s">
        <v>110</v>
      </c>
      <c r="B331" s="2" t="n">
        <v>2014</v>
      </c>
      <c r="C331" s="2" t="s">
        <v>56</v>
      </c>
      <c r="D331" s="2" t="n">
        <v>1</v>
      </c>
      <c r="E331" s="2" t="n">
        <v>32</v>
      </c>
      <c r="F331" s="2" t="s">
        <v>50</v>
      </c>
      <c r="G331" s="3" t="n">
        <v>1</v>
      </c>
      <c r="H331" s="3" t="n">
        <v>1</v>
      </c>
      <c r="I331" s="3" t="n">
        <v>0</v>
      </c>
      <c r="J331" s="3" t="n">
        <v>0</v>
      </c>
      <c r="K331" s="3" t="n">
        <v>1</v>
      </c>
      <c r="L331" s="3" t="n">
        <v>1</v>
      </c>
      <c r="M331" s="3" t="n">
        <v>0</v>
      </c>
      <c r="N331" s="3" t="n">
        <v>0</v>
      </c>
      <c r="O331" s="3" t="n">
        <v>0</v>
      </c>
      <c r="P331" s="3" t="n">
        <v>1</v>
      </c>
      <c r="Q331" s="3" t="n">
        <v>0</v>
      </c>
      <c r="R331" s="3" t="n">
        <v>0</v>
      </c>
      <c r="S331" s="3" t="n">
        <v>1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1</v>
      </c>
      <c r="AI331" s="3" t="n">
        <v>0</v>
      </c>
      <c r="AJ331" s="4" t="n">
        <f aca="false">SUM(G331:AI331)</f>
        <v>7</v>
      </c>
      <c r="AK331" s="4" t="n">
        <f aca="false">ROUND(SUMPRODUCT(G331:AI331,Gene_Weights!$B$2:$AD$2),3)</f>
        <v>-4.28</v>
      </c>
      <c r="AL331" s="2" t="n">
        <v>8</v>
      </c>
      <c r="AM331" s="2" t="n">
        <v>3</v>
      </c>
      <c r="AN331" s="2" t="n">
        <v>37.5</v>
      </c>
      <c r="AO331" s="5" t="n">
        <v>75.59</v>
      </c>
      <c r="AP331" s="5" t="n">
        <v>78.01</v>
      </c>
      <c r="AQ331" s="5" t="n">
        <v>80.42</v>
      </c>
      <c r="AR331" s="5" t="n">
        <v>82.83</v>
      </c>
      <c r="AS331" s="5" t="n">
        <v>85.24</v>
      </c>
      <c r="AT331" s="5" t="n">
        <v>87.66</v>
      </c>
      <c r="AU331" s="5" t="n">
        <v>90.07</v>
      </c>
      <c r="AV331" s="5" t="s">
        <v>51</v>
      </c>
    </row>
    <row r="332" customFormat="false" ht="15" hidden="false" customHeight="false" outlineLevel="0" collapsed="false">
      <c r="A332" s="2" t="s">
        <v>111</v>
      </c>
      <c r="B332" s="2" t="n">
        <v>2020</v>
      </c>
      <c r="C332" s="2" t="s">
        <v>49</v>
      </c>
      <c r="D332" s="2" t="n">
        <v>0</v>
      </c>
      <c r="E332" s="2" t="n">
        <v>2</v>
      </c>
      <c r="F332" s="2" t="s">
        <v>50</v>
      </c>
      <c r="G332" s="3" t="n">
        <v>0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0</v>
      </c>
      <c r="M332" s="3" t="n">
        <v>1</v>
      </c>
      <c r="N332" s="3" t="n">
        <v>1</v>
      </c>
      <c r="O332" s="3" t="n">
        <v>0</v>
      </c>
      <c r="P332" s="3" t="n">
        <v>0</v>
      </c>
      <c r="Q332" s="3" t="n">
        <v>1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1</v>
      </c>
      <c r="Z332" s="3" t="n">
        <v>1</v>
      </c>
      <c r="AA332" s="3" t="n">
        <v>1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4" t="n">
        <f aca="false">SUM(G332:AI332)</f>
        <v>10</v>
      </c>
      <c r="AK332" s="4" t="n">
        <f aca="false">ROUND(SUMPRODUCT(G332:AI332,Gene_Weights!$B$2:$AD$2),3)</f>
        <v>-8.05</v>
      </c>
      <c r="AL332" s="2" t="n">
        <v>5</v>
      </c>
      <c r="AM332" s="2" t="n">
        <v>2</v>
      </c>
      <c r="AN332" s="2" t="n">
        <v>40</v>
      </c>
      <c r="AO332" s="5" t="n">
        <v>55.12</v>
      </c>
      <c r="AP332" s="5" t="n">
        <v>56.02</v>
      </c>
      <c r="AQ332" s="5" t="n">
        <v>56.92</v>
      </c>
      <c r="AR332" s="5" t="n">
        <v>57.82</v>
      </c>
      <c r="AS332" s="5" t="n">
        <v>58.72</v>
      </c>
      <c r="AT332" s="5" t="n">
        <v>59.62</v>
      </c>
      <c r="AU332" s="5" t="n">
        <v>60.52</v>
      </c>
      <c r="AV332" s="5" t="s">
        <v>51</v>
      </c>
    </row>
    <row r="333" customFormat="false" ht="15" hidden="false" customHeight="false" outlineLevel="0" collapsed="false">
      <c r="A333" s="2" t="s">
        <v>111</v>
      </c>
      <c r="B333" s="2" t="n">
        <v>2020</v>
      </c>
      <c r="C333" s="2" t="s">
        <v>52</v>
      </c>
      <c r="D333" s="2" t="n">
        <v>1</v>
      </c>
      <c r="E333" s="2" t="n">
        <v>2</v>
      </c>
      <c r="F333" s="2" t="s">
        <v>50</v>
      </c>
      <c r="G333" s="3" t="n">
        <v>0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0</v>
      </c>
      <c r="M333" s="3" t="n">
        <v>1</v>
      </c>
      <c r="N333" s="3" t="n">
        <v>1</v>
      </c>
      <c r="O333" s="3" t="n">
        <v>0</v>
      </c>
      <c r="P333" s="3" t="n">
        <v>0</v>
      </c>
      <c r="Q333" s="3" t="n">
        <v>1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1</v>
      </c>
      <c r="Z333" s="3" t="n">
        <v>1</v>
      </c>
      <c r="AA333" s="3" t="n">
        <v>1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4" t="n">
        <f aca="false">SUM(G333:AI333)</f>
        <v>10</v>
      </c>
      <c r="AK333" s="4" t="n">
        <f aca="false">ROUND(SUMPRODUCT(G333:AI333,Gene_Weights!$B$2:$AD$2),3)</f>
        <v>-8.05</v>
      </c>
      <c r="AL333" s="2" t="n">
        <v>5</v>
      </c>
      <c r="AM333" s="2" t="n">
        <v>4</v>
      </c>
      <c r="AN333" s="2" t="n">
        <v>80</v>
      </c>
      <c r="AO333" s="5" t="n">
        <v>64.53</v>
      </c>
      <c r="AP333" s="5" t="n">
        <v>66.13</v>
      </c>
      <c r="AQ333" s="5" t="n">
        <v>67.73</v>
      </c>
      <c r="AR333" s="5" t="n">
        <v>69.33</v>
      </c>
      <c r="AS333" s="5" t="n">
        <v>70.93</v>
      </c>
      <c r="AT333" s="5" t="n">
        <v>72.53</v>
      </c>
      <c r="AU333" s="5" t="n">
        <v>74.13</v>
      </c>
      <c r="AV333" s="5" t="s">
        <v>51</v>
      </c>
    </row>
    <row r="334" customFormat="false" ht="15" hidden="false" customHeight="false" outlineLevel="0" collapsed="false">
      <c r="A334" s="2" t="s">
        <v>111</v>
      </c>
      <c r="B334" s="2" t="n">
        <v>2020</v>
      </c>
      <c r="C334" s="2" t="s">
        <v>53</v>
      </c>
      <c r="D334" s="2" t="n">
        <v>0</v>
      </c>
      <c r="E334" s="2" t="n">
        <v>2</v>
      </c>
      <c r="F334" s="2" t="s">
        <v>50</v>
      </c>
      <c r="G334" s="3" t="n">
        <v>0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0</v>
      </c>
      <c r="M334" s="3" t="n">
        <v>1</v>
      </c>
      <c r="N334" s="3" t="n">
        <v>1</v>
      </c>
      <c r="O334" s="3" t="n">
        <v>0</v>
      </c>
      <c r="P334" s="3" t="n">
        <v>0</v>
      </c>
      <c r="Q334" s="3" t="n">
        <v>1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1</v>
      </c>
      <c r="Z334" s="3" t="n">
        <v>1</v>
      </c>
      <c r="AA334" s="3" t="n">
        <v>1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4" t="n">
        <f aca="false">SUM(G334:AI334)</f>
        <v>10</v>
      </c>
      <c r="AK334" s="4" t="n">
        <f aca="false">ROUND(SUMPRODUCT(G334:AI334,Gene_Weights!$B$2:$AD$2),3)</f>
        <v>-8.05</v>
      </c>
      <c r="AL334" s="2" t="n">
        <v>5</v>
      </c>
      <c r="AM334" s="2" t="n">
        <v>0</v>
      </c>
      <c r="AN334" s="2" t="n">
        <v>0</v>
      </c>
      <c r="AO334" s="5" t="n">
        <v>52.86</v>
      </c>
      <c r="AP334" s="5" t="n">
        <v>53.65</v>
      </c>
      <c r="AQ334" s="5" t="n">
        <v>54.45</v>
      </c>
      <c r="AR334" s="5" t="n">
        <v>55.24</v>
      </c>
      <c r="AS334" s="5" t="n">
        <v>56.03</v>
      </c>
      <c r="AT334" s="5" t="n">
        <v>56.83</v>
      </c>
      <c r="AU334" s="5" t="n">
        <v>57.62</v>
      </c>
      <c r="AV334" s="5" t="s">
        <v>51</v>
      </c>
    </row>
    <row r="335" customFormat="false" ht="15" hidden="false" customHeight="false" outlineLevel="0" collapsed="false">
      <c r="A335" s="2" t="s">
        <v>111</v>
      </c>
      <c r="B335" s="2" t="n">
        <v>2020</v>
      </c>
      <c r="C335" s="2" t="s">
        <v>54</v>
      </c>
      <c r="D335" s="2" t="n">
        <v>1</v>
      </c>
      <c r="E335" s="2" t="n">
        <v>2</v>
      </c>
      <c r="F335" s="2" t="s">
        <v>50</v>
      </c>
      <c r="G335" s="3" t="n">
        <v>0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0</v>
      </c>
      <c r="M335" s="3" t="n">
        <v>1</v>
      </c>
      <c r="N335" s="3" t="n">
        <v>1</v>
      </c>
      <c r="O335" s="3" t="n">
        <v>0</v>
      </c>
      <c r="P335" s="3" t="n">
        <v>0</v>
      </c>
      <c r="Q335" s="3" t="n">
        <v>1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1</v>
      </c>
      <c r="Z335" s="3" t="n">
        <v>1</v>
      </c>
      <c r="AA335" s="3" t="n">
        <v>1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4" t="n">
        <f aca="false">SUM(G335:AI335)</f>
        <v>10</v>
      </c>
      <c r="AK335" s="4" t="n">
        <f aca="false">ROUND(SUMPRODUCT(G335:AI335,Gene_Weights!$B$2:$AD$2),3)</f>
        <v>-8.05</v>
      </c>
      <c r="AL335" s="2" t="n">
        <v>5</v>
      </c>
      <c r="AM335" s="2" t="n">
        <v>3</v>
      </c>
      <c r="AN335" s="2" t="n">
        <v>60</v>
      </c>
      <c r="AO335" s="5" t="n">
        <v>81.84</v>
      </c>
      <c r="AP335" s="5" t="n">
        <v>84.45</v>
      </c>
      <c r="AQ335" s="5" t="n">
        <v>87.06</v>
      </c>
      <c r="AR335" s="5" t="n">
        <v>89.67</v>
      </c>
      <c r="AS335" s="5" t="n">
        <v>92.27</v>
      </c>
      <c r="AT335" s="5" t="n">
        <v>94.88</v>
      </c>
      <c r="AU335" s="5" t="n">
        <v>97.49</v>
      </c>
      <c r="AV335" s="5" t="s">
        <v>51</v>
      </c>
    </row>
    <row r="336" customFormat="false" ht="15" hidden="false" customHeight="false" outlineLevel="0" collapsed="false">
      <c r="A336" s="2" t="s">
        <v>111</v>
      </c>
      <c r="B336" s="2" t="n">
        <v>2020</v>
      </c>
      <c r="C336" s="2" t="s">
        <v>55</v>
      </c>
      <c r="D336" s="2" t="n">
        <v>0</v>
      </c>
      <c r="E336" s="2" t="n">
        <v>4</v>
      </c>
      <c r="F336" s="2" t="s">
        <v>50</v>
      </c>
      <c r="G336" s="3" t="n">
        <v>0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0</v>
      </c>
      <c r="M336" s="3" t="n">
        <v>1</v>
      </c>
      <c r="N336" s="3" t="n">
        <v>1</v>
      </c>
      <c r="O336" s="3" t="n">
        <v>0</v>
      </c>
      <c r="P336" s="3" t="n">
        <v>0</v>
      </c>
      <c r="Q336" s="3" t="n">
        <v>1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1</v>
      </c>
      <c r="Z336" s="3" t="n">
        <v>1</v>
      </c>
      <c r="AA336" s="3" t="n">
        <v>1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4" t="n">
        <f aca="false">SUM(G336:AI336)</f>
        <v>10</v>
      </c>
      <c r="AK336" s="4" t="n">
        <f aca="false">ROUND(SUMPRODUCT(G336:AI336,Gene_Weights!$B$2:$AD$2),3)</f>
        <v>-8.05</v>
      </c>
      <c r="AL336" s="2" t="n">
        <v>5</v>
      </c>
      <c r="AM336" s="2" t="n">
        <v>1</v>
      </c>
      <c r="AN336" s="2" t="n">
        <v>20</v>
      </c>
      <c r="AO336" s="5" t="n">
        <v>58.19</v>
      </c>
      <c r="AP336" s="5" t="n">
        <v>59.74</v>
      </c>
      <c r="AQ336" s="5" t="n">
        <v>61.3</v>
      </c>
      <c r="AR336" s="5" t="n">
        <v>62.86</v>
      </c>
      <c r="AS336" s="5" t="n">
        <v>64.42</v>
      </c>
      <c r="AT336" s="5" t="n">
        <v>65.98</v>
      </c>
      <c r="AU336" s="5" t="n">
        <v>67.53</v>
      </c>
      <c r="AV336" s="5" t="s">
        <v>51</v>
      </c>
    </row>
    <row r="337" customFormat="false" ht="15" hidden="false" customHeight="false" outlineLevel="0" collapsed="false">
      <c r="A337" s="2" t="s">
        <v>111</v>
      </c>
      <c r="B337" s="2" t="n">
        <v>2020</v>
      </c>
      <c r="C337" s="2" t="s">
        <v>56</v>
      </c>
      <c r="D337" s="2" t="n">
        <v>1</v>
      </c>
      <c r="E337" s="2" t="n">
        <v>2</v>
      </c>
      <c r="F337" s="2" t="s">
        <v>50</v>
      </c>
      <c r="G337" s="3" t="n">
        <v>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0</v>
      </c>
      <c r="M337" s="3" t="n">
        <v>1</v>
      </c>
      <c r="N337" s="3" t="n">
        <v>1</v>
      </c>
      <c r="O337" s="3" t="n">
        <v>0</v>
      </c>
      <c r="P337" s="3" t="n">
        <v>0</v>
      </c>
      <c r="Q337" s="3" t="n">
        <v>1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1</v>
      </c>
      <c r="Z337" s="3" t="n">
        <v>1</v>
      </c>
      <c r="AA337" s="3" t="n">
        <v>1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4" t="n">
        <f aca="false">SUM(G337:AI337)</f>
        <v>10</v>
      </c>
      <c r="AK337" s="4" t="n">
        <f aca="false">ROUND(SUMPRODUCT(G337:AI337,Gene_Weights!$B$2:$AD$2),3)</f>
        <v>-8.05</v>
      </c>
      <c r="AL337" s="2" t="n">
        <v>5</v>
      </c>
      <c r="AM337" s="2" t="n">
        <v>4</v>
      </c>
      <c r="AN337" s="2" t="n">
        <v>80</v>
      </c>
      <c r="AO337" s="5" t="n">
        <v>75.59</v>
      </c>
      <c r="AP337" s="5" t="n">
        <v>78.01</v>
      </c>
      <c r="AQ337" s="5" t="n">
        <v>80.42</v>
      </c>
      <c r="AR337" s="5" t="n">
        <v>82.83</v>
      </c>
      <c r="AS337" s="5" t="n">
        <v>85.24</v>
      </c>
      <c r="AT337" s="5" t="n">
        <v>87.66</v>
      </c>
      <c r="AU337" s="5" t="n">
        <v>90.07</v>
      </c>
      <c r="AV337" s="5" t="s">
        <v>51</v>
      </c>
    </row>
    <row r="338" customFormat="false" ht="15" hidden="false" customHeight="false" outlineLevel="0" collapsed="false">
      <c r="A338" s="2" t="s">
        <v>112</v>
      </c>
      <c r="B338" s="2" t="n">
        <v>2011</v>
      </c>
      <c r="C338" s="2" t="s">
        <v>49</v>
      </c>
      <c r="D338" s="2" t="n">
        <v>1</v>
      </c>
      <c r="E338" s="2" t="n">
        <v>2</v>
      </c>
      <c r="F338" s="2" t="s">
        <v>50</v>
      </c>
      <c r="G338" s="3" t="n">
        <v>1</v>
      </c>
      <c r="H338" s="3" t="n">
        <v>0</v>
      </c>
      <c r="I338" s="3" t="n">
        <v>1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1</v>
      </c>
      <c r="P338" s="3" t="n">
        <v>1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1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4" t="n">
        <f aca="false">SUM(G338:AI338)</f>
        <v>5</v>
      </c>
      <c r="AK338" s="4" t="n">
        <f aca="false">ROUND(SUMPRODUCT(G338:AI338,Gene_Weights!$B$2:$AD$2),3)</f>
        <v>-1.68</v>
      </c>
      <c r="AL338" s="2" t="n">
        <v>11</v>
      </c>
      <c r="AM338" s="2" t="n">
        <v>5</v>
      </c>
      <c r="AN338" s="2" t="n">
        <v>45.45</v>
      </c>
      <c r="AO338" s="5" t="n">
        <v>55.12</v>
      </c>
      <c r="AP338" s="5" t="n">
        <v>56.02</v>
      </c>
      <c r="AQ338" s="5" t="n">
        <v>56.92</v>
      </c>
      <c r="AR338" s="5" t="n">
        <v>57.82</v>
      </c>
      <c r="AS338" s="5" t="n">
        <v>58.72</v>
      </c>
      <c r="AT338" s="5" t="n">
        <v>59.62</v>
      </c>
      <c r="AU338" s="5" t="n">
        <v>60.52</v>
      </c>
      <c r="AV338" s="5" t="s">
        <v>51</v>
      </c>
    </row>
    <row r="339" customFormat="false" ht="15" hidden="false" customHeight="false" outlineLevel="0" collapsed="false">
      <c r="A339" s="2" t="s">
        <v>112</v>
      </c>
      <c r="B339" s="2" t="n">
        <v>2011</v>
      </c>
      <c r="C339" s="2" t="s">
        <v>52</v>
      </c>
      <c r="D339" s="2" t="n">
        <v>0</v>
      </c>
      <c r="E339" s="2" t="n">
        <v>2</v>
      </c>
      <c r="F339" s="2" t="s">
        <v>50</v>
      </c>
      <c r="G339" s="3" t="n">
        <v>1</v>
      </c>
      <c r="H339" s="3" t="n">
        <v>0</v>
      </c>
      <c r="I339" s="3" t="n">
        <v>1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1</v>
      </c>
      <c r="P339" s="3" t="n">
        <v>1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1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4" t="n">
        <f aca="false">SUM(G339:AI339)</f>
        <v>5</v>
      </c>
      <c r="AK339" s="4" t="n">
        <f aca="false">ROUND(SUMPRODUCT(G339:AI339,Gene_Weights!$B$2:$AD$2),3)</f>
        <v>-1.68</v>
      </c>
      <c r="AL339" s="2" t="n">
        <v>11</v>
      </c>
      <c r="AM339" s="2" t="n">
        <v>4</v>
      </c>
      <c r="AN339" s="2" t="n">
        <v>36.36</v>
      </c>
      <c r="AO339" s="5" t="n">
        <v>64.53</v>
      </c>
      <c r="AP339" s="5" t="n">
        <v>66.13</v>
      </c>
      <c r="AQ339" s="5" t="n">
        <v>67.73</v>
      </c>
      <c r="AR339" s="5" t="n">
        <v>69.33</v>
      </c>
      <c r="AS339" s="5" t="n">
        <v>70.93</v>
      </c>
      <c r="AT339" s="5" t="n">
        <v>72.53</v>
      </c>
      <c r="AU339" s="5" t="n">
        <v>74.13</v>
      </c>
      <c r="AV339" s="5" t="s">
        <v>51</v>
      </c>
    </row>
    <row r="340" customFormat="false" ht="15" hidden="false" customHeight="false" outlineLevel="0" collapsed="false">
      <c r="A340" s="2" t="s">
        <v>112</v>
      </c>
      <c r="B340" s="2" t="n">
        <v>2011</v>
      </c>
      <c r="C340" s="2" t="s">
        <v>53</v>
      </c>
      <c r="D340" s="2" t="n">
        <v>1</v>
      </c>
      <c r="E340" s="2" t="n">
        <v>2</v>
      </c>
      <c r="F340" s="2" t="s">
        <v>50</v>
      </c>
      <c r="G340" s="3" t="n">
        <v>1</v>
      </c>
      <c r="H340" s="3" t="n">
        <v>0</v>
      </c>
      <c r="I340" s="3" t="n">
        <v>1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1</v>
      </c>
      <c r="P340" s="3" t="n">
        <v>1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1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4" t="n">
        <f aca="false">SUM(G340:AI340)</f>
        <v>5</v>
      </c>
      <c r="AK340" s="4" t="n">
        <f aca="false">ROUND(SUMPRODUCT(G340:AI340,Gene_Weights!$B$2:$AD$2),3)</f>
        <v>-1.68</v>
      </c>
      <c r="AL340" s="2" t="n">
        <v>11</v>
      </c>
      <c r="AM340" s="2" t="n">
        <v>6</v>
      </c>
      <c r="AN340" s="2" t="n">
        <v>54.55</v>
      </c>
      <c r="AO340" s="5" t="n">
        <v>52.86</v>
      </c>
      <c r="AP340" s="5" t="n">
        <v>53.65</v>
      </c>
      <c r="AQ340" s="5" t="n">
        <v>54.45</v>
      </c>
      <c r="AR340" s="5" t="n">
        <v>55.24</v>
      </c>
      <c r="AS340" s="5" t="n">
        <v>56.03</v>
      </c>
      <c r="AT340" s="5" t="n">
        <v>56.83</v>
      </c>
      <c r="AU340" s="5" t="n">
        <v>57.62</v>
      </c>
      <c r="AV340" s="5" t="s">
        <v>51</v>
      </c>
    </row>
    <row r="341" customFormat="false" ht="15" hidden="false" customHeight="false" outlineLevel="0" collapsed="false">
      <c r="A341" s="2" t="s">
        <v>112</v>
      </c>
      <c r="B341" s="2" t="n">
        <v>2011</v>
      </c>
      <c r="C341" s="2" t="s">
        <v>54</v>
      </c>
      <c r="D341" s="2" t="n">
        <v>0</v>
      </c>
      <c r="E341" s="2" t="n">
        <v>32</v>
      </c>
      <c r="F341" s="2" t="s">
        <v>50</v>
      </c>
      <c r="G341" s="3" t="n">
        <v>1</v>
      </c>
      <c r="H341" s="3" t="n">
        <v>0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1</v>
      </c>
      <c r="P341" s="3" t="n">
        <v>1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1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4" t="n">
        <f aca="false">SUM(G341:AI341)</f>
        <v>5</v>
      </c>
      <c r="AK341" s="4" t="n">
        <f aca="false">ROUND(SUMPRODUCT(G341:AI341,Gene_Weights!$B$2:$AD$2),3)</f>
        <v>-1.68</v>
      </c>
      <c r="AL341" s="2" t="n">
        <v>11</v>
      </c>
      <c r="AM341" s="2" t="n">
        <v>4</v>
      </c>
      <c r="AN341" s="2" t="n">
        <v>36.36</v>
      </c>
      <c r="AO341" s="5" t="n">
        <v>81.84</v>
      </c>
      <c r="AP341" s="5" t="n">
        <v>84.45</v>
      </c>
      <c r="AQ341" s="5" t="n">
        <v>87.06</v>
      </c>
      <c r="AR341" s="5" t="n">
        <v>89.67</v>
      </c>
      <c r="AS341" s="5" t="n">
        <v>92.27</v>
      </c>
      <c r="AT341" s="5" t="n">
        <v>94.88</v>
      </c>
      <c r="AU341" s="5" t="n">
        <v>97.49</v>
      </c>
      <c r="AV341" s="5" t="s">
        <v>51</v>
      </c>
    </row>
    <row r="342" customFormat="false" ht="15" hidden="false" customHeight="false" outlineLevel="0" collapsed="false">
      <c r="A342" s="2" t="s">
        <v>112</v>
      </c>
      <c r="B342" s="2" t="n">
        <v>2011</v>
      </c>
      <c r="C342" s="2" t="s">
        <v>55</v>
      </c>
      <c r="D342" s="2" t="n">
        <v>1</v>
      </c>
      <c r="E342" s="2" t="n">
        <v>16</v>
      </c>
      <c r="F342" s="2" t="s">
        <v>50</v>
      </c>
      <c r="G342" s="3" t="n">
        <v>1</v>
      </c>
      <c r="H342" s="3" t="n">
        <v>0</v>
      </c>
      <c r="I342" s="3" t="n">
        <v>1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1</v>
      </c>
      <c r="P342" s="3" t="n">
        <v>1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1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4" t="n">
        <f aca="false">SUM(G342:AI342)</f>
        <v>5</v>
      </c>
      <c r="AK342" s="4" t="n">
        <f aca="false">ROUND(SUMPRODUCT(G342:AI342,Gene_Weights!$B$2:$AD$2),3)</f>
        <v>-1.68</v>
      </c>
      <c r="AL342" s="2" t="n">
        <v>11</v>
      </c>
      <c r="AM342" s="2" t="n">
        <v>7</v>
      </c>
      <c r="AN342" s="2" t="n">
        <v>63.64</v>
      </c>
      <c r="AO342" s="5" t="n">
        <v>58.19</v>
      </c>
      <c r="AP342" s="5" t="n">
        <v>59.74</v>
      </c>
      <c r="AQ342" s="5" t="n">
        <v>61.3</v>
      </c>
      <c r="AR342" s="5" t="n">
        <v>62.86</v>
      </c>
      <c r="AS342" s="5" t="n">
        <v>64.42</v>
      </c>
      <c r="AT342" s="5" t="n">
        <v>65.98</v>
      </c>
      <c r="AU342" s="5" t="n">
        <v>67.53</v>
      </c>
      <c r="AV342" s="5" t="s">
        <v>51</v>
      </c>
    </row>
    <row r="343" customFormat="false" ht="15" hidden="false" customHeight="false" outlineLevel="0" collapsed="false">
      <c r="A343" s="2" t="s">
        <v>112</v>
      </c>
      <c r="B343" s="2" t="n">
        <v>2011</v>
      </c>
      <c r="C343" s="2" t="s">
        <v>56</v>
      </c>
      <c r="D343" s="2" t="n">
        <v>1</v>
      </c>
      <c r="E343" s="2" t="n">
        <v>4</v>
      </c>
      <c r="F343" s="2" t="s">
        <v>50</v>
      </c>
      <c r="G343" s="3" t="n">
        <v>1</v>
      </c>
      <c r="H343" s="3" t="n">
        <v>0</v>
      </c>
      <c r="I343" s="3" t="n">
        <v>1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1</v>
      </c>
      <c r="P343" s="3" t="n">
        <v>1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1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4" t="n">
        <f aca="false">SUM(G343:AI343)</f>
        <v>5</v>
      </c>
      <c r="AK343" s="4" t="n">
        <f aca="false">ROUND(SUMPRODUCT(G343:AI343,Gene_Weights!$B$2:$AD$2),3)</f>
        <v>-1.68</v>
      </c>
      <c r="AL343" s="2" t="n">
        <v>11</v>
      </c>
      <c r="AM343" s="2" t="n">
        <v>7</v>
      </c>
      <c r="AN343" s="2" t="n">
        <v>63.64</v>
      </c>
      <c r="AO343" s="5" t="n">
        <v>75.59</v>
      </c>
      <c r="AP343" s="5" t="n">
        <v>78.01</v>
      </c>
      <c r="AQ343" s="5" t="n">
        <v>80.42</v>
      </c>
      <c r="AR343" s="5" t="n">
        <v>82.83</v>
      </c>
      <c r="AS343" s="5" t="n">
        <v>85.24</v>
      </c>
      <c r="AT343" s="5" t="n">
        <v>87.66</v>
      </c>
      <c r="AU343" s="5" t="n">
        <v>90.07</v>
      </c>
      <c r="AV343" s="5" t="s">
        <v>51</v>
      </c>
    </row>
    <row r="344" customFormat="false" ht="15" hidden="false" customHeight="false" outlineLevel="0" collapsed="false">
      <c r="A344" s="2" t="s">
        <v>113</v>
      </c>
      <c r="B344" s="2" t="n">
        <v>2023</v>
      </c>
      <c r="C344" s="2" t="s">
        <v>49</v>
      </c>
      <c r="D344" s="2" t="n">
        <v>1</v>
      </c>
      <c r="E344" s="2" t="n">
        <v>4</v>
      </c>
      <c r="F344" s="2" t="s">
        <v>50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1</v>
      </c>
      <c r="AB344" s="3" t="n">
        <v>1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4" t="n">
        <f aca="false">SUM(G344:AI344)</f>
        <v>2</v>
      </c>
      <c r="AK344" s="4" t="n">
        <f aca="false">ROUND(SUMPRODUCT(G344:AI344,Gene_Weights!$B$2:$AD$2),3)</f>
        <v>-0.57</v>
      </c>
      <c r="AL344" s="2" t="n">
        <v>9</v>
      </c>
      <c r="AM344" s="2" t="n">
        <v>5</v>
      </c>
      <c r="AN344" s="2" t="n">
        <v>55.56</v>
      </c>
      <c r="AO344" s="5" t="n">
        <v>55.12</v>
      </c>
      <c r="AP344" s="5" t="n">
        <v>56.02</v>
      </c>
      <c r="AQ344" s="5" t="n">
        <v>56.92</v>
      </c>
      <c r="AR344" s="5" t="n">
        <v>57.82</v>
      </c>
      <c r="AS344" s="5" t="n">
        <v>58.72</v>
      </c>
      <c r="AT344" s="5" t="n">
        <v>59.62</v>
      </c>
      <c r="AU344" s="5" t="n">
        <v>60.52</v>
      </c>
      <c r="AV344" s="5" t="s">
        <v>51</v>
      </c>
    </row>
    <row r="345" customFormat="false" ht="15" hidden="false" customHeight="false" outlineLevel="0" collapsed="false">
      <c r="A345" s="2" t="s">
        <v>113</v>
      </c>
      <c r="B345" s="2" t="n">
        <v>2023</v>
      </c>
      <c r="C345" s="2" t="s">
        <v>52</v>
      </c>
      <c r="D345" s="2" t="n">
        <v>0</v>
      </c>
      <c r="E345" s="2" t="n">
        <v>4</v>
      </c>
      <c r="F345" s="2" t="s">
        <v>50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</v>
      </c>
      <c r="AB345" s="3" t="n">
        <v>1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4" t="n">
        <f aca="false">SUM(G345:AI345)</f>
        <v>2</v>
      </c>
      <c r="AK345" s="4" t="n">
        <f aca="false">ROUND(SUMPRODUCT(G345:AI345,Gene_Weights!$B$2:$AD$2),3)</f>
        <v>-0.57</v>
      </c>
      <c r="AL345" s="2" t="n">
        <v>9</v>
      </c>
      <c r="AM345" s="2" t="n">
        <v>7</v>
      </c>
      <c r="AN345" s="2" t="n">
        <v>77.78</v>
      </c>
      <c r="AO345" s="5" t="n">
        <v>64.53</v>
      </c>
      <c r="AP345" s="5" t="n">
        <v>66.13</v>
      </c>
      <c r="AQ345" s="5" t="n">
        <v>67.73</v>
      </c>
      <c r="AR345" s="5" t="n">
        <v>69.33</v>
      </c>
      <c r="AS345" s="5" t="n">
        <v>70.93</v>
      </c>
      <c r="AT345" s="5" t="n">
        <v>72.53</v>
      </c>
      <c r="AU345" s="5" t="n">
        <v>74.13</v>
      </c>
      <c r="AV345" s="5" t="s">
        <v>51</v>
      </c>
    </row>
    <row r="346" customFormat="false" ht="15" hidden="false" customHeight="false" outlineLevel="0" collapsed="false">
      <c r="A346" s="2" t="s">
        <v>113</v>
      </c>
      <c r="B346" s="2" t="n">
        <v>2023</v>
      </c>
      <c r="C346" s="2" t="s">
        <v>53</v>
      </c>
      <c r="D346" s="2" t="n">
        <v>0</v>
      </c>
      <c r="E346" s="2" t="n">
        <v>4</v>
      </c>
      <c r="F346" s="2" t="s">
        <v>50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1</v>
      </c>
      <c r="AB346" s="3" t="n">
        <v>1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4" t="n">
        <f aca="false">SUM(G346:AI346)</f>
        <v>2</v>
      </c>
      <c r="AK346" s="4" t="n">
        <f aca="false">ROUND(SUMPRODUCT(G346:AI346,Gene_Weights!$B$2:$AD$2),3)</f>
        <v>-0.57</v>
      </c>
      <c r="AL346" s="2" t="n">
        <v>9</v>
      </c>
      <c r="AM346" s="2" t="n">
        <v>5</v>
      </c>
      <c r="AN346" s="2" t="n">
        <v>55.56</v>
      </c>
      <c r="AO346" s="5" t="n">
        <v>52.86</v>
      </c>
      <c r="AP346" s="5" t="n">
        <v>53.65</v>
      </c>
      <c r="AQ346" s="5" t="n">
        <v>54.45</v>
      </c>
      <c r="AR346" s="5" t="n">
        <v>55.24</v>
      </c>
      <c r="AS346" s="5" t="n">
        <v>56.03</v>
      </c>
      <c r="AT346" s="5" t="n">
        <v>56.83</v>
      </c>
      <c r="AU346" s="5" t="n">
        <v>57.62</v>
      </c>
      <c r="AV346" s="5" t="s">
        <v>51</v>
      </c>
    </row>
    <row r="347" customFormat="false" ht="15" hidden="false" customHeight="false" outlineLevel="0" collapsed="false">
      <c r="A347" s="2" t="s">
        <v>113</v>
      </c>
      <c r="B347" s="2" t="n">
        <v>2023</v>
      </c>
      <c r="C347" s="2" t="s">
        <v>54</v>
      </c>
      <c r="D347" s="2" t="n">
        <v>0</v>
      </c>
      <c r="E347" s="2" t="n">
        <v>4</v>
      </c>
      <c r="F347" s="2" t="s">
        <v>50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</v>
      </c>
      <c r="AB347" s="3" t="n">
        <v>1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4" t="n">
        <f aca="false">SUM(G347:AI347)</f>
        <v>2</v>
      </c>
      <c r="AK347" s="4" t="n">
        <f aca="false">ROUND(SUMPRODUCT(G347:AI347,Gene_Weights!$B$2:$AD$2),3)</f>
        <v>-0.57</v>
      </c>
      <c r="AL347" s="2" t="n">
        <v>9</v>
      </c>
      <c r="AM347" s="2" t="n">
        <v>7</v>
      </c>
      <c r="AN347" s="2" t="n">
        <v>77.78</v>
      </c>
      <c r="AO347" s="5" t="n">
        <v>81.84</v>
      </c>
      <c r="AP347" s="5" t="n">
        <v>84.45</v>
      </c>
      <c r="AQ347" s="5" t="n">
        <v>87.06</v>
      </c>
      <c r="AR347" s="5" t="n">
        <v>89.67</v>
      </c>
      <c r="AS347" s="5" t="n">
        <v>92.27</v>
      </c>
      <c r="AT347" s="5" t="n">
        <v>94.88</v>
      </c>
      <c r="AU347" s="5" t="n">
        <v>97.49</v>
      </c>
      <c r="AV347" s="5" t="s">
        <v>51</v>
      </c>
    </row>
    <row r="348" customFormat="false" ht="15" hidden="false" customHeight="false" outlineLevel="0" collapsed="false">
      <c r="A348" s="2" t="s">
        <v>113</v>
      </c>
      <c r="B348" s="2" t="n">
        <v>2023</v>
      </c>
      <c r="C348" s="2" t="s">
        <v>55</v>
      </c>
      <c r="D348" s="2" t="n">
        <v>0</v>
      </c>
      <c r="E348" s="2" t="n">
        <v>2</v>
      </c>
      <c r="F348" s="2" t="s">
        <v>50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1</v>
      </c>
      <c r="AB348" s="3" t="n">
        <v>1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4" t="n">
        <f aca="false">SUM(G348:AI348)</f>
        <v>2</v>
      </c>
      <c r="AK348" s="4" t="n">
        <f aca="false">ROUND(SUMPRODUCT(G348:AI348,Gene_Weights!$B$2:$AD$2),3)</f>
        <v>-0.57</v>
      </c>
      <c r="AL348" s="2" t="n">
        <v>9</v>
      </c>
      <c r="AM348" s="2" t="n">
        <v>2</v>
      </c>
      <c r="AN348" s="2" t="n">
        <v>22.22</v>
      </c>
      <c r="AO348" s="5" t="n">
        <v>58.19</v>
      </c>
      <c r="AP348" s="5" t="n">
        <v>59.74</v>
      </c>
      <c r="AQ348" s="5" t="n">
        <v>61.3</v>
      </c>
      <c r="AR348" s="5" t="n">
        <v>62.86</v>
      </c>
      <c r="AS348" s="5" t="n">
        <v>64.42</v>
      </c>
      <c r="AT348" s="5" t="n">
        <v>65.98</v>
      </c>
      <c r="AU348" s="5" t="n">
        <v>67.53</v>
      </c>
      <c r="AV348" s="5" t="s">
        <v>51</v>
      </c>
    </row>
    <row r="349" customFormat="false" ht="15" hidden="false" customHeight="false" outlineLevel="0" collapsed="false">
      <c r="A349" s="2" t="s">
        <v>113</v>
      </c>
      <c r="B349" s="2" t="n">
        <v>2023</v>
      </c>
      <c r="C349" s="2" t="s">
        <v>56</v>
      </c>
      <c r="D349" s="2" t="n">
        <v>1</v>
      </c>
      <c r="E349" s="2" t="n">
        <v>16</v>
      </c>
      <c r="F349" s="2" t="s">
        <v>50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1</v>
      </c>
      <c r="AB349" s="3" t="n">
        <v>1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4" t="n">
        <f aca="false">SUM(G349:AI349)</f>
        <v>2</v>
      </c>
      <c r="AK349" s="4" t="n">
        <f aca="false">ROUND(SUMPRODUCT(G349:AI349,Gene_Weights!$B$2:$AD$2),3)</f>
        <v>-0.57</v>
      </c>
      <c r="AL349" s="2" t="n">
        <v>9</v>
      </c>
      <c r="AM349" s="2" t="n">
        <v>5</v>
      </c>
      <c r="AN349" s="2" t="n">
        <v>55.56</v>
      </c>
      <c r="AO349" s="5" t="n">
        <v>75.59</v>
      </c>
      <c r="AP349" s="5" t="n">
        <v>78.01</v>
      </c>
      <c r="AQ349" s="5" t="n">
        <v>80.42</v>
      </c>
      <c r="AR349" s="5" t="n">
        <v>82.83</v>
      </c>
      <c r="AS349" s="5" t="n">
        <v>85.24</v>
      </c>
      <c r="AT349" s="5" t="n">
        <v>87.66</v>
      </c>
      <c r="AU349" s="5" t="n">
        <v>90.07</v>
      </c>
      <c r="AV349" s="5" t="s">
        <v>51</v>
      </c>
    </row>
    <row r="350" customFormat="false" ht="15" hidden="false" customHeight="false" outlineLevel="0" collapsed="false">
      <c r="A350" s="2" t="s">
        <v>114</v>
      </c>
      <c r="B350" s="2" t="n">
        <v>2012</v>
      </c>
      <c r="C350" s="2" t="s">
        <v>49</v>
      </c>
      <c r="D350" s="2" t="n">
        <v>1</v>
      </c>
      <c r="E350" s="2" t="n">
        <v>2</v>
      </c>
      <c r="F350" s="2" t="s">
        <v>50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1</v>
      </c>
      <c r="L350" s="3" t="n">
        <v>1</v>
      </c>
      <c r="M350" s="3" t="n">
        <v>0</v>
      </c>
      <c r="N350" s="3" t="n">
        <v>1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1</v>
      </c>
      <c r="W350" s="3" t="n">
        <v>0</v>
      </c>
      <c r="X350" s="3" t="n">
        <v>0</v>
      </c>
      <c r="Y350" s="3" t="n">
        <v>0</v>
      </c>
      <c r="Z350" s="3" t="n">
        <v>1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1</v>
      </c>
      <c r="AF350" s="3" t="n">
        <v>0</v>
      </c>
      <c r="AG350" s="3" t="n">
        <v>1</v>
      </c>
      <c r="AH350" s="3" t="n">
        <v>0</v>
      </c>
      <c r="AI350" s="3" t="n">
        <v>0</v>
      </c>
      <c r="AJ350" s="4" t="n">
        <f aca="false">SUM(G350:AI350)</f>
        <v>7</v>
      </c>
      <c r="AK350" s="4" t="n">
        <f aca="false">ROUND(SUMPRODUCT(G350:AI350,Gene_Weights!$B$2:$AD$2),3)</f>
        <v>-4.74</v>
      </c>
      <c r="AL350" s="2" t="n">
        <v>4</v>
      </c>
      <c r="AM350" s="2" t="n">
        <v>3</v>
      </c>
      <c r="AN350" s="2" t="n">
        <v>75</v>
      </c>
      <c r="AO350" s="5" t="n">
        <v>55.12</v>
      </c>
      <c r="AP350" s="5" t="n">
        <v>56.02</v>
      </c>
      <c r="AQ350" s="5" t="n">
        <v>56.92</v>
      </c>
      <c r="AR350" s="5" t="n">
        <v>57.82</v>
      </c>
      <c r="AS350" s="5" t="n">
        <v>58.72</v>
      </c>
      <c r="AT350" s="5" t="n">
        <v>59.62</v>
      </c>
      <c r="AU350" s="5" t="n">
        <v>60.52</v>
      </c>
      <c r="AV350" s="5" t="s">
        <v>51</v>
      </c>
    </row>
    <row r="351" customFormat="false" ht="15" hidden="false" customHeight="false" outlineLevel="0" collapsed="false">
      <c r="A351" s="2" t="s">
        <v>114</v>
      </c>
      <c r="B351" s="2" t="n">
        <v>2012</v>
      </c>
      <c r="C351" s="2" t="s">
        <v>52</v>
      </c>
      <c r="D351" s="2" t="n">
        <v>0</v>
      </c>
      <c r="E351" s="2" t="n">
        <v>4</v>
      </c>
      <c r="F351" s="2" t="s">
        <v>50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1</v>
      </c>
      <c r="L351" s="3" t="n">
        <v>1</v>
      </c>
      <c r="M351" s="3" t="n">
        <v>0</v>
      </c>
      <c r="N351" s="3" t="n">
        <v>1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</v>
      </c>
      <c r="W351" s="3" t="n">
        <v>0</v>
      </c>
      <c r="X351" s="3" t="n">
        <v>0</v>
      </c>
      <c r="Y351" s="3" t="n">
        <v>0</v>
      </c>
      <c r="Z351" s="3" t="n">
        <v>1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1</v>
      </c>
      <c r="AF351" s="3" t="n">
        <v>0</v>
      </c>
      <c r="AG351" s="3" t="n">
        <v>1</v>
      </c>
      <c r="AH351" s="3" t="n">
        <v>0</v>
      </c>
      <c r="AI351" s="3" t="n">
        <v>0</v>
      </c>
      <c r="AJ351" s="4" t="n">
        <f aca="false">SUM(G351:AI351)</f>
        <v>7</v>
      </c>
      <c r="AK351" s="4" t="n">
        <f aca="false">ROUND(SUMPRODUCT(G351:AI351,Gene_Weights!$B$2:$AD$2),3)</f>
        <v>-4.74</v>
      </c>
      <c r="AL351" s="2" t="n">
        <v>4</v>
      </c>
      <c r="AM351" s="2" t="n">
        <v>0</v>
      </c>
      <c r="AN351" s="2" t="n">
        <v>0</v>
      </c>
      <c r="AO351" s="5" t="n">
        <v>64.53</v>
      </c>
      <c r="AP351" s="5" t="n">
        <v>66.13</v>
      </c>
      <c r="AQ351" s="5" t="n">
        <v>67.73</v>
      </c>
      <c r="AR351" s="5" t="n">
        <v>69.33</v>
      </c>
      <c r="AS351" s="5" t="n">
        <v>70.93</v>
      </c>
      <c r="AT351" s="5" t="n">
        <v>72.53</v>
      </c>
      <c r="AU351" s="5" t="n">
        <v>74.13</v>
      </c>
      <c r="AV351" s="5" t="s">
        <v>51</v>
      </c>
    </row>
    <row r="352" customFormat="false" ht="15" hidden="false" customHeight="false" outlineLevel="0" collapsed="false">
      <c r="A352" s="2" t="s">
        <v>114</v>
      </c>
      <c r="B352" s="2" t="n">
        <v>2012</v>
      </c>
      <c r="C352" s="2" t="s">
        <v>53</v>
      </c>
      <c r="D352" s="2" t="n">
        <v>0</v>
      </c>
      <c r="E352" s="2" t="n">
        <v>16</v>
      </c>
      <c r="F352" s="2" t="s">
        <v>50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1</v>
      </c>
      <c r="L352" s="3" t="n">
        <v>1</v>
      </c>
      <c r="M352" s="3" t="n">
        <v>0</v>
      </c>
      <c r="N352" s="3" t="n">
        <v>1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1</v>
      </c>
      <c r="W352" s="3" t="n">
        <v>0</v>
      </c>
      <c r="X352" s="3" t="n">
        <v>0</v>
      </c>
      <c r="Y352" s="3" t="n">
        <v>0</v>
      </c>
      <c r="Z352" s="3" t="n">
        <v>1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1</v>
      </c>
      <c r="AF352" s="3" t="n">
        <v>0</v>
      </c>
      <c r="AG352" s="3" t="n">
        <v>1</v>
      </c>
      <c r="AH352" s="3" t="n">
        <v>0</v>
      </c>
      <c r="AI352" s="3" t="n">
        <v>0</v>
      </c>
      <c r="AJ352" s="4" t="n">
        <f aca="false">SUM(G352:AI352)</f>
        <v>7</v>
      </c>
      <c r="AK352" s="4" t="n">
        <f aca="false">ROUND(SUMPRODUCT(G352:AI352,Gene_Weights!$B$2:$AD$2),3)</f>
        <v>-4.74</v>
      </c>
      <c r="AL352" s="2" t="n">
        <v>4</v>
      </c>
      <c r="AM352" s="2" t="n">
        <v>1</v>
      </c>
      <c r="AN352" s="2" t="n">
        <v>25</v>
      </c>
      <c r="AO352" s="5" t="n">
        <v>52.86</v>
      </c>
      <c r="AP352" s="5" t="n">
        <v>53.65</v>
      </c>
      <c r="AQ352" s="5" t="n">
        <v>54.45</v>
      </c>
      <c r="AR352" s="5" t="n">
        <v>55.24</v>
      </c>
      <c r="AS352" s="5" t="n">
        <v>56.03</v>
      </c>
      <c r="AT352" s="5" t="n">
        <v>56.83</v>
      </c>
      <c r="AU352" s="5" t="n">
        <v>57.62</v>
      </c>
      <c r="AV352" s="5" t="s">
        <v>51</v>
      </c>
    </row>
    <row r="353" customFormat="false" ht="15" hidden="false" customHeight="false" outlineLevel="0" collapsed="false">
      <c r="A353" s="2" t="s">
        <v>114</v>
      </c>
      <c r="B353" s="2" t="n">
        <v>2012</v>
      </c>
      <c r="C353" s="2" t="s">
        <v>54</v>
      </c>
      <c r="D353" s="2" t="n">
        <v>1</v>
      </c>
      <c r="E353" s="2" t="n">
        <v>32</v>
      </c>
      <c r="F353" s="2" t="s">
        <v>50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1</v>
      </c>
      <c r="L353" s="3" t="n">
        <v>1</v>
      </c>
      <c r="M353" s="3" t="n">
        <v>0</v>
      </c>
      <c r="N353" s="3" t="n">
        <v>1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</v>
      </c>
      <c r="W353" s="3" t="n">
        <v>0</v>
      </c>
      <c r="X353" s="3" t="n">
        <v>0</v>
      </c>
      <c r="Y353" s="3" t="n">
        <v>0</v>
      </c>
      <c r="Z353" s="3" t="n">
        <v>1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1</v>
      </c>
      <c r="AF353" s="3" t="n">
        <v>0</v>
      </c>
      <c r="AG353" s="3" t="n">
        <v>1</v>
      </c>
      <c r="AH353" s="3" t="n">
        <v>0</v>
      </c>
      <c r="AI353" s="3" t="n">
        <v>0</v>
      </c>
      <c r="AJ353" s="4" t="n">
        <f aca="false">SUM(G353:AI353)</f>
        <v>7</v>
      </c>
      <c r="AK353" s="4" t="n">
        <f aca="false">ROUND(SUMPRODUCT(G353:AI353,Gene_Weights!$B$2:$AD$2),3)</f>
        <v>-4.74</v>
      </c>
      <c r="AL353" s="2" t="n">
        <v>4</v>
      </c>
      <c r="AM353" s="2" t="n">
        <v>3</v>
      </c>
      <c r="AN353" s="2" t="n">
        <v>75</v>
      </c>
      <c r="AO353" s="5" t="n">
        <v>81.84</v>
      </c>
      <c r="AP353" s="5" t="n">
        <v>84.45</v>
      </c>
      <c r="AQ353" s="5" t="n">
        <v>87.06</v>
      </c>
      <c r="AR353" s="5" t="n">
        <v>89.67</v>
      </c>
      <c r="AS353" s="5" t="n">
        <v>92.27</v>
      </c>
      <c r="AT353" s="5" t="n">
        <v>94.88</v>
      </c>
      <c r="AU353" s="5" t="n">
        <v>97.49</v>
      </c>
      <c r="AV353" s="5" t="s">
        <v>51</v>
      </c>
    </row>
    <row r="354" customFormat="false" ht="15" hidden="false" customHeight="false" outlineLevel="0" collapsed="false">
      <c r="A354" s="2" t="s">
        <v>114</v>
      </c>
      <c r="B354" s="2" t="n">
        <v>2012</v>
      </c>
      <c r="C354" s="2" t="s">
        <v>55</v>
      </c>
      <c r="D354" s="2" t="n">
        <v>0</v>
      </c>
      <c r="E354" s="2" t="n">
        <v>4</v>
      </c>
      <c r="F354" s="2" t="s">
        <v>50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1</v>
      </c>
      <c r="M354" s="3" t="n">
        <v>0</v>
      </c>
      <c r="N354" s="3" t="n">
        <v>1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1</v>
      </c>
      <c r="W354" s="3" t="n">
        <v>0</v>
      </c>
      <c r="X354" s="3" t="n">
        <v>0</v>
      </c>
      <c r="Y354" s="3" t="n">
        <v>0</v>
      </c>
      <c r="Z354" s="3" t="n">
        <v>1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1</v>
      </c>
      <c r="AF354" s="3" t="n">
        <v>0</v>
      </c>
      <c r="AG354" s="3" t="n">
        <v>1</v>
      </c>
      <c r="AH354" s="3" t="n">
        <v>0</v>
      </c>
      <c r="AI354" s="3" t="n">
        <v>0</v>
      </c>
      <c r="AJ354" s="4" t="n">
        <f aca="false">SUM(G354:AI354)</f>
        <v>7</v>
      </c>
      <c r="AK354" s="4" t="n">
        <f aca="false">ROUND(SUMPRODUCT(G354:AI354,Gene_Weights!$B$2:$AD$2),3)</f>
        <v>-4.74</v>
      </c>
      <c r="AL354" s="2" t="n">
        <v>4</v>
      </c>
      <c r="AM354" s="2" t="n">
        <v>1</v>
      </c>
      <c r="AN354" s="2" t="n">
        <v>25</v>
      </c>
      <c r="AO354" s="5" t="n">
        <v>58.19</v>
      </c>
      <c r="AP354" s="5" t="n">
        <v>59.74</v>
      </c>
      <c r="AQ354" s="5" t="n">
        <v>61.3</v>
      </c>
      <c r="AR354" s="5" t="n">
        <v>62.86</v>
      </c>
      <c r="AS354" s="5" t="n">
        <v>64.42</v>
      </c>
      <c r="AT354" s="5" t="n">
        <v>65.98</v>
      </c>
      <c r="AU354" s="5" t="n">
        <v>67.53</v>
      </c>
      <c r="AV354" s="5" t="s">
        <v>51</v>
      </c>
    </row>
    <row r="355" customFormat="false" ht="15" hidden="false" customHeight="false" outlineLevel="0" collapsed="false">
      <c r="A355" s="2" t="s">
        <v>114</v>
      </c>
      <c r="B355" s="2" t="n">
        <v>2012</v>
      </c>
      <c r="C355" s="2" t="s">
        <v>56</v>
      </c>
      <c r="D355" s="2" t="n">
        <v>0</v>
      </c>
      <c r="E355" s="2" t="n">
        <v>4</v>
      </c>
      <c r="F355" s="2" t="s">
        <v>50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1</v>
      </c>
      <c r="L355" s="3" t="n">
        <v>1</v>
      </c>
      <c r="M355" s="3" t="n">
        <v>0</v>
      </c>
      <c r="N355" s="3" t="n">
        <v>1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1</v>
      </c>
      <c r="W355" s="3" t="n">
        <v>0</v>
      </c>
      <c r="X355" s="3" t="n">
        <v>0</v>
      </c>
      <c r="Y355" s="3" t="n">
        <v>0</v>
      </c>
      <c r="Z355" s="3" t="n">
        <v>1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1</v>
      </c>
      <c r="AF355" s="3" t="n">
        <v>0</v>
      </c>
      <c r="AG355" s="3" t="n">
        <v>1</v>
      </c>
      <c r="AH355" s="3" t="n">
        <v>0</v>
      </c>
      <c r="AI355" s="3" t="n">
        <v>0</v>
      </c>
      <c r="AJ355" s="4" t="n">
        <f aca="false">SUM(G355:AI355)</f>
        <v>7</v>
      </c>
      <c r="AK355" s="4" t="n">
        <f aca="false">ROUND(SUMPRODUCT(G355:AI355,Gene_Weights!$B$2:$AD$2),3)</f>
        <v>-4.74</v>
      </c>
      <c r="AL355" s="2" t="n">
        <v>4</v>
      </c>
      <c r="AM355" s="2" t="n">
        <v>0</v>
      </c>
      <c r="AN355" s="2" t="n">
        <v>0</v>
      </c>
      <c r="AO355" s="5" t="n">
        <v>75.59</v>
      </c>
      <c r="AP355" s="5" t="n">
        <v>78.01</v>
      </c>
      <c r="AQ355" s="5" t="n">
        <v>80.42</v>
      </c>
      <c r="AR355" s="5" t="n">
        <v>82.83</v>
      </c>
      <c r="AS355" s="5" t="n">
        <v>85.24</v>
      </c>
      <c r="AT355" s="5" t="n">
        <v>87.66</v>
      </c>
      <c r="AU355" s="5" t="n">
        <v>90.07</v>
      </c>
      <c r="AV355" s="5" t="s">
        <v>51</v>
      </c>
    </row>
    <row r="356" customFormat="false" ht="15" hidden="false" customHeight="false" outlineLevel="0" collapsed="false">
      <c r="A356" s="2" t="s">
        <v>115</v>
      </c>
      <c r="B356" s="2" t="n">
        <v>2012</v>
      </c>
      <c r="C356" s="2" t="s">
        <v>49</v>
      </c>
      <c r="D356" s="2" t="n">
        <v>0</v>
      </c>
      <c r="E356" s="2" t="n">
        <v>16</v>
      </c>
      <c r="F356" s="2" t="s">
        <v>50</v>
      </c>
      <c r="G356" s="3" t="n">
        <v>0</v>
      </c>
      <c r="H356" s="3" t="n">
        <v>0</v>
      </c>
      <c r="I356" s="3" t="n">
        <v>0</v>
      </c>
      <c r="J356" s="3" t="n">
        <v>1</v>
      </c>
      <c r="K356" s="3" t="n">
        <v>0</v>
      </c>
      <c r="L356" s="3" t="n">
        <v>1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1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1</v>
      </c>
      <c r="X356" s="3" t="n">
        <v>0</v>
      </c>
      <c r="Y356" s="3" t="n">
        <v>0</v>
      </c>
      <c r="Z356" s="3" t="n">
        <v>1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1</v>
      </c>
      <c r="AF356" s="3" t="n">
        <v>0</v>
      </c>
      <c r="AG356" s="3" t="n">
        <v>1</v>
      </c>
      <c r="AH356" s="3" t="n">
        <v>1</v>
      </c>
      <c r="AI356" s="3" t="n">
        <v>1</v>
      </c>
      <c r="AJ356" s="4" t="n">
        <f aca="false">SUM(G356:AI356)</f>
        <v>9</v>
      </c>
      <c r="AK356" s="4" t="n">
        <f aca="false">ROUND(SUMPRODUCT(G356:AI356,Gene_Weights!$B$2:$AD$2),3)</f>
        <v>-8.7</v>
      </c>
      <c r="AL356" s="2" t="n">
        <v>4</v>
      </c>
      <c r="AM356" s="2" t="n">
        <v>3</v>
      </c>
      <c r="AN356" s="2" t="n">
        <v>75</v>
      </c>
      <c r="AO356" s="5" t="n">
        <v>55.12</v>
      </c>
      <c r="AP356" s="5" t="n">
        <v>56.02</v>
      </c>
      <c r="AQ356" s="5" t="n">
        <v>56.92</v>
      </c>
      <c r="AR356" s="5" t="n">
        <v>57.82</v>
      </c>
      <c r="AS356" s="5" t="n">
        <v>58.72</v>
      </c>
      <c r="AT356" s="5" t="n">
        <v>59.62</v>
      </c>
      <c r="AU356" s="5" t="n">
        <v>60.52</v>
      </c>
      <c r="AV356" s="5" t="s">
        <v>51</v>
      </c>
    </row>
    <row r="357" customFormat="false" ht="15" hidden="false" customHeight="false" outlineLevel="0" collapsed="false">
      <c r="A357" s="2" t="s">
        <v>115</v>
      </c>
      <c r="B357" s="2" t="n">
        <v>2012</v>
      </c>
      <c r="C357" s="2" t="s">
        <v>52</v>
      </c>
      <c r="D357" s="2" t="n">
        <v>0</v>
      </c>
      <c r="E357" s="2" t="n">
        <v>2</v>
      </c>
      <c r="F357" s="2" t="s">
        <v>50</v>
      </c>
      <c r="G357" s="3" t="n">
        <v>0</v>
      </c>
      <c r="H357" s="3" t="n">
        <v>0</v>
      </c>
      <c r="I357" s="3" t="n">
        <v>0</v>
      </c>
      <c r="J357" s="3" t="n">
        <v>1</v>
      </c>
      <c r="K357" s="3" t="n">
        <v>0</v>
      </c>
      <c r="L357" s="3" t="n">
        <v>1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1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1</v>
      </c>
      <c r="X357" s="3" t="n">
        <v>0</v>
      </c>
      <c r="Y357" s="3" t="n">
        <v>0</v>
      </c>
      <c r="Z357" s="3" t="n">
        <v>1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1</v>
      </c>
      <c r="AF357" s="3" t="n">
        <v>0</v>
      </c>
      <c r="AG357" s="3" t="n">
        <v>1</v>
      </c>
      <c r="AH357" s="3" t="n">
        <v>1</v>
      </c>
      <c r="AI357" s="3" t="n">
        <v>1</v>
      </c>
      <c r="AJ357" s="4" t="n">
        <f aca="false">SUM(G357:AI357)</f>
        <v>9</v>
      </c>
      <c r="AK357" s="4" t="n">
        <f aca="false">ROUND(SUMPRODUCT(G357:AI357,Gene_Weights!$B$2:$AD$2),3)</f>
        <v>-8.7</v>
      </c>
      <c r="AL357" s="2" t="n">
        <v>4</v>
      </c>
      <c r="AM357" s="2" t="n">
        <v>0</v>
      </c>
      <c r="AN357" s="2" t="n">
        <v>0</v>
      </c>
      <c r="AO357" s="5" t="n">
        <v>64.53</v>
      </c>
      <c r="AP357" s="5" t="n">
        <v>66.13</v>
      </c>
      <c r="AQ357" s="5" t="n">
        <v>67.73</v>
      </c>
      <c r="AR357" s="5" t="n">
        <v>69.33</v>
      </c>
      <c r="AS357" s="5" t="n">
        <v>70.93</v>
      </c>
      <c r="AT357" s="5" t="n">
        <v>72.53</v>
      </c>
      <c r="AU357" s="5" t="n">
        <v>74.13</v>
      </c>
      <c r="AV357" s="5" t="s">
        <v>51</v>
      </c>
    </row>
    <row r="358" customFormat="false" ht="15" hidden="false" customHeight="false" outlineLevel="0" collapsed="false">
      <c r="A358" s="2" t="s">
        <v>115</v>
      </c>
      <c r="B358" s="2" t="n">
        <v>2012</v>
      </c>
      <c r="C358" s="2" t="s">
        <v>53</v>
      </c>
      <c r="D358" s="2" t="n">
        <v>0</v>
      </c>
      <c r="E358" s="2" t="n">
        <v>32</v>
      </c>
      <c r="F358" s="2" t="s">
        <v>50</v>
      </c>
      <c r="G358" s="3" t="n">
        <v>0</v>
      </c>
      <c r="H358" s="3" t="n">
        <v>0</v>
      </c>
      <c r="I358" s="3" t="n">
        <v>0</v>
      </c>
      <c r="J358" s="3" t="n">
        <v>1</v>
      </c>
      <c r="K358" s="3" t="n">
        <v>0</v>
      </c>
      <c r="L358" s="3" t="n">
        <v>1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1</v>
      </c>
      <c r="X358" s="3" t="n">
        <v>0</v>
      </c>
      <c r="Y358" s="3" t="n">
        <v>0</v>
      </c>
      <c r="Z358" s="3" t="n">
        <v>1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1</v>
      </c>
      <c r="AF358" s="3" t="n">
        <v>0</v>
      </c>
      <c r="AG358" s="3" t="n">
        <v>1</v>
      </c>
      <c r="AH358" s="3" t="n">
        <v>1</v>
      </c>
      <c r="AI358" s="3" t="n">
        <v>1</v>
      </c>
      <c r="AJ358" s="4" t="n">
        <f aca="false">SUM(G358:AI358)</f>
        <v>9</v>
      </c>
      <c r="AK358" s="4" t="n">
        <f aca="false">ROUND(SUMPRODUCT(G358:AI358,Gene_Weights!$B$2:$AD$2),3)</f>
        <v>-8.7</v>
      </c>
      <c r="AL358" s="2" t="n">
        <v>4</v>
      </c>
      <c r="AM358" s="2" t="n">
        <v>1</v>
      </c>
      <c r="AN358" s="2" t="n">
        <v>25</v>
      </c>
      <c r="AO358" s="5" t="n">
        <v>52.86</v>
      </c>
      <c r="AP358" s="5" t="n">
        <v>53.65</v>
      </c>
      <c r="AQ358" s="5" t="n">
        <v>54.45</v>
      </c>
      <c r="AR358" s="5" t="n">
        <v>55.24</v>
      </c>
      <c r="AS358" s="5" t="n">
        <v>56.03</v>
      </c>
      <c r="AT358" s="5" t="n">
        <v>56.83</v>
      </c>
      <c r="AU358" s="5" t="n">
        <v>57.62</v>
      </c>
      <c r="AV358" s="5" t="s">
        <v>51</v>
      </c>
    </row>
    <row r="359" customFormat="false" ht="15" hidden="false" customHeight="false" outlineLevel="0" collapsed="false">
      <c r="A359" s="2" t="s">
        <v>115</v>
      </c>
      <c r="B359" s="2" t="n">
        <v>2012</v>
      </c>
      <c r="C359" s="2" t="s">
        <v>54</v>
      </c>
      <c r="D359" s="2" t="n">
        <v>0</v>
      </c>
      <c r="E359" s="2" t="n">
        <v>4</v>
      </c>
      <c r="F359" s="2" t="s">
        <v>50</v>
      </c>
      <c r="G359" s="3" t="n">
        <v>0</v>
      </c>
      <c r="H359" s="3" t="n">
        <v>0</v>
      </c>
      <c r="I359" s="3" t="n">
        <v>0</v>
      </c>
      <c r="J359" s="3" t="n">
        <v>1</v>
      </c>
      <c r="K359" s="3" t="n">
        <v>0</v>
      </c>
      <c r="L359" s="3" t="n">
        <v>1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1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1</v>
      </c>
      <c r="X359" s="3" t="n">
        <v>0</v>
      </c>
      <c r="Y359" s="3" t="n">
        <v>0</v>
      </c>
      <c r="Z359" s="3" t="n">
        <v>1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1</v>
      </c>
      <c r="AF359" s="3" t="n">
        <v>0</v>
      </c>
      <c r="AG359" s="3" t="n">
        <v>1</v>
      </c>
      <c r="AH359" s="3" t="n">
        <v>1</v>
      </c>
      <c r="AI359" s="3" t="n">
        <v>1</v>
      </c>
      <c r="AJ359" s="4" t="n">
        <f aca="false">SUM(G359:AI359)</f>
        <v>9</v>
      </c>
      <c r="AK359" s="4" t="n">
        <f aca="false">ROUND(SUMPRODUCT(G359:AI359,Gene_Weights!$B$2:$AD$2),3)</f>
        <v>-8.7</v>
      </c>
      <c r="AL359" s="2" t="n">
        <v>4</v>
      </c>
      <c r="AM359" s="2" t="n">
        <v>3</v>
      </c>
      <c r="AN359" s="2" t="n">
        <v>75</v>
      </c>
      <c r="AO359" s="5" t="n">
        <v>81.84</v>
      </c>
      <c r="AP359" s="5" t="n">
        <v>84.45</v>
      </c>
      <c r="AQ359" s="5" t="n">
        <v>87.06</v>
      </c>
      <c r="AR359" s="5" t="n">
        <v>89.67</v>
      </c>
      <c r="AS359" s="5" t="n">
        <v>92.27</v>
      </c>
      <c r="AT359" s="5" t="n">
        <v>94.88</v>
      </c>
      <c r="AU359" s="5" t="n">
        <v>97.49</v>
      </c>
      <c r="AV359" s="5" t="s">
        <v>51</v>
      </c>
    </row>
    <row r="360" customFormat="false" ht="15" hidden="false" customHeight="false" outlineLevel="0" collapsed="false">
      <c r="A360" s="2" t="s">
        <v>115</v>
      </c>
      <c r="B360" s="2" t="n">
        <v>2012</v>
      </c>
      <c r="C360" s="2" t="s">
        <v>55</v>
      </c>
      <c r="D360" s="2" t="n">
        <v>0</v>
      </c>
      <c r="E360" s="2" t="n">
        <v>16</v>
      </c>
      <c r="F360" s="2" t="s">
        <v>50</v>
      </c>
      <c r="G360" s="3" t="n">
        <v>0</v>
      </c>
      <c r="H360" s="3" t="n">
        <v>0</v>
      </c>
      <c r="I360" s="3" t="n">
        <v>0</v>
      </c>
      <c r="J360" s="3" t="n">
        <v>1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1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1</v>
      </c>
      <c r="X360" s="3" t="n">
        <v>0</v>
      </c>
      <c r="Y360" s="3" t="n">
        <v>0</v>
      </c>
      <c r="Z360" s="3" t="n">
        <v>1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1</v>
      </c>
      <c r="AF360" s="3" t="n">
        <v>0</v>
      </c>
      <c r="AG360" s="3" t="n">
        <v>1</v>
      </c>
      <c r="AH360" s="3" t="n">
        <v>1</v>
      </c>
      <c r="AI360" s="3" t="n">
        <v>1</v>
      </c>
      <c r="AJ360" s="4" t="n">
        <f aca="false">SUM(G360:AI360)</f>
        <v>9</v>
      </c>
      <c r="AK360" s="4" t="n">
        <f aca="false">ROUND(SUMPRODUCT(G360:AI360,Gene_Weights!$B$2:$AD$2),3)</f>
        <v>-8.7</v>
      </c>
      <c r="AL360" s="2" t="n">
        <v>4</v>
      </c>
      <c r="AM360" s="2" t="n">
        <v>1</v>
      </c>
      <c r="AN360" s="2" t="n">
        <v>25</v>
      </c>
      <c r="AO360" s="5" t="n">
        <v>58.19</v>
      </c>
      <c r="AP360" s="5" t="n">
        <v>59.74</v>
      </c>
      <c r="AQ360" s="5" t="n">
        <v>61.3</v>
      </c>
      <c r="AR360" s="5" t="n">
        <v>62.86</v>
      </c>
      <c r="AS360" s="5" t="n">
        <v>64.42</v>
      </c>
      <c r="AT360" s="5" t="n">
        <v>65.98</v>
      </c>
      <c r="AU360" s="5" t="n">
        <v>67.53</v>
      </c>
      <c r="AV360" s="5" t="s">
        <v>51</v>
      </c>
    </row>
    <row r="361" customFormat="false" ht="15" hidden="false" customHeight="false" outlineLevel="0" collapsed="false">
      <c r="A361" s="2" t="s">
        <v>115</v>
      </c>
      <c r="B361" s="2" t="n">
        <v>2012</v>
      </c>
      <c r="C361" s="2" t="s">
        <v>56</v>
      </c>
      <c r="D361" s="2" t="n">
        <v>0</v>
      </c>
      <c r="E361" s="2" t="n">
        <v>2</v>
      </c>
      <c r="F361" s="2" t="s">
        <v>50</v>
      </c>
      <c r="G361" s="3" t="n">
        <v>0</v>
      </c>
      <c r="H361" s="3" t="n">
        <v>0</v>
      </c>
      <c r="I361" s="3" t="n">
        <v>0</v>
      </c>
      <c r="J361" s="3" t="n">
        <v>1</v>
      </c>
      <c r="K361" s="3" t="n">
        <v>0</v>
      </c>
      <c r="L361" s="3" t="n">
        <v>1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1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1</v>
      </c>
      <c r="X361" s="3" t="n">
        <v>0</v>
      </c>
      <c r="Y361" s="3" t="n">
        <v>0</v>
      </c>
      <c r="Z361" s="3" t="n">
        <v>1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1</v>
      </c>
      <c r="AF361" s="3" t="n">
        <v>0</v>
      </c>
      <c r="AG361" s="3" t="n">
        <v>1</v>
      </c>
      <c r="AH361" s="3" t="n">
        <v>1</v>
      </c>
      <c r="AI361" s="3" t="n">
        <v>1</v>
      </c>
      <c r="AJ361" s="4" t="n">
        <f aca="false">SUM(G361:AI361)</f>
        <v>9</v>
      </c>
      <c r="AK361" s="4" t="n">
        <f aca="false">ROUND(SUMPRODUCT(G361:AI361,Gene_Weights!$B$2:$AD$2),3)</f>
        <v>-8.7</v>
      </c>
      <c r="AL361" s="2" t="n">
        <v>4</v>
      </c>
      <c r="AM361" s="2" t="n">
        <v>0</v>
      </c>
      <c r="AN361" s="2" t="n">
        <v>0</v>
      </c>
      <c r="AO361" s="5" t="n">
        <v>75.59</v>
      </c>
      <c r="AP361" s="5" t="n">
        <v>78.01</v>
      </c>
      <c r="AQ361" s="5" t="n">
        <v>80.42</v>
      </c>
      <c r="AR361" s="5" t="n">
        <v>82.83</v>
      </c>
      <c r="AS361" s="5" t="n">
        <v>85.24</v>
      </c>
      <c r="AT361" s="5" t="n">
        <v>87.66</v>
      </c>
      <c r="AU361" s="5" t="n">
        <v>90.07</v>
      </c>
      <c r="AV361" s="5" t="s">
        <v>51</v>
      </c>
    </row>
    <row r="362" customFormat="false" ht="15" hidden="false" customHeight="false" outlineLevel="0" collapsed="false">
      <c r="A362" s="2" t="s">
        <v>116</v>
      </c>
      <c r="B362" s="2" t="n">
        <v>2001</v>
      </c>
      <c r="C362" s="2" t="s">
        <v>49</v>
      </c>
      <c r="D362" s="2" t="n">
        <v>0</v>
      </c>
      <c r="E362" s="2" t="n">
        <v>2</v>
      </c>
      <c r="F362" s="2" t="s">
        <v>50</v>
      </c>
      <c r="G362" s="3" t="n">
        <v>0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</v>
      </c>
      <c r="O362" s="3" t="n">
        <v>1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1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1</v>
      </c>
      <c r="AJ362" s="4" t="n">
        <f aca="false">SUM(G362:AI362)</f>
        <v>6</v>
      </c>
      <c r="AK362" s="4" t="n">
        <f aca="false">ROUND(SUMPRODUCT(G362:AI362,Gene_Weights!$B$2:$AD$2),3)</f>
        <v>-2.78</v>
      </c>
      <c r="AL362" s="2" t="n">
        <v>1</v>
      </c>
      <c r="AM362" s="2" t="n">
        <v>0</v>
      </c>
      <c r="AN362" s="2" t="n">
        <v>0</v>
      </c>
      <c r="AO362" s="5" t="n">
        <v>55.12</v>
      </c>
      <c r="AP362" s="5" t="n">
        <v>56.02</v>
      </c>
      <c r="AQ362" s="5" t="n">
        <v>56.92</v>
      </c>
      <c r="AR362" s="5" t="n">
        <v>57.82</v>
      </c>
      <c r="AS362" s="5" t="n">
        <v>58.72</v>
      </c>
      <c r="AT362" s="5" t="n">
        <v>59.62</v>
      </c>
      <c r="AU362" s="5" t="n">
        <v>60.52</v>
      </c>
      <c r="AV362" s="5" t="s">
        <v>51</v>
      </c>
    </row>
    <row r="363" customFormat="false" ht="15" hidden="false" customHeight="false" outlineLevel="0" collapsed="false">
      <c r="A363" s="2" t="s">
        <v>116</v>
      </c>
      <c r="B363" s="2" t="n">
        <v>2001</v>
      </c>
      <c r="C363" s="2" t="s">
        <v>52</v>
      </c>
      <c r="D363" s="2" t="n">
        <v>0</v>
      </c>
      <c r="E363" s="2" t="n">
        <v>32</v>
      </c>
      <c r="F363" s="2" t="s">
        <v>50</v>
      </c>
      <c r="G363" s="3" t="n">
        <v>0</v>
      </c>
      <c r="H363" s="3" t="n">
        <v>1</v>
      </c>
      <c r="I363" s="3" t="n">
        <v>1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1</v>
      </c>
      <c r="O363" s="3" t="n">
        <v>1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1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1</v>
      </c>
      <c r="AJ363" s="4" t="n">
        <f aca="false">SUM(G363:AI363)</f>
        <v>6</v>
      </c>
      <c r="AK363" s="4" t="n">
        <f aca="false">ROUND(SUMPRODUCT(G363:AI363,Gene_Weights!$B$2:$AD$2),3)</f>
        <v>-2.78</v>
      </c>
      <c r="AL363" s="2" t="n">
        <v>1</v>
      </c>
      <c r="AM363" s="2" t="n">
        <v>0</v>
      </c>
      <c r="AN363" s="2" t="n">
        <v>0</v>
      </c>
      <c r="AO363" s="5" t="n">
        <v>64.53</v>
      </c>
      <c r="AP363" s="5" t="n">
        <v>66.13</v>
      </c>
      <c r="AQ363" s="5" t="n">
        <v>67.73</v>
      </c>
      <c r="AR363" s="5" t="n">
        <v>69.33</v>
      </c>
      <c r="AS363" s="5" t="n">
        <v>70.93</v>
      </c>
      <c r="AT363" s="5" t="n">
        <v>72.53</v>
      </c>
      <c r="AU363" s="5" t="n">
        <v>74.13</v>
      </c>
      <c r="AV363" s="5" t="s">
        <v>51</v>
      </c>
    </row>
    <row r="364" customFormat="false" ht="15" hidden="false" customHeight="false" outlineLevel="0" collapsed="false">
      <c r="A364" s="2" t="s">
        <v>116</v>
      </c>
      <c r="B364" s="2" t="n">
        <v>2001</v>
      </c>
      <c r="C364" s="2" t="s">
        <v>53</v>
      </c>
      <c r="D364" s="2" t="n">
        <v>1</v>
      </c>
      <c r="E364" s="2" t="n">
        <v>2</v>
      </c>
      <c r="F364" s="2" t="s">
        <v>50</v>
      </c>
      <c r="G364" s="3" t="n">
        <v>0</v>
      </c>
      <c r="H364" s="3" t="n">
        <v>1</v>
      </c>
      <c r="I364" s="3" t="n">
        <v>1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1</v>
      </c>
      <c r="O364" s="3" t="n">
        <v>1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1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1</v>
      </c>
      <c r="AJ364" s="4" t="n">
        <f aca="false">SUM(G364:AI364)</f>
        <v>6</v>
      </c>
      <c r="AK364" s="4" t="n">
        <f aca="false">ROUND(SUMPRODUCT(G364:AI364,Gene_Weights!$B$2:$AD$2),3)</f>
        <v>-2.78</v>
      </c>
      <c r="AL364" s="2" t="n">
        <v>1</v>
      </c>
      <c r="AM364" s="2" t="n">
        <v>1</v>
      </c>
      <c r="AN364" s="2" t="n">
        <v>100</v>
      </c>
      <c r="AO364" s="5" t="n">
        <v>52.86</v>
      </c>
      <c r="AP364" s="5" t="n">
        <v>53.65</v>
      </c>
      <c r="AQ364" s="5" t="n">
        <v>54.45</v>
      </c>
      <c r="AR364" s="5" t="n">
        <v>55.24</v>
      </c>
      <c r="AS364" s="5" t="n">
        <v>56.03</v>
      </c>
      <c r="AT364" s="5" t="n">
        <v>56.83</v>
      </c>
      <c r="AU364" s="5" t="n">
        <v>57.62</v>
      </c>
      <c r="AV364" s="5" t="s">
        <v>51</v>
      </c>
    </row>
    <row r="365" customFormat="false" ht="15" hidden="false" customHeight="false" outlineLevel="0" collapsed="false">
      <c r="A365" s="2" t="s">
        <v>116</v>
      </c>
      <c r="B365" s="2" t="n">
        <v>2001</v>
      </c>
      <c r="C365" s="2" t="s">
        <v>54</v>
      </c>
      <c r="D365" s="2" t="n">
        <v>0</v>
      </c>
      <c r="E365" s="2" t="n">
        <v>2</v>
      </c>
      <c r="F365" s="2" t="s">
        <v>50</v>
      </c>
      <c r="G365" s="3" t="n">
        <v>0</v>
      </c>
      <c r="H365" s="3" t="n">
        <v>1</v>
      </c>
      <c r="I365" s="3" t="n">
        <v>1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</v>
      </c>
      <c r="O365" s="3" t="n">
        <v>1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1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1</v>
      </c>
      <c r="AJ365" s="4" t="n">
        <f aca="false">SUM(G365:AI365)</f>
        <v>6</v>
      </c>
      <c r="AK365" s="4" t="n">
        <f aca="false">ROUND(SUMPRODUCT(G365:AI365,Gene_Weights!$B$2:$AD$2),3)</f>
        <v>-2.78</v>
      </c>
      <c r="AL365" s="2" t="n">
        <v>1</v>
      </c>
      <c r="AM365" s="2" t="n">
        <v>0</v>
      </c>
      <c r="AN365" s="2" t="n">
        <v>0</v>
      </c>
      <c r="AO365" s="5" t="n">
        <v>81.84</v>
      </c>
      <c r="AP365" s="5" t="n">
        <v>84.45</v>
      </c>
      <c r="AQ365" s="5" t="n">
        <v>87.06</v>
      </c>
      <c r="AR365" s="5" t="n">
        <v>89.67</v>
      </c>
      <c r="AS365" s="5" t="n">
        <v>92.27</v>
      </c>
      <c r="AT365" s="5" t="n">
        <v>94.88</v>
      </c>
      <c r="AU365" s="5" t="n">
        <v>97.49</v>
      </c>
      <c r="AV365" s="5" t="s">
        <v>51</v>
      </c>
    </row>
    <row r="366" customFormat="false" ht="15" hidden="false" customHeight="false" outlineLevel="0" collapsed="false">
      <c r="A366" s="2" t="s">
        <v>116</v>
      </c>
      <c r="B366" s="2" t="n">
        <v>2001</v>
      </c>
      <c r="C366" s="2" t="s">
        <v>55</v>
      </c>
      <c r="D366" s="2" t="n">
        <v>0</v>
      </c>
      <c r="E366" s="2" t="n">
        <v>4</v>
      </c>
      <c r="F366" s="2" t="s">
        <v>50</v>
      </c>
      <c r="G366" s="3" t="n">
        <v>0</v>
      </c>
      <c r="H366" s="3" t="n">
        <v>1</v>
      </c>
      <c r="I366" s="3" t="n">
        <v>1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1</v>
      </c>
      <c r="O366" s="3" t="n">
        <v>1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1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1</v>
      </c>
      <c r="AJ366" s="4" t="n">
        <f aca="false">SUM(G366:AI366)</f>
        <v>6</v>
      </c>
      <c r="AK366" s="4" t="n">
        <f aca="false">ROUND(SUMPRODUCT(G366:AI366,Gene_Weights!$B$2:$AD$2),3)</f>
        <v>-2.78</v>
      </c>
      <c r="AL366" s="2" t="n">
        <v>1</v>
      </c>
      <c r="AM366" s="2" t="n">
        <v>0</v>
      </c>
      <c r="AN366" s="2" t="n">
        <v>0</v>
      </c>
      <c r="AO366" s="5" t="n">
        <v>58.19</v>
      </c>
      <c r="AP366" s="5" t="n">
        <v>59.74</v>
      </c>
      <c r="AQ366" s="5" t="n">
        <v>61.3</v>
      </c>
      <c r="AR366" s="5" t="n">
        <v>62.86</v>
      </c>
      <c r="AS366" s="5" t="n">
        <v>64.42</v>
      </c>
      <c r="AT366" s="5" t="n">
        <v>65.98</v>
      </c>
      <c r="AU366" s="5" t="n">
        <v>67.53</v>
      </c>
      <c r="AV366" s="5" t="s">
        <v>51</v>
      </c>
    </row>
    <row r="367" customFormat="false" ht="15" hidden="false" customHeight="false" outlineLevel="0" collapsed="false">
      <c r="A367" s="2" t="s">
        <v>116</v>
      </c>
      <c r="B367" s="2" t="n">
        <v>2001</v>
      </c>
      <c r="C367" s="2" t="s">
        <v>56</v>
      </c>
      <c r="D367" s="2" t="n">
        <v>0</v>
      </c>
      <c r="E367" s="2" t="n">
        <v>32</v>
      </c>
      <c r="F367" s="2" t="s">
        <v>50</v>
      </c>
      <c r="G367" s="3" t="n">
        <v>0</v>
      </c>
      <c r="H367" s="3" t="n">
        <v>1</v>
      </c>
      <c r="I367" s="3" t="n">
        <v>1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</v>
      </c>
      <c r="O367" s="3" t="n">
        <v>1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1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1</v>
      </c>
      <c r="AJ367" s="4" t="n">
        <f aca="false">SUM(G367:AI367)</f>
        <v>6</v>
      </c>
      <c r="AK367" s="4" t="n">
        <f aca="false">ROUND(SUMPRODUCT(G367:AI367,Gene_Weights!$B$2:$AD$2),3)</f>
        <v>-2.78</v>
      </c>
      <c r="AL367" s="2" t="n">
        <v>1</v>
      </c>
      <c r="AM367" s="2" t="n">
        <v>0</v>
      </c>
      <c r="AN367" s="2" t="n">
        <v>0</v>
      </c>
      <c r="AO367" s="5" t="n">
        <v>75.59</v>
      </c>
      <c r="AP367" s="5" t="n">
        <v>78.01</v>
      </c>
      <c r="AQ367" s="5" t="n">
        <v>80.42</v>
      </c>
      <c r="AR367" s="5" t="n">
        <v>82.83</v>
      </c>
      <c r="AS367" s="5" t="n">
        <v>85.24</v>
      </c>
      <c r="AT367" s="5" t="n">
        <v>87.66</v>
      </c>
      <c r="AU367" s="5" t="n">
        <v>90.07</v>
      </c>
      <c r="AV367" s="5" t="s">
        <v>51</v>
      </c>
    </row>
    <row r="368" customFormat="false" ht="15" hidden="false" customHeight="false" outlineLevel="0" collapsed="false">
      <c r="A368" s="2" t="s">
        <v>117</v>
      </c>
      <c r="B368" s="2" t="n">
        <v>2008</v>
      </c>
      <c r="C368" s="2" t="s">
        <v>49</v>
      </c>
      <c r="D368" s="2" t="n">
        <v>1</v>
      </c>
      <c r="E368" s="2" t="n">
        <v>2</v>
      </c>
      <c r="F368" s="2" t="s">
        <v>50</v>
      </c>
      <c r="G368" s="3" t="n">
        <v>0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0</v>
      </c>
      <c r="M368" s="3" t="n">
        <v>1</v>
      </c>
      <c r="N368" s="3" t="n">
        <v>0</v>
      </c>
      <c r="O368" s="3" t="n">
        <v>1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1</v>
      </c>
      <c r="V368" s="3" t="n">
        <v>0</v>
      </c>
      <c r="W368" s="3" t="n">
        <v>1</v>
      </c>
      <c r="X368" s="3" t="n">
        <v>1</v>
      </c>
      <c r="Y368" s="3" t="n">
        <v>0</v>
      </c>
      <c r="Z368" s="3" t="n">
        <v>0</v>
      </c>
      <c r="AA368" s="3" t="n">
        <v>1</v>
      </c>
      <c r="AB368" s="3" t="n">
        <v>0</v>
      </c>
      <c r="AC368" s="3" t="n">
        <v>1</v>
      </c>
      <c r="AD368" s="3" t="n">
        <v>0</v>
      </c>
      <c r="AE368" s="3" t="n">
        <v>0</v>
      </c>
      <c r="AF368" s="3" t="n">
        <v>1</v>
      </c>
      <c r="AG368" s="3" t="n">
        <v>0</v>
      </c>
      <c r="AH368" s="3" t="n">
        <v>0</v>
      </c>
      <c r="AI368" s="3" t="n">
        <v>0</v>
      </c>
      <c r="AJ368" s="4" t="n">
        <f aca="false">SUM(G368:AI368)</f>
        <v>12</v>
      </c>
      <c r="AK368" s="4" t="n">
        <f aca="false">ROUND(SUMPRODUCT(G368:AI368,Gene_Weights!$B$2:$AD$2),3)</f>
        <v>-8.9</v>
      </c>
      <c r="AL368" s="2" t="n">
        <v>5</v>
      </c>
      <c r="AM368" s="2" t="n">
        <v>3</v>
      </c>
      <c r="AN368" s="2" t="n">
        <v>60</v>
      </c>
      <c r="AO368" s="5" t="n">
        <v>55.12</v>
      </c>
      <c r="AP368" s="5" t="n">
        <v>56.02</v>
      </c>
      <c r="AQ368" s="5" t="n">
        <v>56.92</v>
      </c>
      <c r="AR368" s="5" t="n">
        <v>57.82</v>
      </c>
      <c r="AS368" s="5" t="n">
        <v>58.72</v>
      </c>
      <c r="AT368" s="5" t="n">
        <v>59.62</v>
      </c>
      <c r="AU368" s="5" t="n">
        <v>60.52</v>
      </c>
      <c r="AV368" s="5" t="s">
        <v>51</v>
      </c>
    </row>
    <row r="369" customFormat="false" ht="15" hidden="false" customHeight="false" outlineLevel="0" collapsed="false">
      <c r="A369" s="2" t="s">
        <v>117</v>
      </c>
      <c r="B369" s="2" t="n">
        <v>2008</v>
      </c>
      <c r="C369" s="2" t="s">
        <v>52</v>
      </c>
      <c r="D369" s="2" t="n">
        <v>0</v>
      </c>
      <c r="E369" s="2" t="n">
        <v>32</v>
      </c>
      <c r="F369" s="2" t="s">
        <v>50</v>
      </c>
      <c r="G369" s="3" t="n">
        <v>0</v>
      </c>
      <c r="H369" s="3" t="n">
        <v>1</v>
      </c>
      <c r="I369" s="3" t="n">
        <v>1</v>
      </c>
      <c r="J369" s="3" t="n">
        <v>1</v>
      </c>
      <c r="K369" s="3" t="n">
        <v>1</v>
      </c>
      <c r="L369" s="3" t="n">
        <v>0</v>
      </c>
      <c r="M369" s="3" t="n">
        <v>1</v>
      </c>
      <c r="N369" s="3" t="n">
        <v>0</v>
      </c>
      <c r="O369" s="3" t="n">
        <v>1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1</v>
      </c>
      <c r="V369" s="3" t="n">
        <v>0</v>
      </c>
      <c r="W369" s="3" t="n">
        <v>1</v>
      </c>
      <c r="X369" s="3" t="n">
        <v>1</v>
      </c>
      <c r="Y369" s="3" t="n">
        <v>0</v>
      </c>
      <c r="Z369" s="3" t="n">
        <v>0</v>
      </c>
      <c r="AA369" s="3" t="n">
        <v>1</v>
      </c>
      <c r="AB369" s="3" t="n">
        <v>0</v>
      </c>
      <c r="AC369" s="3" t="n">
        <v>1</v>
      </c>
      <c r="AD369" s="3" t="n">
        <v>0</v>
      </c>
      <c r="AE369" s="3" t="n">
        <v>0</v>
      </c>
      <c r="AF369" s="3" t="n">
        <v>1</v>
      </c>
      <c r="AG369" s="3" t="n">
        <v>0</v>
      </c>
      <c r="AH369" s="3" t="n">
        <v>0</v>
      </c>
      <c r="AI369" s="3" t="n">
        <v>0</v>
      </c>
      <c r="AJ369" s="4" t="n">
        <f aca="false">SUM(G369:AI369)</f>
        <v>12</v>
      </c>
      <c r="AK369" s="4" t="n">
        <f aca="false">ROUND(SUMPRODUCT(G369:AI369,Gene_Weights!$B$2:$AD$2),3)</f>
        <v>-8.9</v>
      </c>
      <c r="AL369" s="2" t="n">
        <v>5</v>
      </c>
      <c r="AM369" s="2" t="n">
        <v>1</v>
      </c>
      <c r="AN369" s="2" t="n">
        <v>20</v>
      </c>
      <c r="AO369" s="5" t="n">
        <v>64.53</v>
      </c>
      <c r="AP369" s="5" t="n">
        <v>66.13</v>
      </c>
      <c r="AQ369" s="5" t="n">
        <v>67.73</v>
      </c>
      <c r="AR369" s="5" t="n">
        <v>69.33</v>
      </c>
      <c r="AS369" s="5" t="n">
        <v>70.93</v>
      </c>
      <c r="AT369" s="5" t="n">
        <v>72.53</v>
      </c>
      <c r="AU369" s="5" t="n">
        <v>74.13</v>
      </c>
      <c r="AV369" s="5" t="s">
        <v>51</v>
      </c>
    </row>
    <row r="370" customFormat="false" ht="15" hidden="false" customHeight="false" outlineLevel="0" collapsed="false">
      <c r="A370" s="2" t="s">
        <v>117</v>
      </c>
      <c r="B370" s="2" t="n">
        <v>2008</v>
      </c>
      <c r="C370" s="2" t="s">
        <v>53</v>
      </c>
      <c r="D370" s="2" t="n">
        <v>1</v>
      </c>
      <c r="E370" s="2" t="n">
        <v>4</v>
      </c>
      <c r="F370" s="2" t="s">
        <v>50</v>
      </c>
      <c r="G370" s="3" t="n">
        <v>0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0</v>
      </c>
      <c r="M370" s="3" t="n">
        <v>1</v>
      </c>
      <c r="N370" s="3" t="n">
        <v>0</v>
      </c>
      <c r="O370" s="3" t="n">
        <v>1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1</v>
      </c>
      <c r="V370" s="3" t="n">
        <v>0</v>
      </c>
      <c r="W370" s="3" t="n">
        <v>1</v>
      </c>
      <c r="X370" s="3" t="n">
        <v>1</v>
      </c>
      <c r="Y370" s="3" t="n">
        <v>0</v>
      </c>
      <c r="Z370" s="3" t="n">
        <v>0</v>
      </c>
      <c r="AA370" s="3" t="n">
        <v>1</v>
      </c>
      <c r="AB370" s="3" t="n">
        <v>0</v>
      </c>
      <c r="AC370" s="3" t="n">
        <v>1</v>
      </c>
      <c r="AD370" s="3" t="n">
        <v>0</v>
      </c>
      <c r="AE370" s="3" t="n">
        <v>0</v>
      </c>
      <c r="AF370" s="3" t="n">
        <v>1</v>
      </c>
      <c r="AG370" s="3" t="n">
        <v>0</v>
      </c>
      <c r="AH370" s="3" t="n">
        <v>0</v>
      </c>
      <c r="AI370" s="3" t="n">
        <v>0</v>
      </c>
      <c r="AJ370" s="4" t="n">
        <f aca="false">SUM(G370:AI370)</f>
        <v>12</v>
      </c>
      <c r="AK370" s="4" t="n">
        <f aca="false">ROUND(SUMPRODUCT(G370:AI370,Gene_Weights!$B$2:$AD$2),3)</f>
        <v>-8.9</v>
      </c>
      <c r="AL370" s="2" t="n">
        <v>5</v>
      </c>
      <c r="AM370" s="2" t="n">
        <v>2</v>
      </c>
      <c r="AN370" s="2" t="n">
        <v>40</v>
      </c>
      <c r="AO370" s="5" t="n">
        <v>52.86</v>
      </c>
      <c r="AP370" s="5" t="n">
        <v>53.65</v>
      </c>
      <c r="AQ370" s="5" t="n">
        <v>54.45</v>
      </c>
      <c r="AR370" s="5" t="n">
        <v>55.24</v>
      </c>
      <c r="AS370" s="5" t="n">
        <v>56.03</v>
      </c>
      <c r="AT370" s="5" t="n">
        <v>56.83</v>
      </c>
      <c r="AU370" s="5" t="n">
        <v>57.62</v>
      </c>
      <c r="AV370" s="5" t="s">
        <v>51</v>
      </c>
    </row>
    <row r="371" customFormat="false" ht="15" hidden="false" customHeight="false" outlineLevel="0" collapsed="false">
      <c r="A371" s="2" t="s">
        <v>117</v>
      </c>
      <c r="B371" s="2" t="n">
        <v>2008</v>
      </c>
      <c r="C371" s="2" t="s">
        <v>54</v>
      </c>
      <c r="D371" s="2" t="n">
        <v>0</v>
      </c>
      <c r="E371" s="2" t="n">
        <v>32</v>
      </c>
      <c r="F371" s="2" t="s">
        <v>50</v>
      </c>
      <c r="G371" s="3" t="n">
        <v>0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0</v>
      </c>
      <c r="M371" s="3" t="n">
        <v>1</v>
      </c>
      <c r="N371" s="3" t="n">
        <v>0</v>
      </c>
      <c r="O371" s="3" t="n">
        <v>1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1</v>
      </c>
      <c r="V371" s="3" t="n">
        <v>0</v>
      </c>
      <c r="W371" s="3" t="n">
        <v>1</v>
      </c>
      <c r="X371" s="3" t="n">
        <v>1</v>
      </c>
      <c r="Y371" s="3" t="n">
        <v>0</v>
      </c>
      <c r="Z371" s="3" t="n">
        <v>0</v>
      </c>
      <c r="AA371" s="3" t="n">
        <v>1</v>
      </c>
      <c r="AB371" s="3" t="n">
        <v>0</v>
      </c>
      <c r="AC371" s="3" t="n">
        <v>1</v>
      </c>
      <c r="AD371" s="3" t="n">
        <v>0</v>
      </c>
      <c r="AE371" s="3" t="n">
        <v>0</v>
      </c>
      <c r="AF371" s="3" t="n">
        <v>1</v>
      </c>
      <c r="AG371" s="3" t="n">
        <v>0</v>
      </c>
      <c r="AH371" s="3" t="n">
        <v>0</v>
      </c>
      <c r="AI371" s="3" t="n">
        <v>0</v>
      </c>
      <c r="AJ371" s="4" t="n">
        <f aca="false">SUM(G371:AI371)</f>
        <v>12</v>
      </c>
      <c r="AK371" s="4" t="n">
        <f aca="false">ROUND(SUMPRODUCT(G371:AI371,Gene_Weights!$B$2:$AD$2),3)</f>
        <v>-8.9</v>
      </c>
      <c r="AL371" s="2" t="n">
        <v>5</v>
      </c>
      <c r="AM371" s="2" t="n">
        <v>2</v>
      </c>
      <c r="AN371" s="2" t="n">
        <v>40</v>
      </c>
      <c r="AO371" s="5" t="n">
        <v>81.84</v>
      </c>
      <c r="AP371" s="5" t="n">
        <v>84.45</v>
      </c>
      <c r="AQ371" s="5" t="n">
        <v>87.06</v>
      </c>
      <c r="AR371" s="5" t="n">
        <v>89.67</v>
      </c>
      <c r="AS371" s="5" t="n">
        <v>92.27</v>
      </c>
      <c r="AT371" s="5" t="n">
        <v>94.88</v>
      </c>
      <c r="AU371" s="5" t="n">
        <v>97.49</v>
      </c>
      <c r="AV371" s="5" t="s">
        <v>51</v>
      </c>
    </row>
    <row r="372" customFormat="false" ht="15" hidden="false" customHeight="false" outlineLevel="0" collapsed="false">
      <c r="A372" s="2" t="s">
        <v>117</v>
      </c>
      <c r="B372" s="2" t="n">
        <v>2008</v>
      </c>
      <c r="C372" s="2" t="s">
        <v>55</v>
      </c>
      <c r="D372" s="2" t="n">
        <v>1</v>
      </c>
      <c r="E372" s="2" t="n">
        <v>32</v>
      </c>
      <c r="F372" s="2" t="s">
        <v>50</v>
      </c>
      <c r="G372" s="3" t="n">
        <v>0</v>
      </c>
      <c r="H372" s="3" t="n">
        <v>1</v>
      </c>
      <c r="I372" s="3" t="n">
        <v>1</v>
      </c>
      <c r="J372" s="3" t="n">
        <v>1</v>
      </c>
      <c r="K372" s="3" t="n">
        <v>1</v>
      </c>
      <c r="L372" s="3" t="n">
        <v>0</v>
      </c>
      <c r="M372" s="3" t="n">
        <v>1</v>
      </c>
      <c r="N372" s="3" t="n">
        <v>0</v>
      </c>
      <c r="O372" s="3" t="n">
        <v>1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1</v>
      </c>
      <c r="V372" s="3" t="n">
        <v>0</v>
      </c>
      <c r="W372" s="3" t="n">
        <v>1</v>
      </c>
      <c r="X372" s="3" t="n">
        <v>1</v>
      </c>
      <c r="Y372" s="3" t="n">
        <v>0</v>
      </c>
      <c r="Z372" s="3" t="n">
        <v>0</v>
      </c>
      <c r="AA372" s="3" t="n">
        <v>1</v>
      </c>
      <c r="AB372" s="3" t="n">
        <v>0</v>
      </c>
      <c r="AC372" s="3" t="n">
        <v>1</v>
      </c>
      <c r="AD372" s="3" t="n">
        <v>0</v>
      </c>
      <c r="AE372" s="3" t="n">
        <v>0</v>
      </c>
      <c r="AF372" s="3" t="n">
        <v>1</v>
      </c>
      <c r="AG372" s="3" t="n">
        <v>0</v>
      </c>
      <c r="AH372" s="3" t="n">
        <v>0</v>
      </c>
      <c r="AI372" s="3" t="n">
        <v>0</v>
      </c>
      <c r="AJ372" s="4" t="n">
        <f aca="false">SUM(G372:AI372)</f>
        <v>12</v>
      </c>
      <c r="AK372" s="4" t="n">
        <f aca="false">ROUND(SUMPRODUCT(G372:AI372,Gene_Weights!$B$2:$AD$2),3)</f>
        <v>-8.9</v>
      </c>
      <c r="AL372" s="2" t="n">
        <v>5</v>
      </c>
      <c r="AM372" s="2" t="n">
        <v>2</v>
      </c>
      <c r="AN372" s="2" t="n">
        <v>40</v>
      </c>
      <c r="AO372" s="5" t="n">
        <v>58.19</v>
      </c>
      <c r="AP372" s="5" t="n">
        <v>59.74</v>
      </c>
      <c r="AQ372" s="5" t="n">
        <v>61.3</v>
      </c>
      <c r="AR372" s="5" t="n">
        <v>62.86</v>
      </c>
      <c r="AS372" s="5" t="n">
        <v>64.42</v>
      </c>
      <c r="AT372" s="5" t="n">
        <v>65.98</v>
      </c>
      <c r="AU372" s="5" t="n">
        <v>67.53</v>
      </c>
      <c r="AV372" s="5" t="s">
        <v>51</v>
      </c>
    </row>
    <row r="373" customFormat="false" ht="15" hidden="false" customHeight="false" outlineLevel="0" collapsed="false">
      <c r="A373" s="2" t="s">
        <v>117</v>
      </c>
      <c r="B373" s="2" t="n">
        <v>2008</v>
      </c>
      <c r="C373" s="2" t="s">
        <v>56</v>
      </c>
      <c r="D373" s="2" t="n">
        <v>0</v>
      </c>
      <c r="E373" s="2" t="n">
        <v>32</v>
      </c>
      <c r="F373" s="2" t="s">
        <v>50</v>
      </c>
      <c r="G373" s="3" t="n">
        <v>0</v>
      </c>
      <c r="H373" s="3" t="n">
        <v>1</v>
      </c>
      <c r="I373" s="3" t="n">
        <v>1</v>
      </c>
      <c r="J373" s="3" t="n">
        <v>1</v>
      </c>
      <c r="K373" s="3" t="n">
        <v>1</v>
      </c>
      <c r="L373" s="3" t="n">
        <v>0</v>
      </c>
      <c r="M373" s="3" t="n">
        <v>1</v>
      </c>
      <c r="N373" s="3" t="n">
        <v>0</v>
      </c>
      <c r="O373" s="3" t="n">
        <v>1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1</v>
      </c>
      <c r="V373" s="3" t="n">
        <v>0</v>
      </c>
      <c r="W373" s="3" t="n">
        <v>1</v>
      </c>
      <c r="X373" s="3" t="n">
        <v>1</v>
      </c>
      <c r="Y373" s="3" t="n">
        <v>0</v>
      </c>
      <c r="Z373" s="3" t="n">
        <v>0</v>
      </c>
      <c r="AA373" s="3" t="n">
        <v>1</v>
      </c>
      <c r="AB373" s="3" t="n">
        <v>0</v>
      </c>
      <c r="AC373" s="3" t="n">
        <v>1</v>
      </c>
      <c r="AD373" s="3" t="n">
        <v>0</v>
      </c>
      <c r="AE373" s="3" t="n">
        <v>0</v>
      </c>
      <c r="AF373" s="3" t="n">
        <v>1</v>
      </c>
      <c r="AG373" s="3" t="n">
        <v>0</v>
      </c>
      <c r="AH373" s="3" t="n">
        <v>0</v>
      </c>
      <c r="AI373" s="3" t="n">
        <v>0</v>
      </c>
      <c r="AJ373" s="4" t="n">
        <f aca="false">SUM(G373:AI373)</f>
        <v>12</v>
      </c>
      <c r="AK373" s="4" t="n">
        <f aca="false">ROUND(SUMPRODUCT(G373:AI373,Gene_Weights!$B$2:$AD$2),3)</f>
        <v>-8.9</v>
      </c>
      <c r="AL373" s="2" t="n">
        <v>5</v>
      </c>
      <c r="AM373" s="2" t="n">
        <v>3</v>
      </c>
      <c r="AN373" s="2" t="n">
        <v>60</v>
      </c>
      <c r="AO373" s="5" t="n">
        <v>75.59</v>
      </c>
      <c r="AP373" s="5" t="n">
        <v>78.01</v>
      </c>
      <c r="AQ373" s="5" t="n">
        <v>80.42</v>
      </c>
      <c r="AR373" s="5" t="n">
        <v>82.83</v>
      </c>
      <c r="AS373" s="5" t="n">
        <v>85.24</v>
      </c>
      <c r="AT373" s="5" t="n">
        <v>87.66</v>
      </c>
      <c r="AU373" s="5" t="n">
        <v>90.07</v>
      </c>
      <c r="AV373" s="5" t="s">
        <v>51</v>
      </c>
    </row>
    <row r="374" customFormat="false" ht="15" hidden="false" customHeight="false" outlineLevel="0" collapsed="false">
      <c r="A374" s="2" t="s">
        <v>118</v>
      </c>
      <c r="B374" s="2" t="n">
        <v>2000</v>
      </c>
      <c r="C374" s="2" t="s">
        <v>49</v>
      </c>
      <c r="D374" s="2" t="n">
        <v>0</v>
      </c>
      <c r="E374" s="2" t="n">
        <v>32</v>
      </c>
      <c r="F374" s="2" t="s">
        <v>50</v>
      </c>
      <c r="G374" s="3" t="n">
        <v>0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1</v>
      </c>
      <c r="P374" s="3" t="n">
        <v>0</v>
      </c>
      <c r="Q374" s="3" t="n">
        <v>0</v>
      </c>
      <c r="R374" s="3" t="n">
        <v>0</v>
      </c>
      <c r="S374" s="3" t="n">
        <v>1</v>
      </c>
      <c r="T374" s="3" t="n">
        <v>0</v>
      </c>
      <c r="U374" s="3" t="n">
        <v>1</v>
      </c>
      <c r="V374" s="3" t="n">
        <v>0</v>
      </c>
      <c r="W374" s="3" t="n">
        <v>1</v>
      </c>
      <c r="X374" s="3" t="n">
        <v>0</v>
      </c>
      <c r="Y374" s="3" t="n">
        <v>1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1</v>
      </c>
      <c r="AH374" s="3" t="n">
        <v>1</v>
      </c>
      <c r="AI374" s="3" t="n">
        <v>0</v>
      </c>
      <c r="AJ374" s="4" t="n">
        <f aca="false">SUM(G374:AI374)</f>
        <v>8</v>
      </c>
      <c r="AK374" s="4" t="n">
        <f aca="false">ROUND(SUMPRODUCT(G374:AI374,Gene_Weights!$B$2:$AD$2),3)</f>
        <v>-4.16</v>
      </c>
      <c r="AL374" s="2" t="n">
        <v>8</v>
      </c>
      <c r="AM374" s="2" t="n">
        <v>2</v>
      </c>
      <c r="AN374" s="2" t="n">
        <v>25</v>
      </c>
      <c r="AO374" s="5" t="n">
        <v>55.12</v>
      </c>
      <c r="AP374" s="5" t="n">
        <v>56.02</v>
      </c>
      <c r="AQ374" s="5" t="n">
        <v>56.92</v>
      </c>
      <c r="AR374" s="5" t="n">
        <v>57.82</v>
      </c>
      <c r="AS374" s="5" t="n">
        <v>58.72</v>
      </c>
      <c r="AT374" s="5" t="n">
        <v>59.62</v>
      </c>
      <c r="AU374" s="5" t="n">
        <v>60.52</v>
      </c>
      <c r="AV374" s="5" t="s">
        <v>51</v>
      </c>
    </row>
    <row r="375" customFormat="false" ht="15" hidden="false" customHeight="false" outlineLevel="0" collapsed="false">
      <c r="A375" s="2" t="s">
        <v>118</v>
      </c>
      <c r="B375" s="2" t="n">
        <v>2000</v>
      </c>
      <c r="C375" s="2" t="s">
        <v>52</v>
      </c>
      <c r="D375" s="2" t="n">
        <v>1</v>
      </c>
      <c r="E375" s="2" t="n">
        <v>4</v>
      </c>
      <c r="F375" s="2" t="s">
        <v>50</v>
      </c>
      <c r="G375" s="3" t="n">
        <v>0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1</v>
      </c>
      <c r="P375" s="3" t="n">
        <v>0</v>
      </c>
      <c r="Q375" s="3" t="n">
        <v>0</v>
      </c>
      <c r="R375" s="3" t="n">
        <v>0</v>
      </c>
      <c r="S375" s="3" t="n">
        <v>1</v>
      </c>
      <c r="T375" s="3" t="n">
        <v>0</v>
      </c>
      <c r="U375" s="3" t="n">
        <v>1</v>
      </c>
      <c r="V375" s="3" t="n">
        <v>0</v>
      </c>
      <c r="W375" s="3" t="n">
        <v>1</v>
      </c>
      <c r="X375" s="3" t="n">
        <v>0</v>
      </c>
      <c r="Y375" s="3" t="n">
        <v>1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1</v>
      </c>
      <c r="AH375" s="3" t="n">
        <v>1</v>
      </c>
      <c r="AI375" s="3" t="n">
        <v>0</v>
      </c>
      <c r="AJ375" s="4" t="n">
        <f aca="false">SUM(G375:AI375)</f>
        <v>8</v>
      </c>
      <c r="AK375" s="4" t="n">
        <f aca="false">ROUND(SUMPRODUCT(G375:AI375,Gene_Weights!$B$2:$AD$2),3)</f>
        <v>-4.16</v>
      </c>
      <c r="AL375" s="2" t="n">
        <v>8</v>
      </c>
      <c r="AM375" s="2" t="n">
        <v>2</v>
      </c>
      <c r="AN375" s="2" t="n">
        <v>25</v>
      </c>
      <c r="AO375" s="5" t="n">
        <v>64.53</v>
      </c>
      <c r="AP375" s="5" t="n">
        <v>66.13</v>
      </c>
      <c r="AQ375" s="5" t="n">
        <v>67.73</v>
      </c>
      <c r="AR375" s="5" t="n">
        <v>69.33</v>
      </c>
      <c r="AS375" s="5" t="n">
        <v>70.93</v>
      </c>
      <c r="AT375" s="5" t="n">
        <v>72.53</v>
      </c>
      <c r="AU375" s="5" t="n">
        <v>74.13</v>
      </c>
      <c r="AV375" s="5" t="s">
        <v>51</v>
      </c>
    </row>
    <row r="376" customFormat="false" ht="15" hidden="false" customHeight="false" outlineLevel="0" collapsed="false">
      <c r="A376" s="2" t="s">
        <v>118</v>
      </c>
      <c r="B376" s="2" t="n">
        <v>2000</v>
      </c>
      <c r="C376" s="2" t="s">
        <v>53</v>
      </c>
      <c r="D376" s="2" t="n">
        <v>0</v>
      </c>
      <c r="E376" s="2" t="n">
        <v>2</v>
      </c>
      <c r="F376" s="2" t="s">
        <v>50</v>
      </c>
      <c r="G376" s="3" t="n">
        <v>0</v>
      </c>
      <c r="H376" s="3" t="n">
        <v>1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</v>
      </c>
      <c r="P376" s="3" t="n">
        <v>0</v>
      </c>
      <c r="Q376" s="3" t="n">
        <v>0</v>
      </c>
      <c r="R376" s="3" t="n">
        <v>0</v>
      </c>
      <c r="S376" s="3" t="n">
        <v>1</v>
      </c>
      <c r="T376" s="3" t="n">
        <v>0</v>
      </c>
      <c r="U376" s="3" t="n">
        <v>1</v>
      </c>
      <c r="V376" s="3" t="n">
        <v>0</v>
      </c>
      <c r="W376" s="3" t="n">
        <v>1</v>
      </c>
      <c r="X376" s="3" t="n">
        <v>0</v>
      </c>
      <c r="Y376" s="3" t="n">
        <v>1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1</v>
      </c>
      <c r="AH376" s="3" t="n">
        <v>1</v>
      </c>
      <c r="AI376" s="3" t="n">
        <v>0</v>
      </c>
      <c r="AJ376" s="4" t="n">
        <f aca="false">SUM(G376:AI376)</f>
        <v>8</v>
      </c>
      <c r="AK376" s="4" t="n">
        <f aca="false">ROUND(SUMPRODUCT(G376:AI376,Gene_Weights!$B$2:$AD$2),3)</f>
        <v>-4.16</v>
      </c>
      <c r="AL376" s="2" t="n">
        <v>8</v>
      </c>
      <c r="AM376" s="2" t="n">
        <v>1</v>
      </c>
      <c r="AN376" s="2" t="n">
        <v>12.5</v>
      </c>
      <c r="AO376" s="5" t="n">
        <v>52.86</v>
      </c>
      <c r="AP376" s="5" t="n">
        <v>53.65</v>
      </c>
      <c r="AQ376" s="5" t="n">
        <v>54.45</v>
      </c>
      <c r="AR376" s="5" t="n">
        <v>55.24</v>
      </c>
      <c r="AS376" s="5" t="n">
        <v>56.03</v>
      </c>
      <c r="AT376" s="5" t="n">
        <v>56.83</v>
      </c>
      <c r="AU376" s="5" t="n">
        <v>57.62</v>
      </c>
      <c r="AV376" s="5" t="s">
        <v>51</v>
      </c>
    </row>
    <row r="377" customFormat="false" ht="15" hidden="false" customHeight="false" outlineLevel="0" collapsed="false">
      <c r="A377" s="2" t="s">
        <v>118</v>
      </c>
      <c r="B377" s="2" t="n">
        <v>2000</v>
      </c>
      <c r="C377" s="2" t="s">
        <v>54</v>
      </c>
      <c r="D377" s="2" t="n">
        <v>1</v>
      </c>
      <c r="E377" s="2" t="n">
        <v>32</v>
      </c>
      <c r="F377" s="2" t="s">
        <v>50</v>
      </c>
      <c r="G377" s="3" t="n">
        <v>0</v>
      </c>
      <c r="H377" s="3" t="n">
        <v>1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1</v>
      </c>
      <c r="P377" s="3" t="n">
        <v>0</v>
      </c>
      <c r="Q377" s="3" t="n">
        <v>0</v>
      </c>
      <c r="R377" s="3" t="n">
        <v>0</v>
      </c>
      <c r="S377" s="3" t="n">
        <v>1</v>
      </c>
      <c r="T377" s="3" t="n">
        <v>0</v>
      </c>
      <c r="U377" s="3" t="n">
        <v>1</v>
      </c>
      <c r="V377" s="3" t="n">
        <v>0</v>
      </c>
      <c r="W377" s="3" t="n">
        <v>1</v>
      </c>
      <c r="X377" s="3" t="n">
        <v>0</v>
      </c>
      <c r="Y377" s="3" t="n">
        <v>1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1</v>
      </c>
      <c r="AH377" s="3" t="n">
        <v>1</v>
      </c>
      <c r="AI377" s="3" t="n">
        <v>0</v>
      </c>
      <c r="AJ377" s="4" t="n">
        <f aca="false">SUM(G377:AI377)</f>
        <v>8</v>
      </c>
      <c r="AK377" s="4" t="n">
        <f aca="false">ROUND(SUMPRODUCT(G377:AI377,Gene_Weights!$B$2:$AD$2),3)</f>
        <v>-4.16</v>
      </c>
      <c r="AL377" s="2" t="n">
        <v>8</v>
      </c>
      <c r="AM377" s="2" t="n">
        <v>1</v>
      </c>
      <c r="AN377" s="2" t="n">
        <v>12.5</v>
      </c>
      <c r="AO377" s="5" t="n">
        <v>81.84</v>
      </c>
      <c r="AP377" s="5" t="n">
        <v>84.45</v>
      </c>
      <c r="AQ377" s="5" t="n">
        <v>87.06</v>
      </c>
      <c r="AR377" s="5" t="n">
        <v>89.67</v>
      </c>
      <c r="AS377" s="5" t="n">
        <v>92.27</v>
      </c>
      <c r="AT377" s="5" t="n">
        <v>94.88</v>
      </c>
      <c r="AU377" s="5" t="n">
        <v>97.49</v>
      </c>
      <c r="AV377" s="5" t="s">
        <v>51</v>
      </c>
    </row>
    <row r="378" customFormat="false" ht="15" hidden="false" customHeight="false" outlineLevel="0" collapsed="false">
      <c r="A378" s="2" t="s">
        <v>118</v>
      </c>
      <c r="B378" s="2" t="n">
        <v>2000</v>
      </c>
      <c r="C378" s="2" t="s">
        <v>55</v>
      </c>
      <c r="D378" s="2" t="n">
        <v>0</v>
      </c>
      <c r="E378" s="2" t="n">
        <v>4</v>
      </c>
      <c r="F378" s="2" t="s">
        <v>50</v>
      </c>
      <c r="G378" s="3" t="n">
        <v>0</v>
      </c>
      <c r="H378" s="3" t="n">
        <v>1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1</v>
      </c>
      <c r="P378" s="3" t="n">
        <v>0</v>
      </c>
      <c r="Q378" s="3" t="n">
        <v>0</v>
      </c>
      <c r="R378" s="3" t="n">
        <v>0</v>
      </c>
      <c r="S378" s="3" t="n">
        <v>1</v>
      </c>
      <c r="T378" s="3" t="n">
        <v>0</v>
      </c>
      <c r="U378" s="3" t="n">
        <v>1</v>
      </c>
      <c r="V378" s="3" t="n">
        <v>0</v>
      </c>
      <c r="W378" s="3" t="n">
        <v>1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1</v>
      </c>
      <c r="AH378" s="3" t="n">
        <v>1</v>
      </c>
      <c r="AI378" s="3" t="n">
        <v>0</v>
      </c>
      <c r="AJ378" s="4" t="n">
        <f aca="false">SUM(G378:AI378)</f>
        <v>8</v>
      </c>
      <c r="AK378" s="4" t="n">
        <f aca="false">ROUND(SUMPRODUCT(G378:AI378,Gene_Weights!$B$2:$AD$2),3)</f>
        <v>-4.16</v>
      </c>
      <c r="AL378" s="2" t="n">
        <v>8</v>
      </c>
      <c r="AM378" s="2" t="n">
        <v>0</v>
      </c>
      <c r="AN378" s="2" t="n">
        <v>0</v>
      </c>
      <c r="AO378" s="5" t="n">
        <v>58.19</v>
      </c>
      <c r="AP378" s="5" t="n">
        <v>59.74</v>
      </c>
      <c r="AQ378" s="5" t="n">
        <v>61.3</v>
      </c>
      <c r="AR378" s="5" t="n">
        <v>62.86</v>
      </c>
      <c r="AS378" s="5" t="n">
        <v>64.42</v>
      </c>
      <c r="AT378" s="5" t="n">
        <v>65.98</v>
      </c>
      <c r="AU378" s="5" t="n">
        <v>67.53</v>
      </c>
      <c r="AV378" s="5" t="s">
        <v>51</v>
      </c>
    </row>
    <row r="379" customFormat="false" ht="15" hidden="false" customHeight="false" outlineLevel="0" collapsed="false">
      <c r="A379" s="2" t="s">
        <v>118</v>
      </c>
      <c r="B379" s="2" t="n">
        <v>2000</v>
      </c>
      <c r="C379" s="2" t="s">
        <v>56</v>
      </c>
      <c r="D379" s="2" t="n">
        <v>1</v>
      </c>
      <c r="E379" s="2" t="n">
        <v>2</v>
      </c>
      <c r="F379" s="2" t="s">
        <v>50</v>
      </c>
      <c r="G379" s="3" t="n">
        <v>0</v>
      </c>
      <c r="H379" s="3" t="n">
        <v>1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1</v>
      </c>
      <c r="P379" s="3" t="n">
        <v>0</v>
      </c>
      <c r="Q379" s="3" t="n">
        <v>0</v>
      </c>
      <c r="R379" s="3" t="n">
        <v>0</v>
      </c>
      <c r="S379" s="3" t="n">
        <v>1</v>
      </c>
      <c r="T379" s="3" t="n">
        <v>0</v>
      </c>
      <c r="U379" s="3" t="n">
        <v>1</v>
      </c>
      <c r="V379" s="3" t="n">
        <v>0</v>
      </c>
      <c r="W379" s="3" t="n">
        <v>1</v>
      </c>
      <c r="X379" s="3" t="n">
        <v>0</v>
      </c>
      <c r="Y379" s="3" t="n">
        <v>1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1</v>
      </c>
      <c r="AH379" s="3" t="n">
        <v>1</v>
      </c>
      <c r="AI379" s="3" t="n">
        <v>0</v>
      </c>
      <c r="AJ379" s="4" t="n">
        <f aca="false">SUM(G379:AI379)</f>
        <v>8</v>
      </c>
      <c r="AK379" s="4" t="n">
        <f aca="false">ROUND(SUMPRODUCT(G379:AI379,Gene_Weights!$B$2:$AD$2),3)</f>
        <v>-4.16</v>
      </c>
      <c r="AL379" s="2" t="n">
        <v>8</v>
      </c>
      <c r="AM379" s="2" t="n">
        <v>2</v>
      </c>
      <c r="AN379" s="2" t="n">
        <v>25</v>
      </c>
      <c r="AO379" s="5" t="n">
        <v>75.59</v>
      </c>
      <c r="AP379" s="5" t="n">
        <v>78.01</v>
      </c>
      <c r="AQ379" s="5" t="n">
        <v>80.42</v>
      </c>
      <c r="AR379" s="5" t="n">
        <v>82.83</v>
      </c>
      <c r="AS379" s="5" t="n">
        <v>85.24</v>
      </c>
      <c r="AT379" s="5" t="n">
        <v>87.66</v>
      </c>
      <c r="AU379" s="5" t="n">
        <v>90.07</v>
      </c>
      <c r="AV379" s="5" t="s">
        <v>51</v>
      </c>
    </row>
    <row r="380" customFormat="false" ht="15" hidden="false" customHeight="false" outlineLevel="0" collapsed="false">
      <c r="A380" s="2" t="s">
        <v>119</v>
      </c>
      <c r="B380" s="2" t="n">
        <v>2002</v>
      </c>
      <c r="C380" s="2" t="s">
        <v>49</v>
      </c>
      <c r="D380" s="2" t="n">
        <v>0</v>
      </c>
      <c r="E380" s="2" t="n">
        <v>4</v>
      </c>
      <c r="F380" s="2" t="s">
        <v>50</v>
      </c>
      <c r="G380" s="3" t="n">
        <v>0</v>
      </c>
      <c r="H380" s="3" t="n">
        <v>1</v>
      </c>
      <c r="I380" s="3" t="n">
        <v>0</v>
      </c>
      <c r="J380" s="3" t="n">
        <v>1</v>
      </c>
      <c r="K380" s="3" t="n">
        <v>0</v>
      </c>
      <c r="L380" s="3" t="n">
        <v>1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1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1</v>
      </c>
      <c r="W380" s="3" t="n">
        <v>0</v>
      </c>
      <c r="X380" s="3" t="n">
        <v>1</v>
      </c>
      <c r="Y380" s="3" t="n">
        <v>1</v>
      </c>
      <c r="Z380" s="3" t="n">
        <v>1</v>
      </c>
      <c r="AA380" s="3" t="n">
        <v>1</v>
      </c>
      <c r="AB380" s="3" t="n">
        <v>0</v>
      </c>
      <c r="AC380" s="3" t="n">
        <v>1</v>
      </c>
      <c r="AD380" s="3" t="n">
        <v>1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1</v>
      </c>
      <c r="AJ380" s="4" t="n">
        <f aca="false">SUM(G380:AI380)</f>
        <v>12</v>
      </c>
      <c r="AK380" s="4" t="n">
        <f aca="false">ROUND(SUMPRODUCT(G380:AI380,Gene_Weights!$B$2:$AD$2),3)</f>
        <v>-11.23</v>
      </c>
      <c r="AL380" s="2" t="n">
        <v>5</v>
      </c>
      <c r="AM380" s="2" t="n">
        <v>1</v>
      </c>
      <c r="AN380" s="2" t="n">
        <v>20</v>
      </c>
      <c r="AO380" s="5" t="n">
        <v>55.12</v>
      </c>
      <c r="AP380" s="5" t="n">
        <v>56.02</v>
      </c>
      <c r="AQ380" s="5" t="n">
        <v>56.92</v>
      </c>
      <c r="AR380" s="5" t="n">
        <v>57.82</v>
      </c>
      <c r="AS380" s="5" t="n">
        <v>58.72</v>
      </c>
      <c r="AT380" s="5" t="n">
        <v>59.62</v>
      </c>
      <c r="AU380" s="5" t="n">
        <v>60.52</v>
      </c>
      <c r="AV380" s="5" t="s">
        <v>51</v>
      </c>
    </row>
    <row r="381" customFormat="false" ht="15" hidden="false" customHeight="false" outlineLevel="0" collapsed="false">
      <c r="A381" s="2" t="s">
        <v>119</v>
      </c>
      <c r="B381" s="2" t="n">
        <v>2002</v>
      </c>
      <c r="C381" s="2" t="s">
        <v>52</v>
      </c>
      <c r="D381" s="2" t="n">
        <v>0</v>
      </c>
      <c r="E381" s="2" t="n">
        <v>2</v>
      </c>
      <c r="F381" s="2" t="s">
        <v>50</v>
      </c>
      <c r="G381" s="3" t="n">
        <v>0</v>
      </c>
      <c r="H381" s="3" t="n">
        <v>1</v>
      </c>
      <c r="I381" s="3" t="n">
        <v>0</v>
      </c>
      <c r="J381" s="3" t="n">
        <v>1</v>
      </c>
      <c r="K381" s="3" t="n">
        <v>0</v>
      </c>
      <c r="L381" s="3" t="n">
        <v>1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1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1</v>
      </c>
      <c r="W381" s="3" t="n">
        <v>0</v>
      </c>
      <c r="X381" s="3" t="n">
        <v>1</v>
      </c>
      <c r="Y381" s="3" t="n">
        <v>1</v>
      </c>
      <c r="Z381" s="3" t="n">
        <v>1</v>
      </c>
      <c r="AA381" s="3" t="n">
        <v>1</v>
      </c>
      <c r="AB381" s="3" t="n">
        <v>0</v>
      </c>
      <c r="AC381" s="3" t="n">
        <v>1</v>
      </c>
      <c r="AD381" s="3" t="n">
        <v>1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1</v>
      </c>
      <c r="AJ381" s="4" t="n">
        <f aca="false">SUM(G381:AI381)</f>
        <v>12</v>
      </c>
      <c r="AK381" s="4" t="n">
        <f aca="false">ROUND(SUMPRODUCT(G381:AI381,Gene_Weights!$B$2:$AD$2),3)</f>
        <v>-11.23</v>
      </c>
      <c r="AL381" s="2" t="n">
        <v>5</v>
      </c>
      <c r="AM381" s="2" t="n">
        <v>3</v>
      </c>
      <c r="AN381" s="2" t="n">
        <v>60</v>
      </c>
      <c r="AO381" s="5" t="n">
        <v>64.53</v>
      </c>
      <c r="AP381" s="5" t="n">
        <v>66.13</v>
      </c>
      <c r="AQ381" s="5" t="n">
        <v>67.73</v>
      </c>
      <c r="AR381" s="5" t="n">
        <v>69.33</v>
      </c>
      <c r="AS381" s="5" t="n">
        <v>70.93</v>
      </c>
      <c r="AT381" s="5" t="n">
        <v>72.53</v>
      </c>
      <c r="AU381" s="5" t="n">
        <v>74.13</v>
      </c>
      <c r="AV381" s="5" t="s">
        <v>51</v>
      </c>
    </row>
    <row r="382" customFormat="false" ht="15" hidden="false" customHeight="false" outlineLevel="0" collapsed="false">
      <c r="A382" s="2" t="s">
        <v>119</v>
      </c>
      <c r="B382" s="2" t="n">
        <v>2002</v>
      </c>
      <c r="C382" s="2" t="s">
        <v>53</v>
      </c>
      <c r="D382" s="2" t="n">
        <v>0</v>
      </c>
      <c r="E382" s="2" t="n">
        <v>2</v>
      </c>
      <c r="F382" s="2" t="s">
        <v>50</v>
      </c>
      <c r="G382" s="3" t="n">
        <v>0</v>
      </c>
      <c r="H382" s="3" t="n">
        <v>1</v>
      </c>
      <c r="I382" s="3" t="n">
        <v>0</v>
      </c>
      <c r="J382" s="3" t="n">
        <v>1</v>
      </c>
      <c r="K382" s="3" t="n">
        <v>0</v>
      </c>
      <c r="L382" s="3" t="n">
        <v>1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1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1</v>
      </c>
      <c r="W382" s="3" t="n">
        <v>0</v>
      </c>
      <c r="X382" s="3" t="n">
        <v>1</v>
      </c>
      <c r="Y382" s="3" t="n">
        <v>1</v>
      </c>
      <c r="Z382" s="3" t="n">
        <v>1</v>
      </c>
      <c r="AA382" s="3" t="n">
        <v>1</v>
      </c>
      <c r="AB382" s="3" t="n">
        <v>0</v>
      </c>
      <c r="AC382" s="3" t="n">
        <v>1</v>
      </c>
      <c r="AD382" s="3" t="n">
        <v>1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1</v>
      </c>
      <c r="AJ382" s="4" t="n">
        <f aca="false">SUM(G382:AI382)</f>
        <v>12</v>
      </c>
      <c r="AK382" s="4" t="n">
        <f aca="false">ROUND(SUMPRODUCT(G382:AI382,Gene_Weights!$B$2:$AD$2),3)</f>
        <v>-11.23</v>
      </c>
      <c r="AL382" s="2" t="n">
        <v>5</v>
      </c>
      <c r="AM382" s="2" t="n">
        <v>0</v>
      </c>
      <c r="AN382" s="2" t="n">
        <v>0</v>
      </c>
      <c r="AO382" s="5" t="n">
        <v>52.86</v>
      </c>
      <c r="AP382" s="5" t="n">
        <v>53.65</v>
      </c>
      <c r="AQ382" s="5" t="n">
        <v>54.45</v>
      </c>
      <c r="AR382" s="5" t="n">
        <v>55.24</v>
      </c>
      <c r="AS382" s="5" t="n">
        <v>56.03</v>
      </c>
      <c r="AT382" s="5" t="n">
        <v>56.83</v>
      </c>
      <c r="AU382" s="5" t="n">
        <v>57.62</v>
      </c>
      <c r="AV382" s="5" t="s">
        <v>51</v>
      </c>
    </row>
    <row r="383" customFormat="false" ht="15" hidden="false" customHeight="false" outlineLevel="0" collapsed="false">
      <c r="A383" s="2" t="s">
        <v>119</v>
      </c>
      <c r="B383" s="2" t="n">
        <v>2002</v>
      </c>
      <c r="C383" s="2" t="s">
        <v>54</v>
      </c>
      <c r="D383" s="2" t="n">
        <v>0</v>
      </c>
      <c r="E383" s="2" t="n">
        <v>4</v>
      </c>
      <c r="F383" s="2" t="s">
        <v>50</v>
      </c>
      <c r="G383" s="3" t="n">
        <v>0</v>
      </c>
      <c r="H383" s="3" t="n">
        <v>1</v>
      </c>
      <c r="I383" s="3" t="n">
        <v>0</v>
      </c>
      <c r="J383" s="3" t="n">
        <v>1</v>
      </c>
      <c r="K383" s="3" t="n">
        <v>0</v>
      </c>
      <c r="L383" s="3" t="n">
        <v>1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1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1</v>
      </c>
      <c r="W383" s="3" t="n">
        <v>0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0</v>
      </c>
      <c r="AC383" s="3" t="n">
        <v>1</v>
      </c>
      <c r="AD383" s="3" t="n">
        <v>1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1</v>
      </c>
      <c r="AJ383" s="4" t="n">
        <f aca="false">SUM(G383:AI383)</f>
        <v>12</v>
      </c>
      <c r="AK383" s="4" t="n">
        <f aca="false">ROUND(SUMPRODUCT(G383:AI383,Gene_Weights!$B$2:$AD$2),3)</f>
        <v>-11.23</v>
      </c>
      <c r="AL383" s="2" t="n">
        <v>5</v>
      </c>
      <c r="AM383" s="2" t="n">
        <v>2</v>
      </c>
      <c r="AN383" s="2" t="n">
        <v>40</v>
      </c>
      <c r="AO383" s="5" t="n">
        <v>81.84</v>
      </c>
      <c r="AP383" s="5" t="n">
        <v>84.45</v>
      </c>
      <c r="AQ383" s="5" t="n">
        <v>87.06</v>
      </c>
      <c r="AR383" s="5" t="n">
        <v>89.67</v>
      </c>
      <c r="AS383" s="5" t="n">
        <v>92.27</v>
      </c>
      <c r="AT383" s="5" t="n">
        <v>94.88</v>
      </c>
      <c r="AU383" s="5" t="n">
        <v>97.49</v>
      </c>
      <c r="AV383" s="5" t="s">
        <v>51</v>
      </c>
    </row>
    <row r="384" customFormat="false" ht="15" hidden="false" customHeight="false" outlineLevel="0" collapsed="false">
      <c r="A384" s="2" t="s">
        <v>119</v>
      </c>
      <c r="B384" s="2" t="n">
        <v>2002</v>
      </c>
      <c r="C384" s="2" t="s">
        <v>55</v>
      </c>
      <c r="D384" s="2" t="n">
        <v>0</v>
      </c>
      <c r="E384" s="2" t="n">
        <v>2</v>
      </c>
      <c r="F384" s="2" t="s">
        <v>50</v>
      </c>
      <c r="G384" s="3" t="n">
        <v>0</v>
      </c>
      <c r="H384" s="3" t="n">
        <v>1</v>
      </c>
      <c r="I384" s="3" t="n">
        <v>0</v>
      </c>
      <c r="J384" s="3" t="n">
        <v>1</v>
      </c>
      <c r="K384" s="3" t="n">
        <v>0</v>
      </c>
      <c r="L384" s="3" t="n">
        <v>1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1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1</v>
      </c>
      <c r="W384" s="3" t="n">
        <v>0</v>
      </c>
      <c r="X384" s="3" t="n">
        <v>1</v>
      </c>
      <c r="Y384" s="3" t="n">
        <v>1</v>
      </c>
      <c r="Z384" s="3" t="n">
        <v>1</v>
      </c>
      <c r="AA384" s="3" t="n">
        <v>1</v>
      </c>
      <c r="AB384" s="3" t="n">
        <v>0</v>
      </c>
      <c r="AC384" s="3" t="n">
        <v>1</v>
      </c>
      <c r="AD384" s="3" t="n">
        <v>1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1</v>
      </c>
      <c r="AJ384" s="4" t="n">
        <f aca="false">SUM(G384:AI384)</f>
        <v>12</v>
      </c>
      <c r="AK384" s="4" t="n">
        <f aca="false">ROUND(SUMPRODUCT(G384:AI384,Gene_Weights!$B$2:$AD$2),3)</f>
        <v>-11.23</v>
      </c>
      <c r="AL384" s="2" t="n">
        <v>5</v>
      </c>
      <c r="AM384" s="2" t="n">
        <v>2</v>
      </c>
      <c r="AN384" s="2" t="n">
        <v>40</v>
      </c>
      <c r="AO384" s="5" t="n">
        <v>58.19</v>
      </c>
      <c r="AP384" s="5" t="n">
        <v>59.74</v>
      </c>
      <c r="AQ384" s="5" t="n">
        <v>61.3</v>
      </c>
      <c r="AR384" s="5" t="n">
        <v>62.86</v>
      </c>
      <c r="AS384" s="5" t="n">
        <v>64.42</v>
      </c>
      <c r="AT384" s="5" t="n">
        <v>65.98</v>
      </c>
      <c r="AU384" s="5" t="n">
        <v>67.53</v>
      </c>
      <c r="AV384" s="5" t="s">
        <v>51</v>
      </c>
    </row>
    <row r="385" customFormat="false" ht="15" hidden="false" customHeight="false" outlineLevel="0" collapsed="false">
      <c r="A385" s="2" t="s">
        <v>119</v>
      </c>
      <c r="B385" s="2" t="n">
        <v>2002</v>
      </c>
      <c r="C385" s="2" t="s">
        <v>56</v>
      </c>
      <c r="D385" s="2" t="n">
        <v>0</v>
      </c>
      <c r="E385" s="2" t="n">
        <v>32</v>
      </c>
      <c r="F385" s="2" t="s">
        <v>50</v>
      </c>
      <c r="G385" s="3" t="n">
        <v>0</v>
      </c>
      <c r="H385" s="3" t="n">
        <v>1</v>
      </c>
      <c r="I385" s="3" t="n">
        <v>0</v>
      </c>
      <c r="J385" s="3" t="n">
        <v>1</v>
      </c>
      <c r="K385" s="3" t="n">
        <v>0</v>
      </c>
      <c r="L385" s="3" t="n">
        <v>1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1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1</v>
      </c>
      <c r="W385" s="3" t="n">
        <v>0</v>
      </c>
      <c r="X385" s="3" t="n">
        <v>1</v>
      </c>
      <c r="Y385" s="3" t="n">
        <v>1</v>
      </c>
      <c r="Z385" s="3" t="n">
        <v>1</v>
      </c>
      <c r="AA385" s="3" t="n">
        <v>1</v>
      </c>
      <c r="AB385" s="3" t="n">
        <v>0</v>
      </c>
      <c r="AC385" s="3" t="n">
        <v>1</v>
      </c>
      <c r="AD385" s="3" t="n">
        <v>1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1</v>
      </c>
      <c r="AJ385" s="4" t="n">
        <f aca="false">SUM(G385:AI385)</f>
        <v>12</v>
      </c>
      <c r="AK385" s="4" t="n">
        <f aca="false">ROUND(SUMPRODUCT(G385:AI385,Gene_Weights!$B$2:$AD$2),3)</f>
        <v>-11.23</v>
      </c>
      <c r="AL385" s="2" t="n">
        <v>5</v>
      </c>
      <c r="AM385" s="2" t="n">
        <v>2</v>
      </c>
      <c r="AN385" s="2" t="n">
        <v>40</v>
      </c>
      <c r="AO385" s="5" t="n">
        <v>75.59</v>
      </c>
      <c r="AP385" s="5" t="n">
        <v>78.01</v>
      </c>
      <c r="AQ385" s="5" t="n">
        <v>80.42</v>
      </c>
      <c r="AR385" s="5" t="n">
        <v>82.83</v>
      </c>
      <c r="AS385" s="5" t="n">
        <v>85.24</v>
      </c>
      <c r="AT385" s="5" t="n">
        <v>87.66</v>
      </c>
      <c r="AU385" s="5" t="n">
        <v>90.07</v>
      </c>
      <c r="AV385" s="5" t="s">
        <v>51</v>
      </c>
    </row>
    <row r="386" customFormat="false" ht="15" hidden="false" customHeight="false" outlineLevel="0" collapsed="false">
      <c r="A386" s="2" t="s">
        <v>120</v>
      </c>
      <c r="B386" s="2" t="n">
        <v>2008</v>
      </c>
      <c r="C386" s="2" t="s">
        <v>49</v>
      </c>
      <c r="D386" s="2" t="n">
        <v>0</v>
      </c>
      <c r="E386" s="2" t="n">
        <v>2</v>
      </c>
      <c r="F386" s="2" t="s">
        <v>50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n">
        <v>0</v>
      </c>
      <c r="U386" s="3" t="n">
        <v>1</v>
      </c>
      <c r="V386" s="3" t="n">
        <v>1</v>
      </c>
      <c r="W386" s="3" t="n">
        <v>0</v>
      </c>
      <c r="X386" s="3" t="n">
        <v>1</v>
      </c>
      <c r="Y386" s="3" t="n">
        <v>0</v>
      </c>
      <c r="Z386" s="3" t="n">
        <v>1</v>
      </c>
      <c r="AA386" s="3" t="n">
        <v>0</v>
      </c>
      <c r="AB386" s="3" t="n">
        <v>1</v>
      </c>
      <c r="AC386" s="3" t="n">
        <v>0</v>
      </c>
      <c r="AD386" s="3" t="n">
        <v>1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4" t="n">
        <f aca="false">SUM(G386:AI386)</f>
        <v>7</v>
      </c>
      <c r="AK386" s="4" t="n">
        <f aca="false">ROUND(SUMPRODUCT(G386:AI386,Gene_Weights!$B$2:$AD$2),3)</f>
        <v>-3.8</v>
      </c>
      <c r="AL386" s="2" t="n">
        <v>5</v>
      </c>
      <c r="AM386" s="2" t="n">
        <v>3</v>
      </c>
      <c r="AN386" s="2" t="n">
        <v>60</v>
      </c>
      <c r="AO386" s="5" t="n">
        <v>55.12</v>
      </c>
      <c r="AP386" s="5" t="n">
        <v>56.02</v>
      </c>
      <c r="AQ386" s="5" t="n">
        <v>56.92</v>
      </c>
      <c r="AR386" s="5" t="n">
        <v>57.82</v>
      </c>
      <c r="AS386" s="5" t="n">
        <v>58.72</v>
      </c>
      <c r="AT386" s="5" t="n">
        <v>59.62</v>
      </c>
      <c r="AU386" s="5" t="n">
        <v>60.52</v>
      </c>
      <c r="AV386" s="5" t="s">
        <v>51</v>
      </c>
    </row>
    <row r="387" customFormat="false" ht="15" hidden="false" customHeight="false" outlineLevel="0" collapsed="false">
      <c r="A387" s="2" t="s">
        <v>120</v>
      </c>
      <c r="B387" s="2" t="n">
        <v>2008</v>
      </c>
      <c r="C387" s="2" t="s">
        <v>52</v>
      </c>
      <c r="D387" s="2" t="n">
        <v>1</v>
      </c>
      <c r="E387" s="2" t="n">
        <v>32</v>
      </c>
      <c r="F387" s="2" t="s">
        <v>50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1</v>
      </c>
      <c r="T387" s="3" t="n">
        <v>0</v>
      </c>
      <c r="U387" s="3" t="n">
        <v>1</v>
      </c>
      <c r="V387" s="3" t="n">
        <v>1</v>
      </c>
      <c r="W387" s="3" t="n">
        <v>0</v>
      </c>
      <c r="X387" s="3" t="n">
        <v>1</v>
      </c>
      <c r="Y387" s="3" t="n">
        <v>0</v>
      </c>
      <c r="Z387" s="3" t="n">
        <v>1</v>
      </c>
      <c r="AA387" s="3" t="n">
        <v>0</v>
      </c>
      <c r="AB387" s="3" t="n">
        <v>1</v>
      </c>
      <c r="AC387" s="3" t="n">
        <v>0</v>
      </c>
      <c r="AD387" s="3" t="n">
        <v>1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4" t="n">
        <f aca="false">SUM(G387:AI387)</f>
        <v>7</v>
      </c>
      <c r="AK387" s="4" t="n">
        <f aca="false">ROUND(SUMPRODUCT(G387:AI387,Gene_Weights!$B$2:$AD$2),3)</f>
        <v>-3.8</v>
      </c>
      <c r="AL387" s="2" t="n">
        <v>5</v>
      </c>
      <c r="AM387" s="2" t="n">
        <v>1</v>
      </c>
      <c r="AN387" s="2" t="n">
        <v>20</v>
      </c>
      <c r="AO387" s="5" t="n">
        <v>64.53</v>
      </c>
      <c r="AP387" s="5" t="n">
        <v>66.13</v>
      </c>
      <c r="AQ387" s="5" t="n">
        <v>67.73</v>
      </c>
      <c r="AR387" s="5" t="n">
        <v>69.33</v>
      </c>
      <c r="AS387" s="5" t="n">
        <v>70.93</v>
      </c>
      <c r="AT387" s="5" t="n">
        <v>72.53</v>
      </c>
      <c r="AU387" s="5" t="n">
        <v>74.13</v>
      </c>
      <c r="AV387" s="5" t="s">
        <v>51</v>
      </c>
    </row>
    <row r="388" customFormat="false" ht="15" hidden="false" customHeight="false" outlineLevel="0" collapsed="false">
      <c r="A388" s="2" t="s">
        <v>120</v>
      </c>
      <c r="B388" s="2" t="n">
        <v>2008</v>
      </c>
      <c r="C388" s="2" t="s">
        <v>53</v>
      </c>
      <c r="D388" s="2" t="n">
        <v>0</v>
      </c>
      <c r="E388" s="2" t="n">
        <v>2</v>
      </c>
      <c r="F388" s="2" t="s">
        <v>50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1</v>
      </c>
      <c r="T388" s="3" t="n">
        <v>0</v>
      </c>
      <c r="U388" s="3" t="n">
        <v>1</v>
      </c>
      <c r="V388" s="3" t="n">
        <v>1</v>
      </c>
      <c r="W388" s="3" t="n">
        <v>0</v>
      </c>
      <c r="X388" s="3" t="n">
        <v>1</v>
      </c>
      <c r="Y388" s="3" t="n">
        <v>0</v>
      </c>
      <c r="Z388" s="3" t="n">
        <v>1</v>
      </c>
      <c r="AA388" s="3" t="n">
        <v>0</v>
      </c>
      <c r="AB388" s="3" t="n">
        <v>1</v>
      </c>
      <c r="AC388" s="3" t="n">
        <v>0</v>
      </c>
      <c r="AD388" s="3" t="n">
        <v>1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4" t="n">
        <f aca="false">SUM(G388:AI388)</f>
        <v>7</v>
      </c>
      <c r="AK388" s="4" t="n">
        <f aca="false">ROUND(SUMPRODUCT(G388:AI388,Gene_Weights!$B$2:$AD$2),3)</f>
        <v>-3.8</v>
      </c>
      <c r="AL388" s="2" t="n">
        <v>5</v>
      </c>
      <c r="AM388" s="2" t="n">
        <v>2</v>
      </c>
      <c r="AN388" s="2" t="n">
        <v>40</v>
      </c>
      <c r="AO388" s="5" t="n">
        <v>52.86</v>
      </c>
      <c r="AP388" s="5" t="n">
        <v>53.65</v>
      </c>
      <c r="AQ388" s="5" t="n">
        <v>54.45</v>
      </c>
      <c r="AR388" s="5" t="n">
        <v>55.24</v>
      </c>
      <c r="AS388" s="5" t="n">
        <v>56.03</v>
      </c>
      <c r="AT388" s="5" t="n">
        <v>56.83</v>
      </c>
      <c r="AU388" s="5" t="n">
        <v>57.62</v>
      </c>
      <c r="AV388" s="5" t="s">
        <v>51</v>
      </c>
    </row>
    <row r="389" customFormat="false" ht="15" hidden="false" customHeight="false" outlineLevel="0" collapsed="false">
      <c r="A389" s="2" t="s">
        <v>120</v>
      </c>
      <c r="B389" s="2" t="n">
        <v>2008</v>
      </c>
      <c r="C389" s="2" t="s">
        <v>54</v>
      </c>
      <c r="D389" s="2" t="n">
        <v>0</v>
      </c>
      <c r="E389" s="2" t="n">
        <v>32</v>
      </c>
      <c r="F389" s="2" t="s">
        <v>50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1</v>
      </c>
      <c r="T389" s="3" t="n">
        <v>0</v>
      </c>
      <c r="U389" s="3" t="n">
        <v>1</v>
      </c>
      <c r="V389" s="3" t="n">
        <v>1</v>
      </c>
      <c r="W389" s="3" t="n">
        <v>0</v>
      </c>
      <c r="X389" s="3" t="n">
        <v>1</v>
      </c>
      <c r="Y389" s="3" t="n">
        <v>0</v>
      </c>
      <c r="Z389" s="3" t="n">
        <v>1</v>
      </c>
      <c r="AA389" s="3" t="n">
        <v>0</v>
      </c>
      <c r="AB389" s="3" t="n">
        <v>1</v>
      </c>
      <c r="AC389" s="3" t="n">
        <v>0</v>
      </c>
      <c r="AD389" s="3" t="n">
        <v>1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4" t="n">
        <f aca="false">SUM(G389:AI389)</f>
        <v>7</v>
      </c>
      <c r="AK389" s="4" t="n">
        <f aca="false">ROUND(SUMPRODUCT(G389:AI389,Gene_Weights!$B$2:$AD$2),3)</f>
        <v>-3.8</v>
      </c>
      <c r="AL389" s="2" t="n">
        <v>5</v>
      </c>
      <c r="AM389" s="2" t="n">
        <v>2</v>
      </c>
      <c r="AN389" s="2" t="n">
        <v>40</v>
      </c>
      <c r="AO389" s="5" t="n">
        <v>81.84</v>
      </c>
      <c r="AP389" s="5" t="n">
        <v>84.45</v>
      </c>
      <c r="AQ389" s="5" t="n">
        <v>87.06</v>
      </c>
      <c r="AR389" s="5" t="n">
        <v>89.67</v>
      </c>
      <c r="AS389" s="5" t="n">
        <v>92.27</v>
      </c>
      <c r="AT389" s="5" t="n">
        <v>94.88</v>
      </c>
      <c r="AU389" s="5" t="n">
        <v>97.49</v>
      </c>
      <c r="AV389" s="5" t="s">
        <v>51</v>
      </c>
    </row>
    <row r="390" customFormat="false" ht="15" hidden="false" customHeight="false" outlineLevel="0" collapsed="false">
      <c r="A390" s="2" t="s">
        <v>120</v>
      </c>
      <c r="B390" s="2" t="n">
        <v>2008</v>
      </c>
      <c r="C390" s="2" t="s">
        <v>55</v>
      </c>
      <c r="D390" s="2" t="n">
        <v>1</v>
      </c>
      <c r="E390" s="2" t="n">
        <v>16</v>
      </c>
      <c r="F390" s="2" t="s">
        <v>50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</v>
      </c>
      <c r="T390" s="3" t="n">
        <v>0</v>
      </c>
      <c r="U390" s="3" t="n">
        <v>1</v>
      </c>
      <c r="V390" s="3" t="n">
        <v>1</v>
      </c>
      <c r="W390" s="3" t="n">
        <v>0</v>
      </c>
      <c r="X390" s="3" t="n">
        <v>1</v>
      </c>
      <c r="Y390" s="3" t="n">
        <v>0</v>
      </c>
      <c r="Z390" s="3" t="n">
        <v>1</v>
      </c>
      <c r="AA390" s="3" t="n">
        <v>0</v>
      </c>
      <c r="AB390" s="3" t="n">
        <v>1</v>
      </c>
      <c r="AC390" s="3" t="n">
        <v>0</v>
      </c>
      <c r="AD390" s="3" t="n">
        <v>1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4" t="n">
        <f aca="false">SUM(G390:AI390)</f>
        <v>7</v>
      </c>
      <c r="AK390" s="4" t="n">
        <f aca="false">ROUND(SUMPRODUCT(G390:AI390,Gene_Weights!$B$2:$AD$2),3)</f>
        <v>-3.8</v>
      </c>
      <c r="AL390" s="2" t="n">
        <v>5</v>
      </c>
      <c r="AM390" s="2" t="n">
        <v>2</v>
      </c>
      <c r="AN390" s="2" t="n">
        <v>40</v>
      </c>
      <c r="AO390" s="5" t="n">
        <v>58.19</v>
      </c>
      <c r="AP390" s="5" t="n">
        <v>59.74</v>
      </c>
      <c r="AQ390" s="5" t="n">
        <v>61.3</v>
      </c>
      <c r="AR390" s="5" t="n">
        <v>62.86</v>
      </c>
      <c r="AS390" s="5" t="n">
        <v>64.42</v>
      </c>
      <c r="AT390" s="5" t="n">
        <v>65.98</v>
      </c>
      <c r="AU390" s="5" t="n">
        <v>67.53</v>
      </c>
      <c r="AV390" s="5" t="s">
        <v>51</v>
      </c>
    </row>
    <row r="391" customFormat="false" ht="15" hidden="false" customHeight="false" outlineLevel="0" collapsed="false">
      <c r="A391" s="2" t="s">
        <v>120</v>
      </c>
      <c r="B391" s="2" t="n">
        <v>2008</v>
      </c>
      <c r="C391" s="2" t="s">
        <v>56</v>
      </c>
      <c r="D391" s="2" t="n">
        <v>0</v>
      </c>
      <c r="E391" s="2" t="n">
        <v>4</v>
      </c>
      <c r="F391" s="2" t="s">
        <v>50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1</v>
      </c>
      <c r="T391" s="3" t="n">
        <v>0</v>
      </c>
      <c r="U391" s="3" t="n">
        <v>1</v>
      </c>
      <c r="V391" s="3" t="n">
        <v>1</v>
      </c>
      <c r="W391" s="3" t="n">
        <v>0</v>
      </c>
      <c r="X391" s="3" t="n">
        <v>1</v>
      </c>
      <c r="Y391" s="3" t="n">
        <v>0</v>
      </c>
      <c r="Z391" s="3" t="n">
        <v>1</v>
      </c>
      <c r="AA391" s="3" t="n">
        <v>0</v>
      </c>
      <c r="AB391" s="3" t="n">
        <v>1</v>
      </c>
      <c r="AC391" s="3" t="n">
        <v>0</v>
      </c>
      <c r="AD391" s="3" t="n">
        <v>1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4" t="n">
        <f aca="false">SUM(G391:AI391)</f>
        <v>7</v>
      </c>
      <c r="AK391" s="4" t="n">
        <f aca="false">ROUND(SUMPRODUCT(G391:AI391,Gene_Weights!$B$2:$AD$2),3)</f>
        <v>-3.8</v>
      </c>
      <c r="AL391" s="2" t="n">
        <v>5</v>
      </c>
      <c r="AM391" s="2" t="n">
        <v>3</v>
      </c>
      <c r="AN391" s="2" t="n">
        <v>60</v>
      </c>
      <c r="AO391" s="5" t="n">
        <v>75.59</v>
      </c>
      <c r="AP391" s="5" t="n">
        <v>78.01</v>
      </c>
      <c r="AQ391" s="5" t="n">
        <v>80.42</v>
      </c>
      <c r="AR391" s="5" t="n">
        <v>82.83</v>
      </c>
      <c r="AS391" s="5" t="n">
        <v>85.24</v>
      </c>
      <c r="AT391" s="5" t="n">
        <v>87.66</v>
      </c>
      <c r="AU391" s="5" t="n">
        <v>90.07</v>
      </c>
      <c r="AV391" s="5" t="s">
        <v>51</v>
      </c>
    </row>
    <row r="392" customFormat="false" ht="15" hidden="false" customHeight="false" outlineLevel="0" collapsed="false">
      <c r="A392" s="2" t="s">
        <v>121</v>
      </c>
      <c r="B392" s="2" t="n">
        <v>2023</v>
      </c>
      <c r="C392" s="2" t="s">
        <v>49</v>
      </c>
      <c r="D392" s="2" t="n">
        <v>0</v>
      </c>
      <c r="E392" s="2" t="n">
        <v>4</v>
      </c>
      <c r="F392" s="2" t="s">
        <v>50</v>
      </c>
      <c r="G392" s="3" t="n">
        <v>1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1</v>
      </c>
      <c r="M392" s="3" t="n">
        <v>1</v>
      </c>
      <c r="N392" s="3" t="n">
        <v>0</v>
      </c>
      <c r="O392" s="3" t="n">
        <v>1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1</v>
      </c>
      <c r="U392" s="3" t="n">
        <v>0</v>
      </c>
      <c r="V392" s="3" t="n">
        <v>1</v>
      </c>
      <c r="W392" s="3" t="n">
        <v>0</v>
      </c>
      <c r="X392" s="3" t="n">
        <v>1</v>
      </c>
      <c r="Y392" s="3" t="n">
        <v>0</v>
      </c>
      <c r="Z392" s="3" t="n">
        <v>0</v>
      </c>
      <c r="AA392" s="3" t="n">
        <v>0</v>
      </c>
      <c r="AB392" s="3" t="n">
        <v>1</v>
      </c>
      <c r="AC392" s="3" t="n">
        <v>1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4" t="n">
        <f aca="false">SUM(G392:AI392)</f>
        <v>9</v>
      </c>
      <c r="AK392" s="4" t="n">
        <f aca="false">ROUND(SUMPRODUCT(G392:AI392,Gene_Weights!$B$2:$AD$2),3)</f>
        <v>-6.42</v>
      </c>
      <c r="AL392" s="2" t="n">
        <v>9</v>
      </c>
      <c r="AM392" s="2" t="n">
        <v>5</v>
      </c>
      <c r="AN392" s="2" t="n">
        <v>55.56</v>
      </c>
      <c r="AO392" s="5" t="n">
        <v>55.12</v>
      </c>
      <c r="AP392" s="5" t="n">
        <v>56.02</v>
      </c>
      <c r="AQ392" s="5" t="n">
        <v>56.92</v>
      </c>
      <c r="AR392" s="5" t="n">
        <v>57.82</v>
      </c>
      <c r="AS392" s="5" t="n">
        <v>58.72</v>
      </c>
      <c r="AT392" s="5" t="n">
        <v>59.62</v>
      </c>
      <c r="AU392" s="5" t="n">
        <v>60.52</v>
      </c>
      <c r="AV392" s="5" t="s">
        <v>51</v>
      </c>
    </row>
    <row r="393" customFormat="false" ht="15" hidden="false" customHeight="false" outlineLevel="0" collapsed="false">
      <c r="A393" s="2" t="s">
        <v>121</v>
      </c>
      <c r="B393" s="2" t="n">
        <v>2023</v>
      </c>
      <c r="C393" s="2" t="s">
        <v>52</v>
      </c>
      <c r="D393" s="2" t="n">
        <v>1</v>
      </c>
      <c r="E393" s="2" t="n">
        <v>2</v>
      </c>
      <c r="F393" s="2" t="s">
        <v>50</v>
      </c>
      <c r="G393" s="3" t="n">
        <v>1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1</v>
      </c>
      <c r="M393" s="3" t="n">
        <v>1</v>
      </c>
      <c r="N393" s="3" t="n">
        <v>0</v>
      </c>
      <c r="O393" s="3" t="n">
        <v>1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1</v>
      </c>
      <c r="U393" s="3" t="n">
        <v>0</v>
      </c>
      <c r="V393" s="3" t="n">
        <v>1</v>
      </c>
      <c r="W393" s="3" t="n">
        <v>0</v>
      </c>
      <c r="X393" s="3" t="n">
        <v>1</v>
      </c>
      <c r="Y393" s="3" t="n">
        <v>0</v>
      </c>
      <c r="Z393" s="3" t="n">
        <v>0</v>
      </c>
      <c r="AA393" s="3" t="n">
        <v>0</v>
      </c>
      <c r="AB393" s="3" t="n">
        <v>1</v>
      </c>
      <c r="AC393" s="3" t="n">
        <v>1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4" t="n">
        <f aca="false">SUM(G393:AI393)</f>
        <v>9</v>
      </c>
      <c r="AK393" s="4" t="n">
        <f aca="false">ROUND(SUMPRODUCT(G393:AI393,Gene_Weights!$B$2:$AD$2),3)</f>
        <v>-6.42</v>
      </c>
      <c r="AL393" s="2" t="n">
        <v>9</v>
      </c>
      <c r="AM393" s="2" t="n">
        <v>7</v>
      </c>
      <c r="AN393" s="2" t="n">
        <v>77.78</v>
      </c>
      <c r="AO393" s="5" t="n">
        <v>64.53</v>
      </c>
      <c r="AP393" s="5" t="n">
        <v>66.13</v>
      </c>
      <c r="AQ393" s="5" t="n">
        <v>67.73</v>
      </c>
      <c r="AR393" s="5" t="n">
        <v>69.33</v>
      </c>
      <c r="AS393" s="5" t="n">
        <v>70.93</v>
      </c>
      <c r="AT393" s="5" t="n">
        <v>72.53</v>
      </c>
      <c r="AU393" s="5" t="n">
        <v>74.13</v>
      </c>
      <c r="AV393" s="5" t="s">
        <v>51</v>
      </c>
    </row>
    <row r="394" customFormat="false" ht="15" hidden="false" customHeight="false" outlineLevel="0" collapsed="false">
      <c r="A394" s="2" t="s">
        <v>121</v>
      </c>
      <c r="B394" s="2" t="n">
        <v>2023</v>
      </c>
      <c r="C394" s="2" t="s">
        <v>53</v>
      </c>
      <c r="D394" s="2" t="n">
        <v>1</v>
      </c>
      <c r="E394" s="2" t="n">
        <v>16</v>
      </c>
      <c r="F394" s="2" t="s">
        <v>50</v>
      </c>
      <c r="G394" s="3" t="n">
        <v>1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</v>
      </c>
      <c r="M394" s="3" t="n">
        <v>1</v>
      </c>
      <c r="N394" s="3" t="n">
        <v>0</v>
      </c>
      <c r="O394" s="3" t="n">
        <v>1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1</v>
      </c>
      <c r="U394" s="3" t="n">
        <v>0</v>
      </c>
      <c r="V394" s="3" t="n">
        <v>1</v>
      </c>
      <c r="W394" s="3" t="n">
        <v>0</v>
      </c>
      <c r="X394" s="3" t="n">
        <v>1</v>
      </c>
      <c r="Y394" s="3" t="n">
        <v>0</v>
      </c>
      <c r="Z394" s="3" t="n">
        <v>0</v>
      </c>
      <c r="AA394" s="3" t="n">
        <v>0</v>
      </c>
      <c r="AB394" s="3" t="n">
        <v>1</v>
      </c>
      <c r="AC394" s="3" t="n">
        <v>1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4" t="n">
        <f aca="false">SUM(G394:AI394)</f>
        <v>9</v>
      </c>
      <c r="AK394" s="4" t="n">
        <f aca="false">ROUND(SUMPRODUCT(G394:AI394,Gene_Weights!$B$2:$AD$2),3)</f>
        <v>-6.42</v>
      </c>
      <c r="AL394" s="2" t="n">
        <v>9</v>
      </c>
      <c r="AM394" s="2" t="n">
        <v>5</v>
      </c>
      <c r="AN394" s="2" t="n">
        <v>55.56</v>
      </c>
      <c r="AO394" s="5" t="n">
        <v>52.86</v>
      </c>
      <c r="AP394" s="5" t="n">
        <v>53.65</v>
      </c>
      <c r="AQ394" s="5" t="n">
        <v>54.45</v>
      </c>
      <c r="AR394" s="5" t="n">
        <v>55.24</v>
      </c>
      <c r="AS394" s="5" t="n">
        <v>56.03</v>
      </c>
      <c r="AT394" s="5" t="n">
        <v>56.83</v>
      </c>
      <c r="AU394" s="5" t="n">
        <v>57.62</v>
      </c>
      <c r="AV394" s="5" t="s">
        <v>51</v>
      </c>
    </row>
    <row r="395" customFormat="false" ht="15" hidden="false" customHeight="false" outlineLevel="0" collapsed="false">
      <c r="A395" s="2" t="s">
        <v>121</v>
      </c>
      <c r="B395" s="2" t="n">
        <v>2023</v>
      </c>
      <c r="C395" s="2" t="s">
        <v>54</v>
      </c>
      <c r="D395" s="2" t="n">
        <v>1</v>
      </c>
      <c r="E395" s="2" t="n">
        <v>16</v>
      </c>
      <c r="F395" s="2" t="s">
        <v>50</v>
      </c>
      <c r="G395" s="3" t="n">
        <v>1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1</v>
      </c>
      <c r="M395" s="3" t="n">
        <v>1</v>
      </c>
      <c r="N395" s="3" t="n">
        <v>0</v>
      </c>
      <c r="O395" s="3" t="n">
        <v>1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1</v>
      </c>
      <c r="U395" s="3" t="n">
        <v>0</v>
      </c>
      <c r="V395" s="3" t="n">
        <v>1</v>
      </c>
      <c r="W395" s="3" t="n">
        <v>0</v>
      </c>
      <c r="X395" s="3" t="n">
        <v>1</v>
      </c>
      <c r="Y395" s="3" t="n">
        <v>0</v>
      </c>
      <c r="Z395" s="3" t="n">
        <v>0</v>
      </c>
      <c r="AA395" s="3" t="n">
        <v>0</v>
      </c>
      <c r="AB395" s="3" t="n">
        <v>1</v>
      </c>
      <c r="AC395" s="3" t="n">
        <v>1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4" t="n">
        <f aca="false">SUM(G395:AI395)</f>
        <v>9</v>
      </c>
      <c r="AK395" s="4" t="n">
        <f aca="false">ROUND(SUMPRODUCT(G395:AI395,Gene_Weights!$B$2:$AD$2),3)</f>
        <v>-6.42</v>
      </c>
      <c r="AL395" s="2" t="n">
        <v>9</v>
      </c>
      <c r="AM395" s="2" t="n">
        <v>7</v>
      </c>
      <c r="AN395" s="2" t="n">
        <v>77.78</v>
      </c>
      <c r="AO395" s="5" t="n">
        <v>81.84</v>
      </c>
      <c r="AP395" s="5" t="n">
        <v>84.45</v>
      </c>
      <c r="AQ395" s="5" t="n">
        <v>87.06</v>
      </c>
      <c r="AR395" s="5" t="n">
        <v>89.67</v>
      </c>
      <c r="AS395" s="5" t="n">
        <v>92.27</v>
      </c>
      <c r="AT395" s="5" t="n">
        <v>94.88</v>
      </c>
      <c r="AU395" s="5" t="n">
        <v>97.49</v>
      </c>
      <c r="AV395" s="5" t="s">
        <v>51</v>
      </c>
    </row>
    <row r="396" customFormat="false" ht="15" hidden="false" customHeight="false" outlineLevel="0" collapsed="false">
      <c r="A396" s="2" t="s">
        <v>121</v>
      </c>
      <c r="B396" s="2" t="n">
        <v>2023</v>
      </c>
      <c r="C396" s="2" t="s">
        <v>55</v>
      </c>
      <c r="D396" s="2" t="n">
        <v>0</v>
      </c>
      <c r="E396" s="2" t="n">
        <v>16</v>
      </c>
      <c r="F396" s="2" t="s">
        <v>50</v>
      </c>
      <c r="G396" s="3" t="n">
        <v>1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1</v>
      </c>
      <c r="M396" s="3" t="n">
        <v>1</v>
      </c>
      <c r="N396" s="3" t="n">
        <v>0</v>
      </c>
      <c r="O396" s="3" t="n">
        <v>1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1</v>
      </c>
      <c r="U396" s="3" t="n">
        <v>0</v>
      </c>
      <c r="V396" s="3" t="n">
        <v>1</v>
      </c>
      <c r="W396" s="3" t="n">
        <v>0</v>
      </c>
      <c r="X396" s="3" t="n">
        <v>1</v>
      </c>
      <c r="Y396" s="3" t="n">
        <v>0</v>
      </c>
      <c r="Z396" s="3" t="n">
        <v>0</v>
      </c>
      <c r="AA396" s="3" t="n">
        <v>0</v>
      </c>
      <c r="AB396" s="3" t="n">
        <v>1</v>
      </c>
      <c r="AC396" s="3" t="n">
        <v>1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4" t="n">
        <f aca="false">SUM(G396:AI396)</f>
        <v>9</v>
      </c>
      <c r="AK396" s="4" t="n">
        <f aca="false">ROUND(SUMPRODUCT(G396:AI396,Gene_Weights!$B$2:$AD$2),3)</f>
        <v>-6.42</v>
      </c>
      <c r="AL396" s="2" t="n">
        <v>9</v>
      </c>
      <c r="AM396" s="2" t="n">
        <v>2</v>
      </c>
      <c r="AN396" s="2" t="n">
        <v>22.22</v>
      </c>
      <c r="AO396" s="5" t="n">
        <v>58.19</v>
      </c>
      <c r="AP396" s="5" t="n">
        <v>59.74</v>
      </c>
      <c r="AQ396" s="5" t="n">
        <v>61.3</v>
      </c>
      <c r="AR396" s="5" t="n">
        <v>62.86</v>
      </c>
      <c r="AS396" s="5" t="n">
        <v>64.42</v>
      </c>
      <c r="AT396" s="5" t="n">
        <v>65.98</v>
      </c>
      <c r="AU396" s="5" t="n">
        <v>67.53</v>
      </c>
      <c r="AV396" s="5" t="s">
        <v>51</v>
      </c>
    </row>
    <row r="397" customFormat="false" ht="15" hidden="false" customHeight="false" outlineLevel="0" collapsed="false">
      <c r="A397" s="2" t="s">
        <v>121</v>
      </c>
      <c r="B397" s="2" t="n">
        <v>2023</v>
      </c>
      <c r="C397" s="2" t="s">
        <v>56</v>
      </c>
      <c r="D397" s="2" t="n">
        <v>1</v>
      </c>
      <c r="E397" s="2" t="n">
        <v>16</v>
      </c>
      <c r="F397" s="2" t="s">
        <v>50</v>
      </c>
      <c r="G397" s="3" t="n">
        <v>1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1</v>
      </c>
      <c r="M397" s="3" t="n">
        <v>1</v>
      </c>
      <c r="N397" s="3" t="n">
        <v>0</v>
      </c>
      <c r="O397" s="3" t="n">
        <v>1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1</v>
      </c>
      <c r="U397" s="3" t="n">
        <v>0</v>
      </c>
      <c r="V397" s="3" t="n">
        <v>1</v>
      </c>
      <c r="W397" s="3" t="n">
        <v>0</v>
      </c>
      <c r="X397" s="3" t="n">
        <v>1</v>
      </c>
      <c r="Y397" s="3" t="n">
        <v>0</v>
      </c>
      <c r="Z397" s="3" t="n">
        <v>0</v>
      </c>
      <c r="AA397" s="3" t="n">
        <v>0</v>
      </c>
      <c r="AB397" s="3" t="n">
        <v>1</v>
      </c>
      <c r="AC397" s="3" t="n">
        <v>1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4" t="n">
        <f aca="false">SUM(G397:AI397)</f>
        <v>9</v>
      </c>
      <c r="AK397" s="4" t="n">
        <f aca="false">ROUND(SUMPRODUCT(G397:AI397,Gene_Weights!$B$2:$AD$2),3)</f>
        <v>-6.42</v>
      </c>
      <c r="AL397" s="2" t="n">
        <v>9</v>
      </c>
      <c r="AM397" s="2" t="n">
        <v>5</v>
      </c>
      <c r="AN397" s="2" t="n">
        <v>55.56</v>
      </c>
      <c r="AO397" s="5" t="n">
        <v>75.59</v>
      </c>
      <c r="AP397" s="5" t="n">
        <v>78.01</v>
      </c>
      <c r="AQ397" s="5" t="n">
        <v>80.42</v>
      </c>
      <c r="AR397" s="5" t="n">
        <v>82.83</v>
      </c>
      <c r="AS397" s="5" t="n">
        <v>85.24</v>
      </c>
      <c r="AT397" s="5" t="n">
        <v>87.66</v>
      </c>
      <c r="AU397" s="5" t="n">
        <v>90.07</v>
      </c>
      <c r="AV397" s="5" t="s">
        <v>51</v>
      </c>
    </row>
    <row r="398" customFormat="false" ht="15" hidden="false" customHeight="false" outlineLevel="0" collapsed="false">
      <c r="A398" s="2" t="s">
        <v>122</v>
      </c>
      <c r="B398" s="2" t="n">
        <v>2010</v>
      </c>
      <c r="C398" s="2" t="s">
        <v>49</v>
      </c>
      <c r="D398" s="2" t="n">
        <v>0</v>
      </c>
      <c r="E398" s="2" t="n">
        <v>4</v>
      </c>
      <c r="F398" s="2" t="s">
        <v>50</v>
      </c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n">
        <v>0</v>
      </c>
      <c r="N398" s="3" t="n">
        <v>1</v>
      </c>
      <c r="O398" s="3" t="n">
        <v>0</v>
      </c>
      <c r="P398" s="3" t="n">
        <v>1</v>
      </c>
      <c r="Q398" s="3" t="n">
        <v>0</v>
      </c>
      <c r="R398" s="3" t="n">
        <v>0</v>
      </c>
      <c r="S398" s="3" t="n">
        <v>1</v>
      </c>
      <c r="T398" s="3" t="n">
        <v>0</v>
      </c>
      <c r="U398" s="3" t="n">
        <v>0</v>
      </c>
      <c r="V398" s="3" t="n">
        <v>0</v>
      </c>
      <c r="W398" s="3" t="n">
        <v>1</v>
      </c>
      <c r="X398" s="3" t="n">
        <v>0</v>
      </c>
      <c r="Y398" s="3" t="n">
        <v>1</v>
      </c>
      <c r="Z398" s="3" t="n">
        <v>1</v>
      </c>
      <c r="AA398" s="3" t="n">
        <v>0</v>
      </c>
      <c r="AB398" s="3" t="n">
        <v>1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1</v>
      </c>
      <c r="AJ398" s="4" t="n">
        <f aca="false">SUM(G398:AI398)</f>
        <v>10</v>
      </c>
      <c r="AK398" s="4" t="n">
        <f aca="false">ROUND(SUMPRODUCT(G398:AI398,Gene_Weights!$B$2:$AD$2),3)</f>
        <v>-6.11</v>
      </c>
      <c r="AL398" s="2" t="n">
        <v>3</v>
      </c>
      <c r="AM398" s="2" t="n">
        <v>0</v>
      </c>
      <c r="AN398" s="2" t="n">
        <v>0</v>
      </c>
      <c r="AO398" s="5" t="n">
        <v>55.12</v>
      </c>
      <c r="AP398" s="5" t="n">
        <v>56.02</v>
      </c>
      <c r="AQ398" s="5" t="n">
        <v>56.92</v>
      </c>
      <c r="AR398" s="5" t="n">
        <v>57.82</v>
      </c>
      <c r="AS398" s="5" t="n">
        <v>58.72</v>
      </c>
      <c r="AT398" s="5" t="n">
        <v>59.62</v>
      </c>
      <c r="AU398" s="5" t="n">
        <v>60.52</v>
      </c>
      <c r="AV398" s="5" t="s">
        <v>51</v>
      </c>
    </row>
    <row r="399" customFormat="false" ht="15" hidden="false" customHeight="false" outlineLevel="0" collapsed="false">
      <c r="A399" s="2" t="s">
        <v>122</v>
      </c>
      <c r="B399" s="2" t="n">
        <v>2010</v>
      </c>
      <c r="C399" s="2" t="s">
        <v>52</v>
      </c>
      <c r="D399" s="2" t="n">
        <v>0</v>
      </c>
      <c r="E399" s="2" t="n">
        <v>16</v>
      </c>
      <c r="F399" s="2" t="s">
        <v>50</v>
      </c>
      <c r="G399" s="3" t="n">
        <v>1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n">
        <v>0</v>
      </c>
      <c r="N399" s="3" t="n">
        <v>1</v>
      </c>
      <c r="O399" s="3" t="n">
        <v>0</v>
      </c>
      <c r="P399" s="3" t="n">
        <v>1</v>
      </c>
      <c r="Q399" s="3" t="n">
        <v>0</v>
      </c>
      <c r="R399" s="3" t="n">
        <v>0</v>
      </c>
      <c r="S399" s="3" t="n">
        <v>1</v>
      </c>
      <c r="T399" s="3" t="n">
        <v>0</v>
      </c>
      <c r="U399" s="3" t="n">
        <v>0</v>
      </c>
      <c r="V399" s="3" t="n">
        <v>0</v>
      </c>
      <c r="W399" s="3" t="n">
        <v>1</v>
      </c>
      <c r="X399" s="3" t="n">
        <v>0</v>
      </c>
      <c r="Y399" s="3" t="n">
        <v>1</v>
      </c>
      <c r="Z399" s="3" t="n">
        <v>1</v>
      </c>
      <c r="AA399" s="3" t="n">
        <v>0</v>
      </c>
      <c r="AB399" s="3" t="n">
        <v>1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1</v>
      </c>
      <c r="AJ399" s="4" t="n">
        <f aca="false">SUM(G399:AI399)</f>
        <v>10</v>
      </c>
      <c r="AK399" s="4" t="n">
        <f aca="false">ROUND(SUMPRODUCT(G399:AI399,Gene_Weights!$B$2:$AD$2),3)</f>
        <v>-6.11</v>
      </c>
      <c r="AL399" s="2" t="n">
        <v>3</v>
      </c>
      <c r="AM399" s="2" t="n">
        <v>2</v>
      </c>
      <c r="AN399" s="2" t="n">
        <v>66.67</v>
      </c>
      <c r="AO399" s="5" t="n">
        <v>64.53</v>
      </c>
      <c r="AP399" s="5" t="n">
        <v>66.13</v>
      </c>
      <c r="AQ399" s="5" t="n">
        <v>67.73</v>
      </c>
      <c r="AR399" s="5" t="n">
        <v>69.33</v>
      </c>
      <c r="AS399" s="5" t="n">
        <v>70.93</v>
      </c>
      <c r="AT399" s="5" t="n">
        <v>72.53</v>
      </c>
      <c r="AU399" s="5" t="n">
        <v>74.13</v>
      </c>
      <c r="AV399" s="5" t="s">
        <v>51</v>
      </c>
    </row>
    <row r="400" customFormat="false" ht="15" hidden="false" customHeight="false" outlineLevel="0" collapsed="false">
      <c r="A400" s="2" t="s">
        <v>122</v>
      </c>
      <c r="B400" s="2" t="n">
        <v>2010</v>
      </c>
      <c r="C400" s="2" t="s">
        <v>53</v>
      </c>
      <c r="D400" s="2" t="n">
        <v>1</v>
      </c>
      <c r="E400" s="2" t="n">
        <v>16</v>
      </c>
      <c r="F400" s="2" t="s">
        <v>50</v>
      </c>
      <c r="G400" s="3" t="n">
        <v>1</v>
      </c>
      <c r="H400" s="3" t="n">
        <v>0</v>
      </c>
      <c r="I400" s="3" t="n">
        <v>0</v>
      </c>
      <c r="J400" s="3" t="n">
        <v>0</v>
      </c>
      <c r="K400" s="3" t="n">
        <v>1</v>
      </c>
      <c r="L400" s="3" t="n">
        <v>0</v>
      </c>
      <c r="M400" s="3" t="n">
        <v>0</v>
      </c>
      <c r="N400" s="3" t="n">
        <v>1</v>
      </c>
      <c r="O400" s="3" t="n">
        <v>0</v>
      </c>
      <c r="P400" s="3" t="n">
        <v>1</v>
      </c>
      <c r="Q400" s="3" t="n">
        <v>0</v>
      </c>
      <c r="R400" s="3" t="n">
        <v>0</v>
      </c>
      <c r="S400" s="3" t="n">
        <v>1</v>
      </c>
      <c r="T400" s="3" t="n">
        <v>0</v>
      </c>
      <c r="U400" s="3" t="n">
        <v>0</v>
      </c>
      <c r="V400" s="3" t="n">
        <v>0</v>
      </c>
      <c r="W400" s="3" t="n">
        <v>1</v>
      </c>
      <c r="X400" s="3" t="n">
        <v>0</v>
      </c>
      <c r="Y400" s="3" t="n">
        <v>1</v>
      </c>
      <c r="Z400" s="3" t="n">
        <v>1</v>
      </c>
      <c r="AA400" s="3" t="n">
        <v>0</v>
      </c>
      <c r="AB400" s="3" t="n">
        <v>1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1</v>
      </c>
      <c r="AJ400" s="4" t="n">
        <f aca="false">SUM(G400:AI400)</f>
        <v>10</v>
      </c>
      <c r="AK400" s="4" t="n">
        <f aca="false">ROUND(SUMPRODUCT(G400:AI400,Gene_Weights!$B$2:$AD$2),3)</f>
        <v>-6.11</v>
      </c>
      <c r="AL400" s="2" t="n">
        <v>3</v>
      </c>
      <c r="AM400" s="2" t="n">
        <v>2</v>
      </c>
      <c r="AN400" s="2" t="n">
        <v>66.67</v>
      </c>
      <c r="AO400" s="5" t="n">
        <v>52.86</v>
      </c>
      <c r="AP400" s="5" t="n">
        <v>53.65</v>
      </c>
      <c r="AQ400" s="5" t="n">
        <v>54.45</v>
      </c>
      <c r="AR400" s="5" t="n">
        <v>55.24</v>
      </c>
      <c r="AS400" s="5" t="n">
        <v>56.03</v>
      </c>
      <c r="AT400" s="5" t="n">
        <v>56.83</v>
      </c>
      <c r="AU400" s="5" t="n">
        <v>57.62</v>
      </c>
      <c r="AV400" s="5" t="s">
        <v>51</v>
      </c>
    </row>
    <row r="401" customFormat="false" ht="15" hidden="false" customHeight="false" outlineLevel="0" collapsed="false">
      <c r="A401" s="2" t="s">
        <v>122</v>
      </c>
      <c r="B401" s="2" t="n">
        <v>2010</v>
      </c>
      <c r="C401" s="2" t="s">
        <v>54</v>
      </c>
      <c r="D401" s="2" t="n">
        <v>1</v>
      </c>
      <c r="E401" s="2" t="n">
        <v>4</v>
      </c>
      <c r="F401" s="2" t="s">
        <v>50</v>
      </c>
      <c r="G401" s="3" t="n">
        <v>1</v>
      </c>
      <c r="H401" s="3" t="n">
        <v>0</v>
      </c>
      <c r="I401" s="3" t="n">
        <v>0</v>
      </c>
      <c r="J401" s="3" t="n">
        <v>0</v>
      </c>
      <c r="K401" s="3" t="n">
        <v>1</v>
      </c>
      <c r="L401" s="3" t="n">
        <v>0</v>
      </c>
      <c r="M401" s="3" t="n">
        <v>0</v>
      </c>
      <c r="N401" s="3" t="n">
        <v>1</v>
      </c>
      <c r="O401" s="3" t="n">
        <v>0</v>
      </c>
      <c r="P401" s="3" t="n">
        <v>1</v>
      </c>
      <c r="Q401" s="3" t="n">
        <v>0</v>
      </c>
      <c r="R401" s="3" t="n">
        <v>0</v>
      </c>
      <c r="S401" s="3" t="n">
        <v>1</v>
      </c>
      <c r="T401" s="3" t="n">
        <v>0</v>
      </c>
      <c r="U401" s="3" t="n">
        <v>0</v>
      </c>
      <c r="V401" s="3" t="n">
        <v>0</v>
      </c>
      <c r="W401" s="3" t="n">
        <v>1</v>
      </c>
      <c r="X401" s="3" t="n">
        <v>0</v>
      </c>
      <c r="Y401" s="3" t="n">
        <v>1</v>
      </c>
      <c r="Z401" s="3" t="n">
        <v>1</v>
      </c>
      <c r="AA401" s="3" t="n">
        <v>0</v>
      </c>
      <c r="AB401" s="3" t="n">
        <v>1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1</v>
      </c>
      <c r="AJ401" s="4" t="n">
        <f aca="false">SUM(G401:AI401)</f>
        <v>10</v>
      </c>
      <c r="AK401" s="4" t="n">
        <f aca="false">ROUND(SUMPRODUCT(G401:AI401,Gene_Weights!$B$2:$AD$2),3)</f>
        <v>-6.11</v>
      </c>
      <c r="AL401" s="2" t="n">
        <v>3</v>
      </c>
      <c r="AM401" s="2" t="n">
        <v>1</v>
      </c>
      <c r="AN401" s="2" t="n">
        <v>33.33</v>
      </c>
      <c r="AO401" s="5" t="n">
        <v>81.84</v>
      </c>
      <c r="AP401" s="5" t="n">
        <v>84.45</v>
      </c>
      <c r="AQ401" s="5" t="n">
        <v>87.06</v>
      </c>
      <c r="AR401" s="5" t="n">
        <v>89.67</v>
      </c>
      <c r="AS401" s="5" t="n">
        <v>92.27</v>
      </c>
      <c r="AT401" s="5" t="n">
        <v>94.88</v>
      </c>
      <c r="AU401" s="5" t="n">
        <v>97.49</v>
      </c>
      <c r="AV401" s="5" t="s">
        <v>51</v>
      </c>
    </row>
    <row r="402" customFormat="false" ht="15" hidden="false" customHeight="false" outlineLevel="0" collapsed="false">
      <c r="A402" s="2" t="s">
        <v>122</v>
      </c>
      <c r="B402" s="2" t="n">
        <v>2010</v>
      </c>
      <c r="C402" s="2" t="s">
        <v>55</v>
      </c>
      <c r="D402" s="2" t="n">
        <v>0</v>
      </c>
      <c r="E402" s="2" t="n">
        <v>2</v>
      </c>
      <c r="F402" s="2" t="s">
        <v>50</v>
      </c>
      <c r="G402" s="3" t="n">
        <v>1</v>
      </c>
      <c r="H402" s="3" t="n">
        <v>0</v>
      </c>
      <c r="I402" s="3" t="n">
        <v>0</v>
      </c>
      <c r="J402" s="3" t="n">
        <v>0</v>
      </c>
      <c r="K402" s="3" t="n">
        <v>1</v>
      </c>
      <c r="L402" s="3" t="n">
        <v>0</v>
      </c>
      <c r="M402" s="3" t="n">
        <v>0</v>
      </c>
      <c r="N402" s="3" t="n">
        <v>1</v>
      </c>
      <c r="O402" s="3" t="n">
        <v>0</v>
      </c>
      <c r="P402" s="3" t="n">
        <v>1</v>
      </c>
      <c r="Q402" s="3" t="n">
        <v>0</v>
      </c>
      <c r="R402" s="3" t="n">
        <v>0</v>
      </c>
      <c r="S402" s="3" t="n">
        <v>1</v>
      </c>
      <c r="T402" s="3" t="n">
        <v>0</v>
      </c>
      <c r="U402" s="3" t="n">
        <v>0</v>
      </c>
      <c r="V402" s="3" t="n">
        <v>0</v>
      </c>
      <c r="W402" s="3" t="n">
        <v>1</v>
      </c>
      <c r="X402" s="3" t="n">
        <v>0</v>
      </c>
      <c r="Y402" s="3" t="n">
        <v>1</v>
      </c>
      <c r="Z402" s="3" t="n">
        <v>1</v>
      </c>
      <c r="AA402" s="3" t="n">
        <v>0</v>
      </c>
      <c r="AB402" s="3" t="n">
        <v>1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1</v>
      </c>
      <c r="AJ402" s="4" t="n">
        <f aca="false">SUM(G402:AI402)</f>
        <v>10</v>
      </c>
      <c r="AK402" s="4" t="n">
        <f aca="false">ROUND(SUMPRODUCT(G402:AI402,Gene_Weights!$B$2:$AD$2),3)</f>
        <v>-6.11</v>
      </c>
      <c r="AL402" s="2" t="n">
        <v>3</v>
      </c>
      <c r="AM402" s="2" t="n">
        <v>0</v>
      </c>
      <c r="AN402" s="2" t="n">
        <v>0</v>
      </c>
      <c r="AO402" s="5" t="n">
        <v>58.19</v>
      </c>
      <c r="AP402" s="5" t="n">
        <v>59.74</v>
      </c>
      <c r="AQ402" s="5" t="n">
        <v>61.3</v>
      </c>
      <c r="AR402" s="5" t="n">
        <v>62.86</v>
      </c>
      <c r="AS402" s="5" t="n">
        <v>64.42</v>
      </c>
      <c r="AT402" s="5" t="n">
        <v>65.98</v>
      </c>
      <c r="AU402" s="5" t="n">
        <v>67.53</v>
      </c>
      <c r="AV402" s="5" t="s">
        <v>51</v>
      </c>
    </row>
    <row r="403" customFormat="false" ht="15" hidden="false" customHeight="false" outlineLevel="0" collapsed="false">
      <c r="A403" s="2" t="s">
        <v>122</v>
      </c>
      <c r="B403" s="2" t="n">
        <v>2010</v>
      </c>
      <c r="C403" s="2" t="s">
        <v>56</v>
      </c>
      <c r="D403" s="2" t="n">
        <v>1</v>
      </c>
      <c r="E403" s="2" t="n">
        <v>4</v>
      </c>
      <c r="F403" s="2" t="s">
        <v>50</v>
      </c>
      <c r="G403" s="3" t="n">
        <v>1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n">
        <v>0</v>
      </c>
      <c r="N403" s="3" t="n">
        <v>1</v>
      </c>
      <c r="O403" s="3" t="n">
        <v>0</v>
      </c>
      <c r="P403" s="3" t="n">
        <v>1</v>
      </c>
      <c r="Q403" s="3" t="n">
        <v>0</v>
      </c>
      <c r="R403" s="3" t="n">
        <v>0</v>
      </c>
      <c r="S403" s="3" t="n">
        <v>1</v>
      </c>
      <c r="T403" s="3" t="n">
        <v>0</v>
      </c>
      <c r="U403" s="3" t="n">
        <v>0</v>
      </c>
      <c r="V403" s="3" t="n">
        <v>0</v>
      </c>
      <c r="W403" s="3" t="n">
        <v>1</v>
      </c>
      <c r="X403" s="3" t="n">
        <v>0</v>
      </c>
      <c r="Y403" s="3" t="n">
        <v>1</v>
      </c>
      <c r="Z403" s="3" t="n">
        <v>1</v>
      </c>
      <c r="AA403" s="3" t="n">
        <v>0</v>
      </c>
      <c r="AB403" s="3" t="n">
        <v>1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1</v>
      </c>
      <c r="AJ403" s="4" t="n">
        <f aca="false">SUM(G403:AI403)</f>
        <v>10</v>
      </c>
      <c r="AK403" s="4" t="n">
        <f aca="false">ROUND(SUMPRODUCT(G403:AI403,Gene_Weights!$B$2:$AD$2),3)</f>
        <v>-6.11</v>
      </c>
      <c r="AL403" s="2" t="n">
        <v>3</v>
      </c>
      <c r="AM403" s="2" t="n">
        <v>3</v>
      </c>
      <c r="AN403" s="2" t="n">
        <v>100</v>
      </c>
      <c r="AO403" s="5" t="n">
        <v>75.59</v>
      </c>
      <c r="AP403" s="5" t="n">
        <v>78.01</v>
      </c>
      <c r="AQ403" s="5" t="n">
        <v>80.42</v>
      </c>
      <c r="AR403" s="5" t="n">
        <v>82.83</v>
      </c>
      <c r="AS403" s="5" t="n">
        <v>85.24</v>
      </c>
      <c r="AT403" s="5" t="n">
        <v>87.66</v>
      </c>
      <c r="AU403" s="5" t="n">
        <v>90.07</v>
      </c>
      <c r="AV403" s="5" t="s">
        <v>51</v>
      </c>
    </row>
    <row r="404" customFormat="false" ht="15" hidden="false" customHeight="false" outlineLevel="0" collapsed="false">
      <c r="A404" s="2" t="s">
        <v>123</v>
      </c>
      <c r="B404" s="2" t="n">
        <v>2009</v>
      </c>
      <c r="C404" s="2" t="s">
        <v>49</v>
      </c>
      <c r="D404" s="2" t="n">
        <v>1</v>
      </c>
      <c r="E404" s="2" t="n">
        <v>2</v>
      </c>
      <c r="F404" s="2" t="s">
        <v>50</v>
      </c>
      <c r="G404" s="3" t="n">
        <v>0</v>
      </c>
      <c r="H404" s="3" t="n">
        <v>1</v>
      </c>
      <c r="I404" s="3" t="n">
        <v>0</v>
      </c>
      <c r="J404" s="3" t="n">
        <v>1</v>
      </c>
      <c r="K404" s="3" t="n">
        <v>0</v>
      </c>
      <c r="L404" s="3" t="n">
        <v>1</v>
      </c>
      <c r="M404" s="3" t="n">
        <v>0</v>
      </c>
      <c r="N404" s="3" t="n">
        <v>1</v>
      </c>
      <c r="O404" s="3" t="n">
        <v>0</v>
      </c>
      <c r="P404" s="3" t="n">
        <v>0</v>
      </c>
      <c r="Q404" s="3" t="n">
        <v>0</v>
      </c>
      <c r="R404" s="3" t="n">
        <v>1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1</v>
      </c>
      <c r="Z404" s="3" t="n">
        <v>0</v>
      </c>
      <c r="AA404" s="3" t="n">
        <v>1</v>
      </c>
      <c r="AB404" s="3" t="n">
        <v>0</v>
      </c>
      <c r="AC404" s="3" t="n">
        <v>1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4" t="n">
        <f aca="false">SUM(G404:AI404)</f>
        <v>8</v>
      </c>
      <c r="AK404" s="4" t="n">
        <f aca="false">ROUND(SUMPRODUCT(G404:AI404,Gene_Weights!$B$2:$AD$2),3)</f>
        <v>-7.81</v>
      </c>
      <c r="AL404" s="2" t="n">
        <v>12</v>
      </c>
      <c r="AM404" s="2" t="n">
        <v>4</v>
      </c>
      <c r="AN404" s="2" t="n">
        <v>33.33</v>
      </c>
      <c r="AO404" s="5" t="n">
        <v>55.12</v>
      </c>
      <c r="AP404" s="5" t="n">
        <v>56.02</v>
      </c>
      <c r="AQ404" s="5" t="n">
        <v>56.92</v>
      </c>
      <c r="AR404" s="5" t="n">
        <v>57.82</v>
      </c>
      <c r="AS404" s="5" t="n">
        <v>58.72</v>
      </c>
      <c r="AT404" s="5" t="n">
        <v>59.62</v>
      </c>
      <c r="AU404" s="5" t="n">
        <v>60.52</v>
      </c>
      <c r="AV404" s="5" t="s">
        <v>51</v>
      </c>
    </row>
    <row r="405" customFormat="false" ht="15" hidden="false" customHeight="false" outlineLevel="0" collapsed="false">
      <c r="A405" s="2" t="s">
        <v>123</v>
      </c>
      <c r="B405" s="2" t="n">
        <v>2009</v>
      </c>
      <c r="C405" s="2" t="s">
        <v>52</v>
      </c>
      <c r="D405" s="2" t="n">
        <v>0</v>
      </c>
      <c r="E405" s="2" t="n">
        <v>32</v>
      </c>
      <c r="F405" s="2" t="s">
        <v>50</v>
      </c>
      <c r="G405" s="3" t="n">
        <v>0</v>
      </c>
      <c r="H405" s="3" t="n">
        <v>1</v>
      </c>
      <c r="I405" s="3" t="n">
        <v>0</v>
      </c>
      <c r="J405" s="3" t="n">
        <v>1</v>
      </c>
      <c r="K405" s="3" t="n">
        <v>0</v>
      </c>
      <c r="L405" s="3" t="n">
        <v>1</v>
      </c>
      <c r="M405" s="3" t="n">
        <v>0</v>
      </c>
      <c r="N405" s="3" t="n">
        <v>1</v>
      </c>
      <c r="O405" s="3" t="n">
        <v>0</v>
      </c>
      <c r="P405" s="3" t="n">
        <v>0</v>
      </c>
      <c r="Q405" s="3" t="n">
        <v>0</v>
      </c>
      <c r="R405" s="3" t="n">
        <v>1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1</v>
      </c>
      <c r="Z405" s="3" t="n">
        <v>0</v>
      </c>
      <c r="AA405" s="3" t="n">
        <v>1</v>
      </c>
      <c r="AB405" s="3" t="n">
        <v>0</v>
      </c>
      <c r="AC405" s="3" t="n">
        <v>1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4" t="n">
        <f aca="false">SUM(G405:AI405)</f>
        <v>8</v>
      </c>
      <c r="AK405" s="4" t="n">
        <f aca="false">ROUND(SUMPRODUCT(G405:AI405,Gene_Weights!$B$2:$AD$2),3)</f>
        <v>-7.81</v>
      </c>
      <c r="AL405" s="2" t="n">
        <v>12</v>
      </c>
      <c r="AM405" s="2" t="n">
        <v>3</v>
      </c>
      <c r="AN405" s="2" t="n">
        <v>25</v>
      </c>
      <c r="AO405" s="5" t="n">
        <v>64.53</v>
      </c>
      <c r="AP405" s="5" t="n">
        <v>66.13</v>
      </c>
      <c r="AQ405" s="5" t="n">
        <v>67.73</v>
      </c>
      <c r="AR405" s="5" t="n">
        <v>69.33</v>
      </c>
      <c r="AS405" s="5" t="n">
        <v>70.93</v>
      </c>
      <c r="AT405" s="5" t="n">
        <v>72.53</v>
      </c>
      <c r="AU405" s="5" t="n">
        <v>74.13</v>
      </c>
      <c r="AV405" s="5" t="s">
        <v>51</v>
      </c>
    </row>
    <row r="406" customFormat="false" ht="15" hidden="false" customHeight="false" outlineLevel="0" collapsed="false">
      <c r="A406" s="2" t="s">
        <v>123</v>
      </c>
      <c r="B406" s="2" t="n">
        <v>2009</v>
      </c>
      <c r="C406" s="2" t="s">
        <v>53</v>
      </c>
      <c r="D406" s="2" t="n">
        <v>1</v>
      </c>
      <c r="E406" s="2" t="n">
        <v>2</v>
      </c>
      <c r="F406" s="2" t="s">
        <v>50</v>
      </c>
      <c r="G406" s="3" t="n">
        <v>0</v>
      </c>
      <c r="H406" s="3" t="n">
        <v>1</v>
      </c>
      <c r="I406" s="3" t="n">
        <v>0</v>
      </c>
      <c r="J406" s="3" t="n">
        <v>1</v>
      </c>
      <c r="K406" s="3" t="n">
        <v>0</v>
      </c>
      <c r="L406" s="3" t="n">
        <v>1</v>
      </c>
      <c r="M406" s="3" t="n">
        <v>0</v>
      </c>
      <c r="N406" s="3" t="n">
        <v>1</v>
      </c>
      <c r="O406" s="3" t="n">
        <v>0</v>
      </c>
      <c r="P406" s="3" t="n">
        <v>0</v>
      </c>
      <c r="Q406" s="3" t="n">
        <v>0</v>
      </c>
      <c r="R406" s="3" t="n">
        <v>1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1</v>
      </c>
      <c r="Z406" s="3" t="n">
        <v>0</v>
      </c>
      <c r="AA406" s="3" t="n">
        <v>1</v>
      </c>
      <c r="AB406" s="3" t="n">
        <v>0</v>
      </c>
      <c r="AC406" s="3" t="n">
        <v>1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4" t="n">
        <f aca="false">SUM(G406:AI406)</f>
        <v>8</v>
      </c>
      <c r="AK406" s="4" t="n">
        <f aca="false">ROUND(SUMPRODUCT(G406:AI406,Gene_Weights!$B$2:$AD$2),3)</f>
        <v>-7.81</v>
      </c>
      <c r="AL406" s="2" t="n">
        <v>12</v>
      </c>
      <c r="AM406" s="2" t="n">
        <v>9</v>
      </c>
      <c r="AN406" s="2" t="n">
        <v>75</v>
      </c>
      <c r="AO406" s="5" t="n">
        <v>52.86</v>
      </c>
      <c r="AP406" s="5" t="n">
        <v>53.65</v>
      </c>
      <c r="AQ406" s="5" t="n">
        <v>54.45</v>
      </c>
      <c r="AR406" s="5" t="n">
        <v>55.24</v>
      </c>
      <c r="AS406" s="5" t="n">
        <v>56.03</v>
      </c>
      <c r="AT406" s="5" t="n">
        <v>56.83</v>
      </c>
      <c r="AU406" s="5" t="n">
        <v>57.62</v>
      </c>
      <c r="AV406" s="5" t="s">
        <v>51</v>
      </c>
    </row>
    <row r="407" customFormat="false" ht="15" hidden="false" customHeight="false" outlineLevel="0" collapsed="false">
      <c r="A407" s="2" t="s">
        <v>123</v>
      </c>
      <c r="B407" s="2" t="n">
        <v>2009</v>
      </c>
      <c r="C407" s="2" t="s">
        <v>54</v>
      </c>
      <c r="D407" s="2" t="n">
        <v>0</v>
      </c>
      <c r="E407" s="2" t="n">
        <v>16</v>
      </c>
      <c r="F407" s="2" t="s">
        <v>50</v>
      </c>
      <c r="G407" s="3" t="n">
        <v>0</v>
      </c>
      <c r="H407" s="3" t="n">
        <v>1</v>
      </c>
      <c r="I407" s="3" t="n">
        <v>0</v>
      </c>
      <c r="J407" s="3" t="n">
        <v>1</v>
      </c>
      <c r="K407" s="3" t="n">
        <v>0</v>
      </c>
      <c r="L407" s="3" t="n">
        <v>1</v>
      </c>
      <c r="M407" s="3" t="n">
        <v>0</v>
      </c>
      <c r="N407" s="3" t="n">
        <v>1</v>
      </c>
      <c r="O407" s="3" t="n">
        <v>0</v>
      </c>
      <c r="P407" s="3" t="n">
        <v>0</v>
      </c>
      <c r="Q407" s="3" t="n">
        <v>0</v>
      </c>
      <c r="R407" s="3" t="n">
        <v>1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1</v>
      </c>
      <c r="Z407" s="3" t="n">
        <v>0</v>
      </c>
      <c r="AA407" s="3" t="n">
        <v>1</v>
      </c>
      <c r="AB407" s="3" t="n">
        <v>0</v>
      </c>
      <c r="AC407" s="3" t="n">
        <v>1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4" t="n">
        <f aca="false">SUM(G407:AI407)</f>
        <v>8</v>
      </c>
      <c r="AK407" s="4" t="n">
        <f aca="false">ROUND(SUMPRODUCT(G407:AI407,Gene_Weights!$B$2:$AD$2),3)</f>
        <v>-7.81</v>
      </c>
      <c r="AL407" s="2" t="n">
        <v>12</v>
      </c>
      <c r="AM407" s="2" t="n">
        <v>8</v>
      </c>
      <c r="AN407" s="2" t="n">
        <v>66.67</v>
      </c>
      <c r="AO407" s="5" t="n">
        <v>81.84</v>
      </c>
      <c r="AP407" s="5" t="n">
        <v>84.45</v>
      </c>
      <c r="AQ407" s="5" t="n">
        <v>87.06</v>
      </c>
      <c r="AR407" s="5" t="n">
        <v>89.67</v>
      </c>
      <c r="AS407" s="5" t="n">
        <v>92.27</v>
      </c>
      <c r="AT407" s="5" t="n">
        <v>94.88</v>
      </c>
      <c r="AU407" s="5" t="n">
        <v>97.49</v>
      </c>
      <c r="AV407" s="5" t="s">
        <v>51</v>
      </c>
    </row>
    <row r="408" customFormat="false" ht="15" hidden="false" customHeight="false" outlineLevel="0" collapsed="false">
      <c r="A408" s="2" t="s">
        <v>123</v>
      </c>
      <c r="B408" s="2" t="n">
        <v>2009</v>
      </c>
      <c r="C408" s="2" t="s">
        <v>55</v>
      </c>
      <c r="D408" s="2" t="n">
        <v>0</v>
      </c>
      <c r="E408" s="2" t="n">
        <v>4</v>
      </c>
      <c r="F408" s="2" t="s">
        <v>50</v>
      </c>
      <c r="G408" s="3" t="n">
        <v>0</v>
      </c>
      <c r="H408" s="3" t="n">
        <v>1</v>
      </c>
      <c r="I408" s="3" t="n">
        <v>0</v>
      </c>
      <c r="J408" s="3" t="n">
        <v>1</v>
      </c>
      <c r="K408" s="3" t="n">
        <v>0</v>
      </c>
      <c r="L408" s="3" t="n">
        <v>1</v>
      </c>
      <c r="M408" s="3" t="n">
        <v>0</v>
      </c>
      <c r="N408" s="3" t="n">
        <v>1</v>
      </c>
      <c r="O408" s="3" t="n">
        <v>0</v>
      </c>
      <c r="P408" s="3" t="n">
        <v>0</v>
      </c>
      <c r="Q408" s="3" t="n">
        <v>0</v>
      </c>
      <c r="R408" s="3" t="n">
        <v>1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1</v>
      </c>
      <c r="Z408" s="3" t="n">
        <v>0</v>
      </c>
      <c r="AA408" s="3" t="n">
        <v>1</v>
      </c>
      <c r="AB408" s="3" t="n">
        <v>0</v>
      </c>
      <c r="AC408" s="3" t="n">
        <v>1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4" t="n">
        <f aca="false">SUM(G408:AI408)</f>
        <v>8</v>
      </c>
      <c r="AK408" s="4" t="n">
        <f aca="false">ROUND(SUMPRODUCT(G408:AI408,Gene_Weights!$B$2:$AD$2),3)</f>
        <v>-7.81</v>
      </c>
      <c r="AL408" s="2" t="n">
        <v>12</v>
      </c>
      <c r="AM408" s="2" t="n">
        <v>2</v>
      </c>
      <c r="AN408" s="2" t="n">
        <v>16.67</v>
      </c>
      <c r="AO408" s="5" t="n">
        <v>58.19</v>
      </c>
      <c r="AP408" s="5" t="n">
        <v>59.74</v>
      </c>
      <c r="AQ408" s="5" t="n">
        <v>61.3</v>
      </c>
      <c r="AR408" s="5" t="n">
        <v>62.86</v>
      </c>
      <c r="AS408" s="5" t="n">
        <v>64.42</v>
      </c>
      <c r="AT408" s="5" t="n">
        <v>65.98</v>
      </c>
      <c r="AU408" s="5" t="n">
        <v>67.53</v>
      </c>
      <c r="AV408" s="5" t="s">
        <v>51</v>
      </c>
    </row>
    <row r="409" customFormat="false" ht="15" hidden="false" customHeight="false" outlineLevel="0" collapsed="false">
      <c r="A409" s="2" t="s">
        <v>123</v>
      </c>
      <c r="B409" s="2" t="n">
        <v>2009</v>
      </c>
      <c r="C409" s="2" t="s">
        <v>56</v>
      </c>
      <c r="D409" s="2" t="n">
        <v>0</v>
      </c>
      <c r="E409" s="2" t="n">
        <v>32</v>
      </c>
      <c r="F409" s="2" t="s">
        <v>50</v>
      </c>
      <c r="G409" s="3" t="n">
        <v>0</v>
      </c>
      <c r="H409" s="3" t="n">
        <v>1</v>
      </c>
      <c r="I409" s="3" t="n">
        <v>0</v>
      </c>
      <c r="J409" s="3" t="n">
        <v>1</v>
      </c>
      <c r="K409" s="3" t="n">
        <v>0</v>
      </c>
      <c r="L409" s="3" t="n">
        <v>1</v>
      </c>
      <c r="M409" s="3" t="n">
        <v>0</v>
      </c>
      <c r="N409" s="3" t="n">
        <v>1</v>
      </c>
      <c r="O409" s="3" t="n">
        <v>0</v>
      </c>
      <c r="P409" s="3" t="n">
        <v>0</v>
      </c>
      <c r="Q409" s="3" t="n">
        <v>0</v>
      </c>
      <c r="R409" s="3" t="n">
        <v>1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1</v>
      </c>
      <c r="Z409" s="3" t="n">
        <v>0</v>
      </c>
      <c r="AA409" s="3" t="n">
        <v>1</v>
      </c>
      <c r="AB409" s="3" t="n">
        <v>0</v>
      </c>
      <c r="AC409" s="3" t="n">
        <v>1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4" t="n">
        <f aca="false">SUM(G409:AI409)</f>
        <v>8</v>
      </c>
      <c r="AK409" s="4" t="n">
        <f aca="false">ROUND(SUMPRODUCT(G409:AI409,Gene_Weights!$B$2:$AD$2),3)</f>
        <v>-7.81</v>
      </c>
      <c r="AL409" s="2" t="n">
        <v>12</v>
      </c>
      <c r="AM409" s="2" t="n">
        <v>4</v>
      </c>
      <c r="AN409" s="2" t="n">
        <v>33.33</v>
      </c>
      <c r="AO409" s="5" t="n">
        <v>75.59</v>
      </c>
      <c r="AP409" s="5" t="n">
        <v>78.01</v>
      </c>
      <c r="AQ409" s="5" t="n">
        <v>80.42</v>
      </c>
      <c r="AR409" s="5" t="n">
        <v>82.83</v>
      </c>
      <c r="AS409" s="5" t="n">
        <v>85.24</v>
      </c>
      <c r="AT409" s="5" t="n">
        <v>87.66</v>
      </c>
      <c r="AU409" s="5" t="n">
        <v>90.07</v>
      </c>
      <c r="AV409" s="5" t="s">
        <v>51</v>
      </c>
    </row>
    <row r="410" customFormat="false" ht="15" hidden="false" customHeight="false" outlineLevel="0" collapsed="false">
      <c r="A410" s="2" t="s">
        <v>124</v>
      </c>
      <c r="B410" s="2" t="n">
        <v>2005</v>
      </c>
      <c r="C410" s="2" t="s">
        <v>49</v>
      </c>
      <c r="D410" s="2" t="n">
        <v>0</v>
      </c>
      <c r="E410" s="2" t="n">
        <v>16</v>
      </c>
      <c r="F410" s="2" t="s">
        <v>50</v>
      </c>
      <c r="G410" s="3" t="n">
        <v>1</v>
      </c>
      <c r="H410" s="3" t="n">
        <v>0</v>
      </c>
      <c r="I410" s="3" t="n">
        <v>0</v>
      </c>
      <c r="J410" s="3" t="n">
        <v>1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1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1</v>
      </c>
      <c r="U410" s="3" t="n">
        <v>0</v>
      </c>
      <c r="V410" s="3" t="n">
        <v>0</v>
      </c>
      <c r="W410" s="3" t="n">
        <v>1</v>
      </c>
      <c r="X410" s="3" t="n">
        <v>1</v>
      </c>
      <c r="Y410" s="3" t="n">
        <v>1</v>
      </c>
      <c r="Z410" s="3" t="n">
        <v>1</v>
      </c>
      <c r="AA410" s="3" t="n">
        <v>1</v>
      </c>
      <c r="AB410" s="3" t="n">
        <v>0</v>
      </c>
      <c r="AC410" s="3" t="n">
        <v>1</v>
      </c>
      <c r="AD410" s="3" t="n">
        <v>0</v>
      </c>
      <c r="AE410" s="3" t="n">
        <v>1</v>
      </c>
      <c r="AF410" s="3" t="n">
        <v>1</v>
      </c>
      <c r="AG410" s="3" t="n">
        <v>0</v>
      </c>
      <c r="AH410" s="3" t="n">
        <v>0</v>
      </c>
      <c r="AI410" s="3" t="n">
        <v>1</v>
      </c>
      <c r="AJ410" s="4" t="n">
        <f aca="false">SUM(G410:AI410)</f>
        <v>13</v>
      </c>
      <c r="AK410" s="4" t="n">
        <f aca="false">ROUND(SUMPRODUCT(G410:AI410,Gene_Weights!$B$2:$AD$2),3)</f>
        <v>-9.07</v>
      </c>
      <c r="AL410" s="2" t="n">
        <v>6</v>
      </c>
      <c r="AM410" s="2" t="n">
        <v>1</v>
      </c>
      <c r="AN410" s="2" t="n">
        <v>16.67</v>
      </c>
      <c r="AO410" s="5" t="n">
        <v>55.12</v>
      </c>
      <c r="AP410" s="5" t="n">
        <v>56.02</v>
      </c>
      <c r="AQ410" s="5" t="n">
        <v>56.92</v>
      </c>
      <c r="AR410" s="5" t="n">
        <v>57.82</v>
      </c>
      <c r="AS410" s="5" t="n">
        <v>58.72</v>
      </c>
      <c r="AT410" s="5" t="n">
        <v>59.62</v>
      </c>
      <c r="AU410" s="5" t="n">
        <v>60.52</v>
      </c>
      <c r="AV410" s="5" t="s">
        <v>51</v>
      </c>
    </row>
    <row r="411" customFormat="false" ht="15" hidden="false" customHeight="false" outlineLevel="0" collapsed="false">
      <c r="A411" s="2" t="s">
        <v>124</v>
      </c>
      <c r="B411" s="2" t="n">
        <v>2005</v>
      </c>
      <c r="C411" s="2" t="s">
        <v>52</v>
      </c>
      <c r="D411" s="2" t="n">
        <v>0</v>
      </c>
      <c r="E411" s="2" t="n">
        <v>2</v>
      </c>
      <c r="F411" s="2" t="s">
        <v>50</v>
      </c>
      <c r="G411" s="3" t="n">
        <v>1</v>
      </c>
      <c r="H411" s="3" t="n">
        <v>0</v>
      </c>
      <c r="I411" s="3" t="n">
        <v>0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1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1</v>
      </c>
      <c r="U411" s="3" t="n">
        <v>0</v>
      </c>
      <c r="V411" s="3" t="n">
        <v>0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0</v>
      </c>
      <c r="AC411" s="3" t="n">
        <v>1</v>
      </c>
      <c r="AD411" s="3" t="n">
        <v>0</v>
      </c>
      <c r="AE411" s="3" t="n">
        <v>1</v>
      </c>
      <c r="AF411" s="3" t="n">
        <v>1</v>
      </c>
      <c r="AG411" s="3" t="n">
        <v>0</v>
      </c>
      <c r="AH411" s="3" t="n">
        <v>0</v>
      </c>
      <c r="AI411" s="3" t="n">
        <v>1</v>
      </c>
      <c r="AJ411" s="4" t="n">
        <f aca="false">SUM(G411:AI411)</f>
        <v>13</v>
      </c>
      <c r="AK411" s="4" t="n">
        <f aca="false">ROUND(SUMPRODUCT(G411:AI411,Gene_Weights!$B$2:$AD$2),3)</f>
        <v>-9.07</v>
      </c>
      <c r="AL411" s="2" t="n">
        <v>6</v>
      </c>
      <c r="AM411" s="2" t="n">
        <v>2</v>
      </c>
      <c r="AN411" s="2" t="n">
        <v>33.33</v>
      </c>
      <c r="AO411" s="5" t="n">
        <v>64.53</v>
      </c>
      <c r="AP411" s="5" t="n">
        <v>66.13</v>
      </c>
      <c r="AQ411" s="5" t="n">
        <v>67.73</v>
      </c>
      <c r="AR411" s="5" t="n">
        <v>69.33</v>
      </c>
      <c r="AS411" s="5" t="n">
        <v>70.93</v>
      </c>
      <c r="AT411" s="5" t="n">
        <v>72.53</v>
      </c>
      <c r="AU411" s="5" t="n">
        <v>74.13</v>
      </c>
      <c r="AV411" s="5" t="s">
        <v>51</v>
      </c>
    </row>
    <row r="412" customFormat="false" ht="15" hidden="false" customHeight="false" outlineLevel="0" collapsed="false">
      <c r="A412" s="2" t="s">
        <v>124</v>
      </c>
      <c r="B412" s="2" t="n">
        <v>2005</v>
      </c>
      <c r="C412" s="2" t="s">
        <v>53</v>
      </c>
      <c r="D412" s="2" t="n">
        <v>0</v>
      </c>
      <c r="E412" s="2" t="n">
        <v>4</v>
      </c>
      <c r="F412" s="2" t="s">
        <v>50</v>
      </c>
      <c r="G412" s="3" t="n">
        <v>1</v>
      </c>
      <c r="H412" s="3" t="n">
        <v>0</v>
      </c>
      <c r="I412" s="3" t="n">
        <v>0</v>
      </c>
      <c r="J412" s="3" t="n">
        <v>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1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1</v>
      </c>
      <c r="U412" s="3" t="n">
        <v>0</v>
      </c>
      <c r="V412" s="3" t="n">
        <v>0</v>
      </c>
      <c r="W412" s="3" t="n">
        <v>1</v>
      </c>
      <c r="X412" s="3" t="n">
        <v>1</v>
      </c>
      <c r="Y412" s="3" t="n">
        <v>1</v>
      </c>
      <c r="Z412" s="3" t="n">
        <v>1</v>
      </c>
      <c r="AA412" s="3" t="n">
        <v>1</v>
      </c>
      <c r="AB412" s="3" t="n">
        <v>0</v>
      </c>
      <c r="AC412" s="3" t="n">
        <v>1</v>
      </c>
      <c r="AD412" s="3" t="n">
        <v>0</v>
      </c>
      <c r="AE412" s="3" t="n">
        <v>1</v>
      </c>
      <c r="AF412" s="3" t="n">
        <v>1</v>
      </c>
      <c r="AG412" s="3" t="n">
        <v>0</v>
      </c>
      <c r="AH412" s="3" t="n">
        <v>0</v>
      </c>
      <c r="AI412" s="3" t="n">
        <v>1</v>
      </c>
      <c r="AJ412" s="4" t="n">
        <f aca="false">SUM(G412:AI412)</f>
        <v>13</v>
      </c>
      <c r="AK412" s="4" t="n">
        <f aca="false">ROUND(SUMPRODUCT(G412:AI412,Gene_Weights!$B$2:$AD$2),3)</f>
        <v>-9.07</v>
      </c>
      <c r="AL412" s="2" t="n">
        <v>6</v>
      </c>
      <c r="AM412" s="2" t="n">
        <v>0</v>
      </c>
      <c r="AN412" s="2" t="n">
        <v>0</v>
      </c>
      <c r="AO412" s="5" t="n">
        <v>52.86</v>
      </c>
      <c r="AP412" s="5" t="n">
        <v>53.65</v>
      </c>
      <c r="AQ412" s="5" t="n">
        <v>54.45</v>
      </c>
      <c r="AR412" s="5" t="n">
        <v>55.24</v>
      </c>
      <c r="AS412" s="5" t="n">
        <v>56.03</v>
      </c>
      <c r="AT412" s="5" t="n">
        <v>56.83</v>
      </c>
      <c r="AU412" s="5" t="n">
        <v>57.62</v>
      </c>
      <c r="AV412" s="5" t="s">
        <v>51</v>
      </c>
    </row>
    <row r="413" customFormat="false" ht="15" hidden="false" customHeight="false" outlineLevel="0" collapsed="false">
      <c r="A413" s="2" t="s">
        <v>124</v>
      </c>
      <c r="B413" s="2" t="n">
        <v>2005</v>
      </c>
      <c r="C413" s="2" t="s">
        <v>54</v>
      </c>
      <c r="D413" s="2" t="n">
        <v>0</v>
      </c>
      <c r="E413" s="2" t="n">
        <v>16</v>
      </c>
      <c r="F413" s="2" t="s">
        <v>50</v>
      </c>
      <c r="G413" s="3" t="n">
        <v>1</v>
      </c>
      <c r="H413" s="3" t="n">
        <v>0</v>
      </c>
      <c r="I413" s="3" t="n">
        <v>0</v>
      </c>
      <c r="J413" s="3" t="n">
        <v>1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1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1</v>
      </c>
      <c r="U413" s="3" t="n">
        <v>0</v>
      </c>
      <c r="V413" s="3" t="n">
        <v>0</v>
      </c>
      <c r="W413" s="3" t="n">
        <v>1</v>
      </c>
      <c r="X413" s="3" t="n">
        <v>1</v>
      </c>
      <c r="Y413" s="3" t="n">
        <v>1</v>
      </c>
      <c r="Z413" s="3" t="n">
        <v>1</v>
      </c>
      <c r="AA413" s="3" t="n">
        <v>1</v>
      </c>
      <c r="AB413" s="3" t="n">
        <v>0</v>
      </c>
      <c r="AC413" s="3" t="n">
        <v>1</v>
      </c>
      <c r="AD413" s="3" t="n">
        <v>0</v>
      </c>
      <c r="AE413" s="3" t="n">
        <v>1</v>
      </c>
      <c r="AF413" s="3" t="n">
        <v>1</v>
      </c>
      <c r="AG413" s="3" t="n">
        <v>0</v>
      </c>
      <c r="AH413" s="3" t="n">
        <v>0</v>
      </c>
      <c r="AI413" s="3" t="n">
        <v>1</v>
      </c>
      <c r="AJ413" s="4" t="n">
        <f aca="false">SUM(G413:AI413)</f>
        <v>13</v>
      </c>
      <c r="AK413" s="4" t="n">
        <f aca="false">ROUND(SUMPRODUCT(G413:AI413,Gene_Weights!$B$2:$AD$2),3)</f>
        <v>-9.07</v>
      </c>
      <c r="AL413" s="2" t="n">
        <v>6</v>
      </c>
      <c r="AM413" s="2" t="n">
        <v>0</v>
      </c>
      <c r="AN413" s="2" t="n">
        <v>0</v>
      </c>
      <c r="AO413" s="5" t="n">
        <v>81.84</v>
      </c>
      <c r="AP413" s="5" t="n">
        <v>84.45</v>
      </c>
      <c r="AQ413" s="5" t="n">
        <v>87.06</v>
      </c>
      <c r="AR413" s="5" t="n">
        <v>89.67</v>
      </c>
      <c r="AS413" s="5" t="n">
        <v>92.27</v>
      </c>
      <c r="AT413" s="5" t="n">
        <v>94.88</v>
      </c>
      <c r="AU413" s="5" t="n">
        <v>97.49</v>
      </c>
      <c r="AV413" s="5" t="s">
        <v>51</v>
      </c>
    </row>
    <row r="414" customFormat="false" ht="15" hidden="false" customHeight="false" outlineLevel="0" collapsed="false">
      <c r="A414" s="2" t="s">
        <v>124</v>
      </c>
      <c r="B414" s="2" t="n">
        <v>2005</v>
      </c>
      <c r="C414" s="2" t="s">
        <v>55</v>
      </c>
      <c r="D414" s="2" t="n">
        <v>0</v>
      </c>
      <c r="E414" s="2" t="n">
        <v>2</v>
      </c>
      <c r="F414" s="2" t="s">
        <v>50</v>
      </c>
      <c r="G414" s="3" t="n">
        <v>1</v>
      </c>
      <c r="H414" s="3" t="n">
        <v>0</v>
      </c>
      <c r="I414" s="3" t="n">
        <v>0</v>
      </c>
      <c r="J414" s="3" t="n">
        <v>1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1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1</v>
      </c>
      <c r="U414" s="3" t="n">
        <v>0</v>
      </c>
      <c r="V414" s="3" t="n">
        <v>0</v>
      </c>
      <c r="W414" s="3" t="n">
        <v>1</v>
      </c>
      <c r="X414" s="3" t="n">
        <v>1</v>
      </c>
      <c r="Y414" s="3" t="n">
        <v>1</v>
      </c>
      <c r="Z414" s="3" t="n">
        <v>1</v>
      </c>
      <c r="AA414" s="3" t="n">
        <v>1</v>
      </c>
      <c r="AB414" s="3" t="n">
        <v>0</v>
      </c>
      <c r="AC414" s="3" t="n">
        <v>1</v>
      </c>
      <c r="AD414" s="3" t="n">
        <v>0</v>
      </c>
      <c r="AE414" s="3" t="n">
        <v>1</v>
      </c>
      <c r="AF414" s="3" t="n">
        <v>1</v>
      </c>
      <c r="AG414" s="3" t="n">
        <v>0</v>
      </c>
      <c r="AH414" s="3" t="n">
        <v>0</v>
      </c>
      <c r="AI414" s="3" t="n">
        <v>1</v>
      </c>
      <c r="AJ414" s="4" t="n">
        <f aca="false">SUM(G414:AI414)</f>
        <v>13</v>
      </c>
      <c r="AK414" s="4" t="n">
        <f aca="false">ROUND(SUMPRODUCT(G414:AI414,Gene_Weights!$B$2:$AD$2),3)</f>
        <v>-9.07</v>
      </c>
      <c r="AL414" s="2" t="n">
        <v>6</v>
      </c>
      <c r="AM414" s="2" t="n">
        <v>1</v>
      </c>
      <c r="AN414" s="2" t="n">
        <v>16.67</v>
      </c>
      <c r="AO414" s="5" t="n">
        <v>58.19</v>
      </c>
      <c r="AP414" s="5" t="n">
        <v>59.74</v>
      </c>
      <c r="AQ414" s="5" t="n">
        <v>61.3</v>
      </c>
      <c r="AR414" s="5" t="n">
        <v>62.86</v>
      </c>
      <c r="AS414" s="5" t="n">
        <v>64.42</v>
      </c>
      <c r="AT414" s="5" t="n">
        <v>65.98</v>
      </c>
      <c r="AU414" s="5" t="n">
        <v>67.53</v>
      </c>
      <c r="AV414" s="5" t="s">
        <v>51</v>
      </c>
    </row>
    <row r="415" customFormat="false" ht="15" hidden="false" customHeight="false" outlineLevel="0" collapsed="false">
      <c r="A415" s="2" t="s">
        <v>124</v>
      </c>
      <c r="B415" s="2" t="n">
        <v>2005</v>
      </c>
      <c r="C415" s="2" t="s">
        <v>56</v>
      </c>
      <c r="D415" s="2" t="n">
        <v>0</v>
      </c>
      <c r="E415" s="2" t="n">
        <v>2</v>
      </c>
      <c r="F415" s="2" t="s">
        <v>50</v>
      </c>
      <c r="G415" s="3" t="n">
        <v>1</v>
      </c>
      <c r="H415" s="3" t="n">
        <v>0</v>
      </c>
      <c r="I415" s="3" t="n">
        <v>0</v>
      </c>
      <c r="J415" s="3" t="n">
        <v>1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1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1</v>
      </c>
      <c r="U415" s="3" t="n">
        <v>0</v>
      </c>
      <c r="V415" s="3" t="n">
        <v>0</v>
      </c>
      <c r="W415" s="3" t="n">
        <v>1</v>
      </c>
      <c r="X415" s="3" t="n">
        <v>1</v>
      </c>
      <c r="Y415" s="3" t="n">
        <v>1</v>
      </c>
      <c r="Z415" s="3" t="n">
        <v>1</v>
      </c>
      <c r="AA415" s="3" t="n">
        <v>1</v>
      </c>
      <c r="AB415" s="3" t="n">
        <v>0</v>
      </c>
      <c r="AC415" s="3" t="n">
        <v>1</v>
      </c>
      <c r="AD415" s="3" t="n">
        <v>0</v>
      </c>
      <c r="AE415" s="3" t="n">
        <v>1</v>
      </c>
      <c r="AF415" s="3" t="n">
        <v>1</v>
      </c>
      <c r="AG415" s="3" t="n">
        <v>0</v>
      </c>
      <c r="AH415" s="3" t="n">
        <v>0</v>
      </c>
      <c r="AI415" s="3" t="n">
        <v>1</v>
      </c>
      <c r="AJ415" s="4" t="n">
        <f aca="false">SUM(G415:AI415)</f>
        <v>13</v>
      </c>
      <c r="AK415" s="4" t="n">
        <f aca="false">ROUND(SUMPRODUCT(G415:AI415,Gene_Weights!$B$2:$AD$2),3)</f>
        <v>-9.07</v>
      </c>
      <c r="AL415" s="2" t="n">
        <v>6</v>
      </c>
      <c r="AM415" s="2" t="n">
        <v>1</v>
      </c>
      <c r="AN415" s="2" t="n">
        <v>16.67</v>
      </c>
      <c r="AO415" s="5" t="n">
        <v>75.59</v>
      </c>
      <c r="AP415" s="5" t="n">
        <v>78.01</v>
      </c>
      <c r="AQ415" s="5" t="n">
        <v>80.42</v>
      </c>
      <c r="AR415" s="5" t="n">
        <v>82.83</v>
      </c>
      <c r="AS415" s="5" t="n">
        <v>85.24</v>
      </c>
      <c r="AT415" s="5" t="n">
        <v>87.66</v>
      </c>
      <c r="AU415" s="5" t="n">
        <v>90.07</v>
      </c>
      <c r="AV415" s="5" t="s">
        <v>51</v>
      </c>
    </row>
    <row r="416" customFormat="false" ht="15" hidden="false" customHeight="false" outlineLevel="0" collapsed="false">
      <c r="A416" s="2" t="s">
        <v>125</v>
      </c>
      <c r="B416" s="2" t="n">
        <v>1998</v>
      </c>
      <c r="C416" s="2" t="s">
        <v>49</v>
      </c>
      <c r="D416" s="2" t="n">
        <v>1</v>
      </c>
      <c r="E416" s="2" t="n">
        <v>2</v>
      </c>
      <c r="F416" s="2" t="s">
        <v>50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1</v>
      </c>
      <c r="M416" s="3" t="n">
        <v>0</v>
      </c>
      <c r="N416" s="3" t="n">
        <v>0</v>
      </c>
      <c r="O416" s="3" t="n">
        <v>0</v>
      </c>
      <c r="P416" s="3" t="n">
        <v>1</v>
      </c>
      <c r="Q416" s="3" t="n">
        <v>1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1</v>
      </c>
      <c r="AG416" s="3" t="n">
        <v>0</v>
      </c>
      <c r="AH416" s="3" t="n">
        <v>0</v>
      </c>
      <c r="AI416" s="3" t="n">
        <v>0</v>
      </c>
      <c r="AJ416" s="4" t="n">
        <f aca="false">SUM(G416:AI416)</f>
        <v>4</v>
      </c>
      <c r="AK416" s="4" t="n">
        <f aca="false">ROUND(SUMPRODUCT(G416:AI416,Gene_Weights!$B$2:$AD$2),3)</f>
        <v>-3.86</v>
      </c>
      <c r="AL416" s="2" t="n">
        <v>4</v>
      </c>
      <c r="AM416" s="2" t="n">
        <v>3</v>
      </c>
      <c r="AN416" s="2" t="n">
        <v>75</v>
      </c>
      <c r="AO416" s="5" t="n">
        <v>55.12</v>
      </c>
      <c r="AP416" s="5" t="n">
        <v>56.02</v>
      </c>
      <c r="AQ416" s="5" t="n">
        <v>56.92</v>
      </c>
      <c r="AR416" s="5" t="n">
        <v>57.82</v>
      </c>
      <c r="AS416" s="5" t="n">
        <v>58.72</v>
      </c>
      <c r="AT416" s="5" t="n">
        <v>59.62</v>
      </c>
      <c r="AU416" s="5" t="n">
        <v>60.52</v>
      </c>
      <c r="AV416" s="5" t="s">
        <v>51</v>
      </c>
    </row>
    <row r="417" customFormat="false" ht="15" hidden="false" customHeight="false" outlineLevel="0" collapsed="false">
      <c r="A417" s="2" t="s">
        <v>125</v>
      </c>
      <c r="B417" s="2" t="n">
        <v>1998</v>
      </c>
      <c r="C417" s="2" t="s">
        <v>52</v>
      </c>
      <c r="D417" s="2" t="n">
        <v>0</v>
      </c>
      <c r="E417" s="2" t="n">
        <v>16</v>
      </c>
      <c r="F417" s="2" t="s">
        <v>50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</v>
      </c>
      <c r="M417" s="3" t="n">
        <v>0</v>
      </c>
      <c r="N417" s="3" t="n">
        <v>0</v>
      </c>
      <c r="O417" s="3" t="n">
        <v>0</v>
      </c>
      <c r="P417" s="3" t="n">
        <v>1</v>
      </c>
      <c r="Q417" s="3" t="n">
        <v>1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1</v>
      </c>
      <c r="AG417" s="3" t="n">
        <v>0</v>
      </c>
      <c r="AH417" s="3" t="n">
        <v>0</v>
      </c>
      <c r="AI417" s="3" t="n">
        <v>0</v>
      </c>
      <c r="AJ417" s="4" t="n">
        <f aca="false">SUM(G417:AI417)</f>
        <v>4</v>
      </c>
      <c r="AK417" s="4" t="n">
        <f aca="false">ROUND(SUMPRODUCT(G417:AI417,Gene_Weights!$B$2:$AD$2),3)</f>
        <v>-3.86</v>
      </c>
      <c r="AL417" s="2" t="n">
        <v>4</v>
      </c>
      <c r="AM417" s="2" t="n">
        <v>2</v>
      </c>
      <c r="AN417" s="2" t="n">
        <v>50</v>
      </c>
      <c r="AO417" s="5" t="n">
        <v>64.53</v>
      </c>
      <c r="AP417" s="5" t="n">
        <v>66.13</v>
      </c>
      <c r="AQ417" s="5" t="n">
        <v>67.73</v>
      </c>
      <c r="AR417" s="5" t="n">
        <v>69.33</v>
      </c>
      <c r="AS417" s="5" t="n">
        <v>70.93</v>
      </c>
      <c r="AT417" s="5" t="n">
        <v>72.53</v>
      </c>
      <c r="AU417" s="5" t="n">
        <v>74.13</v>
      </c>
      <c r="AV417" s="5" t="s">
        <v>51</v>
      </c>
    </row>
    <row r="418" customFormat="false" ht="15" hidden="false" customHeight="false" outlineLevel="0" collapsed="false">
      <c r="A418" s="2" t="s">
        <v>125</v>
      </c>
      <c r="B418" s="2" t="n">
        <v>1998</v>
      </c>
      <c r="C418" s="2" t="s">
        <v>53</v>
      </c>
      <c r="D418" s="2" t="n">
        <v>0</v>
      </c>
      <c r="E418" s="2" t="n">
        <v>4</v>
      </c>
      <c r="F418" s="2" t="s">
        <v>50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</v>
      </c>
      <c r="M418" s="3" t="n">
        <v>0</v>
      </c>
      <c r="N418" s="3" t="n">
        <v>0</v>
      </c>
      <c r="O418" s="3" t="n">
        <v>0</v>
      </c>
      <c r="P418" s="3" t="n">
        <v>1</v>
      </c>
      <c r="Q418" s="3" t="n">
        <v>1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1</v>
      </c>
      <c r="AG418" s="3" t="n">
        <v>0</v>
      </c>
      <c r="AH418" s="3" t="n">
        <v>0</v>
      </c>
      <c r="AI418" s="3" t="n">
        <v>0</v>
      </c>
      <c r="AJ418" s="4" t="n">
        <f aca="false">SUM(G418:AI418)</f>
        <v>4</v>
      </c>
      <c r="AK418" s="4" t="n">
        <f aca="false">ROUND(SUMPRODUCT(G418:AI418,Gene_Weights!$B$2:$AD$2),3)</f>
        <v>-3.86</v>
      </c>
      <c r="AL418" s="2" t="n">
        <v>4</v>
      </c>
      <c r="AM418" s="2" t="n">
        <v>1</v>
      </c>
      <c r="AN418" s="2" t="n">
        <v>25</v>
      </c>
      <c r="AO418" s="5" t="n">
        <v>52.86</v>
      </c>
      <c r="AP418" s="5" t="n">
        <v>53.65</v>
      </c>
      <c r="AQ418" s="5" t="n">
        <v>54.45</v>
      </c>
      <c r="AR418" s="5" t="n">
        <v>55.24</v>
      </c>
      <c r="AS418" s="5" t="n">
        <v>56.03</v>
      </c>
      <c r="AT418" s="5" t="n">
        <v>56.83</v>
      </c>
      <c r="AU418" s="5" t="n">
        <v>57.62</v>
      </c>
      <c r="AV418" s="5" t="s">
        <v>51</v>
      </c>
    </row>
    <row r="419" customFormat="false" ht="15" hidden="false" customHeight="false" outlineLevel="0" collapsed="false">
      <c r="A419" s="2" t="s">
        <v>125</v>
      </c>
      <c r="B419" s="2" t="n">
        <v>1998</v>
      </c>
      <c r="C419" s="2" t="s">
        <v>54</v>
      </c>
      <c r="D419" s="2" t="n">
        <v>0</v>
      </c>
      <c r="E419" s="2" t="n">
        <v>4</v>
      </c>
      <c r="F419" s="2" t="s">
        <v>50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n">
        <v>0</v>
      </c>
      <c r="N419" s="3" t="n">
        <v>0</v>
      </c>
      <c r="O419" s="3" t="n">
        <v>0</v>
      </c>
      <c r="P419" s="3" t="n">
        <v>1</v>
      </c>
      <c r="Q419" s="3" t="n">
        <v>1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1</v>
      </c>
      <c r="AG419" s="3" t="n">
        <v>0</v>
      </c>
      <c r="AH419" s="3" t="n">
        <v>0</v>
      </c>
      <c r="AI419" s="3" t="n">
        <v>0</v>
      </c>
      <c r="AJ419" s="4" t="n">
        <f aca="false">SUM(G419:AI419)</f>
        <v>4</v>
      </c>
      <c r="AK419" s="4" t="n">
        <f aca="false">ROUND(SUMPRODUCT(G419:AI419,Gene_Weights!$B$2:$AD$2),3)</f>
        <v>-3.86</v>
      </c>
      <c r="AL419" s="2" t="n">
        <v>4</v>
      </c>
      <c r="AM419" s="2" t="n">
        <v>0</v>
      </c>
      <c r="AN419" s="2" t="n">
        <v>0</v>
      </c>
      <c r="AO419" s="5" t="n">
        <v>81.84</v>
      </c>
      <c r="AP419" s="5" t="n">
        <v>84.45</v>
      </c>
      <c r="AQ419" s="5" t="n">
        <v>87.06</v>
      </c>
      <c r="AR419" s="5" t="n">
        <v>89.67</v>
      </c>
      <c r="AS419" s="5" t="n">
        <v>92.27</v>
      </c>
      <c r="AT419" s="5" t="n">
        <v>94.88</v>
      </c>
      <c r="AU419" s="5" t="n">
        <v>97.49</v>
      </c>
      <c r="AV419" s="5" t="s">
        <v>51</v>
      </c>
    </row>
    <row r="420" customFormat="false" ht="15" hidden="false" customHeight="false" outlineLevel="0" collapsed="false">
      <c r="A420" s="2" t="s">
        <v>125</v>
      </c>
      <c r="B420" s="2" t="n">
        <v>1998</v>
      </c>
      <c r="C420" s="2" t="s">
        <v>55</v>
      </c>
      <c r="D420" s="2" t="n">
        <v>0</v>
      </c>
      <c r="E420" s="2" t="n">
        <v>32</v>
      </c>
      <c r="F420" s="2" t="s">
        <v>50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n">
        <v>0</v>
      </c>
      <c r="N420" s="3" t="n">
        <v>0</v>
      </c>
      <c r="O420" s="3" t="n">
        <v>0</v>
      </c>
      <c r="P420" s="3" t="n">
        <v>1</v>
      </c>
      <c r="Q420" s="3" t="n">
        <v>1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1</v>
      </c>
      <c r="AG420" s="3" t="n">
        <v>0</v>
      </c>
      <c r="AH420" s="3" t="n">
        <v>0</v>
      </c>
      <c r="AI420" s="3" t="n">
        <v>0</v>
      </c>
      <c r="AJ420" s="4" t="n">
        <f aca="false">SUM(G420:AI420)</f>
        <v>4</v>
      </c>
      <c r="AK420" s="4" t="n">
        <f aca="false">ROUND(SUMPRODUCT(G420:AI420,Gene_Weights!$B$2:$AD$2),3)</f>
        <v>-3.86</v>
      </c>
      <c r="AL420" s="2" t="n">
        <v>4</v>
      </c>
      <c r="AM420" s="2" t="n">
        <v>1</v>
      </c>
      <c r="AN420" s="2" t="n">
        <v>25</v>
      </c>
      <c r="AO420" s="5" t="n">
        <v>58.19</v>
      </c>
      <c r="AP420" s="5" t="n">
        <v>59.74</v>
      </c>
      <c r="AQ420" s="5" t="n">
        <v>61.3</v>
      </c>
      <c r="AR420" s="5" t="n">
        <v>62.86</v>
      </c>
      <c r="AS420" s="5" t="n">
        <v>64.42</v>
      </c>
      <c r="AT420" s="5" t="n">
        <v>65.98</v>
      </c>
      <c r="AU420" s="5" t="n">
        <v>67.53</v>
      </c>
      <c r="AV420" s="5" t="s">
        <v>51</v>
      </c>
    </row>
    <row r="421" customFormat="false" ht="15" hidden="false" customHeight="false" outlineLevel="0" collapsed="false">
      <c r="A421" s="2" t="s">
        <v>125</v>
      </c>
      <c r="B421" s="2" t="n">
        <v>1998</v>
      </c>
      <c r="C421" s="2" t="s">
        <v>56</v>
      </c>
      <c r="D421" s="2" t="n">
        <v>0</v>
      </c>
      <c r="E421" s="2" t="n">
        <v>16</v>
      </c>
      <c r="F421" s="2" t="s">
        <v>50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n">
        <v>0</v>
      </c>
      <c r="N421" s="3" t="n">
        <v>0</v>
      </c>
      <c r="O421" s="3" t="n">
        <v>0</v>
      </c>
      <c r="P421" s="3" t="n">
        <v>1</v>
      </c>
      <c r="Q421" s="3" t="n">
        <v>1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1</v>
      </c>
      <c r="AG421" s="3" t="n">
        <v>0</v>
      </c>
      <c r="AH421" s="3" t="n">
        <v>0</v>
      </c>
      <c r="AI421" s="3" t="n">
        <v>0</v>
      </c>
      <c r="AJ421" s="4" t="n">
        <f aca="false">SUM(G421:AI421)</f>
        <v>4</v>
      </c>
      <c r="AK421" s="4" t="n">
        <f aca="false">ROUND(SUMPRODUCT(G421:AI421,Gene_Weights!$B$2:$AD$2),3)</f>
        <v>-3.86</v>
      </c>
      <c r="AL421" s="2" t="n">
        <v>4</v>
      </c>
      <c r="AM421" s="2" t="n">
        <v>0</v>
      </c>
      <c r="AN421" s="2" t="n">
        <v>0</v>
      </c>
      <c r="AO421" s="5" t="n">
        <v>75.59</v>
      </c>
      <c r="AP421" s="5" t="n">
        <v>78.01</v>
      </c>
      <c r="AQ421" s="5" t="n">
        <v>80.42</v>
      </c>
      <c r="AR421" s="5" t="n">
        <v>82.83</v>
      </c>
      <c r="AS421" s="5" t="n">
        <v>85.24</v>
      </c>
      <c r="AT421" s="5" t="n">
        <v>87.66</v>
      </c>
      <c r="AU421" s="5" t="n">
        <v>90.07</v>
      </c>
      <c r="AV421" s="5" t="s">
        <v>51</v>
      </c>
    </row>
    <row r="422" customFormat="false" ht="15" hidden="false" customHeight="false" outlineLevel="0" collapsed="false">
      <c r="A422" s="2" t="s">
        <v>126</v>
      </c>
      <c r="B422" s="2" t="n">
        <v>2000</v>
      </c>
      <c r="C422" s="2" t="s">
        <v>49</v>
      </c>
      <c r="D422" s="2" t="n">
        <v>0</v>
      </c>
      <c r="E422" s="2" t="n">
        <v>32</v>
      </c>
      <c r="F422" s="2" t="s">
        <v>50</v>
      </c>
      <c r="G422" s="3" t="n">
        <v>0</v>
      </c>
      <c r="H422" s="3" t="n">
        <v>1</v>
      </c>
      <c r="I422" s="3" t="n">
        <v>0</v>
      </c>
      <c r="J422" s="3" t="n">
        <v>0</v>
      </c>
      <c r="K422" s="3" t="n">
        <v>1</v>
      </c>
      <c r="L422" s="3" t="n">
        <v>0</v>
      </c>
      <c r="M422" s="3" t="n">
        <v>0</v>
      </c>
      <c r="N422" s="3" t="n">
        <v>1</v>
      </c>
      <c r="O422" s="3" t="n">
        <v>0</v>
      </c>
      <c r="P422" s="3" t="n">
        <v>0</v>
      </c>
      <c r="Q422" s="3" t="n">
        <v>1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</v>
      </c>
      <c r="X422" s="3" t="n">
        <v>0</v>
      </c>
      <c r="Y422" s="3" t="n">
        <v>0</v>
      </c>
      <c r="Z422" s="3" t="n">
        <v>1</v>
      </c>
      <c r="AA422" s="3" t="n">
        <v>1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1</v>
      </c>
      <c r="AH422" s="3" t="n">
        <v>0</v>
      </c>
      <c r="AI422" s="3" t="n">
        <v>1</v>
      </c>
      <c r="AJ422" s="4" t="n">
        <f aca="false">SUM(G422:AI422)</f>
        <v>9</v>
      </c>
      <c r="AK422" s="4" t="n">
        <f aca="false">ROUND(SUMPRODUCT(G422:AI422,Gene_Weights!$B$2:$AD$2),3)</f>
        <v>-7.08</v>
      </c>
      <c r="AL422" s="2" t="n">
        <v>8</v>
      </c>
      <c r="AM422" s="2" t="n">
        <v>2</v>
      </c>
      <c r="AN422" s="2" t="n">
        <v>25</v>
      </c>
      <c r="AO422" s="5" t="n">
        <v>55.12</v>
      </c>
      <c r="AP422" s="5" t="n">
        <v>56.02</v>
      </c>
      <c r="AQ422" s="5" t="n">
        <v>56.92</v>
      </c>
      <c r="AR422" s="5" t="n">
        <v>57.82</v>
      </c>
      <c r="AS422" s="5" t="n">
        <v>58.72</v>
      </c>
      <c r="AT422" s="5" t="n">
        <v>59.62</v>
      </c>
      <c r="AU422" s="5" t="n">
        <v>60.52</v>
      </c>
      <c r="AV422" s="5" t="s">
        <v>51</v>
      </c>
    </row>
    <row r="423" customFormat="false" ht="15" hidden="false" customHeight="false" outlineLevel="0" collapsed="false">
      <c r="A423" s="2" t="s">
        <v>126</v>
      </c>
      <c r="B423" s="2" t="n">
        <v>2000</v>
      </c>
      <c r="C423" s="2" t="s">
        <v>52</v>
      </c>
      <c r="D423" s="2" t="n">
        <v>0</v>
      </c>
      <c r="E423" s="2" t="n">
        <v>32</v>
      </c>
      <c r="F423" s="2" t="s">
        <v>50</v>
      </c>
      <c r="G423" s="3" t="n">
        <v>0</v>
      </c>
      <c r="H423" s="3" t="n">
        <v>1</v>
      </c>
      <c r="I423" s="3" t="n">
        <v>0</v>
      </c>
      <c r="J423" s="3" t="n">
        <v>0</v>
      </c>
      <c r="K423" s="3" t="n">
        <v>1</v>
      </c>
      <c r="L423" s="3" t="n">
        <v>0</v>
      </c>
      <c r="M423" s="3" t="n">
        <v>0</v>
      </c>
      <c r="N423" s="3" t="n">
        <v>1</v>
      </c>
      <c r="O423" s="3" t="n">
        <v>0</v>
      </c>
      <c r="P423" s="3" t="n">
        <v>0</v>
      </c>
      <c r="Q423" s="3" t="n">
        <v>1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1</v>
      </c>
      <c r="X423" s="3" t="n">
        <v>0</v>
      </c>
      <c r="Y423" s="3" t="n">
        <v>0</v>
      </c>
      <c r="Z423" s="3" t="n">
        <v>1</v>
      </c>
      <c r="AA423" s="3" t="n">
        <v>1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1</v>
      </c>
      <c r="AH423" s="3" t="n">
        <v>0</v>
      </c>
      <c r="AI423" s="3" t="n">
        <v>1</v>
      </c>
      <c r="AJ423" s="4" t="n">
        <f aca="false">SUM(G423:AI423)</f>
        <v>9</v>
      </c>
      <c r="AK423" s="4" t="n">
        <f aca="false">ROUND(SUMPRODUCT(G423:AI423,Gene_Weights!$B$2:$AD$2),3)</f>
        <v>-7.08</v>
      </c>
      <c r="AL423" s="2" t="n">
        <v>8</v>
      </c>
      <c r="AM423" s="2" t="n">
        <v>2</v>
      </c>
      <c r="AN423" s="2" t="n">
        <v>25</v>
      </c>
      <c r="AO423" s="5" t="n">
        <v>64.53</v>
      </c>
      <c r="AP423" s="5" t="n">
        <v>66.13</v>
      </c>
      <c r="AQ423" s="5" t="n">
        <v>67.73</v>
      </c>
      <c r="AR423" s="5" t="n">
        <v>69.33</v>
      </c>
      <c r="AS423" s="5" t="n">
        <v>70.93</v>
      </c>
      <c r="AT423" s="5" t="n">
        <v>72.53</v>
      </c>
      <c r="AU423" s="5" t="n">
        <v>74.13</v>
      </c>
      <c r="AV423" s="5" t="s">
        <v>51</v>
      </c>
    </row>
    <row r="424" customFormat="false" ht="15" hidden="false" customHeight="false" outlineLevel="0" collapsed="false">
      <c r="A424" s="2" t="s">
        <v>126</v>
      </c>
      <c r="B424" s="2" t="n">
        <v>2000</v>
      </c>
      <c r="C424" s="2" t="s">
        <v>53</v>
      </c>
      <c r="D424" s="2" t="n">
        <v>1</v>
      </c>
      <c r="E424" s="2" t="n">
        <v>4</v>
      </c>
      <c r="F424" s="2" t="s">
        <v>50</v>
      </c>
      <c r="G424" s="3" t="n">
        <v>0</v>
      </c>
      <c r="H424" s="3" t="n">
        <v>1</v>
      </c>
      <c r="I424" s="3" t="n">
        <v>0</v>
      </c>
      <c r="J424" s="3" t="n">
        <v>0</v>
      </c>
      <c r="K424" s="3" t="n">
        <v>1</v>
      </c>
      <c r="L424" s="3" t="n">
        <v>0</v>
      </c>
      <c r="M424" s="3" t="n">
        <v>0</v>
      </c>
      <c r="N424" s="3" t="n">
        <v>1</v>
      </c>
      <c r="O424" s="3" t="n">
        <v>0</v>
      </c>
      <c r="P424" s="3" t="n">
        <v>0</v>
      </c>
      <c r="Q424" s="3" t="n">
        <v>1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1</v>
      </c>
      <c r="X424" s="3" t="n">
        <v>0</v>
      </c>
      <c r="Y424" s="3" t="n">
        <v>0</v>
      </c>
      <c r="Z424" s="3" t="n">
        <v>1</v>
      </c>
      <c r="AA424" s="3" t="n">
        <v>1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1</v>
      </c>
      <c r="AH424" s="3" t="n">
        <v>0</v>
      </c>
      <c r="AI424" s="3" t="n">
        <v>1</v>
      </c>
      <c r="AJ424" s="4" t="n">
        <f aca="false">SUM(G424:AI424)</f>
        <v>9</v>
      </c>
      <c r="AK424" s="4" t="n">
        <f aca="false">ROUND(SUMPRODUCT(G424:AI424,Gene_Weights!$B$2:$AD$2),3)</f>
        <v>-7.08</v>
      </c>
      <c r="AL424" s="2" t="n">
        <v>8</v>
      </c>
      <c r="AM424" s="2" t="n">
        <v>1</v>
      </c>
      <c r="AN424" s="2" t="n">
        <v>12.5</v>
      </c>
      <c r="AO424" s="5" t="n">
        <v>52.86</v>
      </c>
      <c r="AP424" s="5" t="n">
        <v>53.65</v>
      </c>
      <c r="AQ424" s="5" t="n">
        <v>54.45</v>
      </c>
      <c r="AR424" s="5" t="n">
        <v>55.24</v>
      </c>
      <c r="AS424" s="5" t="n">
        <v>56.03</v>
      </c>
      <c r="AT424" s="5" t="n">
        <v>56.83</v>
      </c>
      <c r="AU424" s="5" t="n">
        <v>57.62</v>
      </c>
      <c r="AV424" s="5" t="s">
        <v>51</v>
      </c>
    </row>
    <row r="425" customFormat="false" ht="15" hidden="false" customHeight="false" outlineLevel="0" collapsed="false">
      <c r="A425" s="2" t="s">
        <v>126</v>
      </c>
      <c r="B425" s="2" t="n">
        <v>2000</v>
      </c>
      <c r="C425" s="2" t="s">
        <v>54</v>
      </c>
      <c r="D425" s="2" t="n">
        <v>0</v>
      </c>
      <c r="E425" s="2" t="n">
        <v>16</v>
      </c>
      <c r="F425" s="2" t="s">
        <v>50</v>
      </c>
      <c r="G425" s="3" t="n">
        <v>0</v>
      </c>
      <c r="H425" s="3" t="n">
        <v>1</v>
      </c>
      <c r="I425" s="3" t="n">
        <v>0</v>
      </c>
      <c r="J425" s="3" t="n">
        <v>0</v>
      </c>
      <c r="K425" s="3" t="n">
        <v>1</v>
      </c>
      <c r="L425" s="3" t="n">
        <v>0</v>
      </c>
      <c r="M425" s="3" t="n">
        <v>0</v>
      </c>
      <c r="N425" s="3" t="n">
        <v>1</v>
      </c>
      <c r="O425" s="3" t="n">
        <v>0</v>
      </c>
      <c r="P425" s="3" t="n">
        <v>0</v>
      </c>
      <c r="Q425" s="3" t="n">
        <v>1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1</v>
      </c>
      <c r="X425" s="3" t="n">
        <v>0</v>
      </c>
      <c r="Y425" s="3" t="n">
        <v>0</v>
      </c>
      <c r="Z425" s="3" t="n">
        <v>1</v>
      </c>
      <c r="AA425" s="3" t="n">
        <v>1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1</v>
      </c>
      <c r="AH425" s="3" t="n">
        <v>0</v>
      </c>
      <c r="AI425" s="3" t="n">
        <v>1</v>
      </c>
      <c r="AJ425" s="4" t="n">
        <f aca="false">SUM(G425:AI425)</f>
        <v>9</v>
      </c>
      <c r="AK425" s="4" t="n">
        <f aca="false">ROUND(SUMPRODUCT(G425:AI425,Gene_Weights!$B$2:$AD$2),3)</f>
        <v>-7.08</v>
      </c>
      <c r="AL425" s="2" t="n">
        <v>8</v>
      </c>
      <c r="AM425" s="2" t="n">
        <v>1</v>
      </c>
      <c r="AN425" s="2" t="n">
        <v>12.5</v>
      </c>
      <c r="AO425" s="5" t="n">
        <v>81.84</v>
      </c>
      <c r="AP425" s="5" t="n">
        <v>84.45</v>
      </c>
      <c r="AQ425" s="5" t="n">
        <v>87.06</v>
      </c>
      <c r="AR425" s="5" t="n">
        <v>89.67</v>
      </c>
      <c r="AS425" s="5" t="n">
        <v>92.27</v>
      </c>
      <c r="AT425" s="5" t="n">
        <v>94.88</v>
      </c>
      <c r="AU425" s="5" t="n">
        <v>97.49</v>
      </c>
      <c r="AV425" s="5" t="s">
        <v>51</v>
      </c>
    </row>
    <row r="426" customFormat="false" ht="15" hidden="false" customHeight="false" outlineLevel="0" collapsed="false">
      <c r="A426" s="2" t="s">
        <v>126</v>
      </c>
      <c r="B426" s="2" t="n">
        <v>2000</v>
      </c>
      <c r="C426" s="2" t="s">
        <v>55</v>
      </c>
      <c r="D426" s="2" t="n">
        <v>0</v>
      </c>
      <c r="E426" s="2" t="n">
        <v>4</v>
      </c>
      <c r="F426" s="2" t="s">
        <v>50</v>
      </c>
      <c r="G426" s="3" t="n">
        <v>0</v>
      </c>
      <c r="H426" s="3" t="n">
        <v>1</v>
      </c>
      <c r="I426" s="3" t="n">
        <v>0</v>
      </c>
      <c r="J426" s="3" t="n">
        <v>0</v>
      </c>
      <c r="K426" s="3" t="n">
        <v>1</v>
      </c>
      <c r="L426" s="3" t="n">
        <v>0</v>
      </c>
      <c r="M426" s="3" t="n">
        <v>0</v>
      </c>
      <c r="N426" s="3" t="n">
        <v>1</v>
      </c>
      <c r="O426" s="3" t="n">
        <v>0</v>
      </c>
      <c r="P426" s="3" t="n">
        <v>0</v>
      </c>
      <c r="Q426" s="3" t="n">
        <v>1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1</v>
      </c>
      <c r="X426" s="3" t="n">
        <v>0</v>
      </c>
      <c r="Y426" s="3" t="n">
        <v>0</v>
      </c>
      <c r="Z426" s="3" t="n">
        <v>1</v>
      </c>
      <c r="AA426" s="3" t="n">
        <v>1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1</v>
      </c>
      <c r="AH426" s="3" t="n">
        <v>0</v>
      </c>
      <c r="AI426" s="3" t="n">
        <v>1</v>
      </c>
      <c r="AJ426" s="4" t="n">
        <f aca="false">SUM(G426:AI426)</f>
        <v>9</v>
      </c>
      <c r="AK426" s="4" t="n">
        <f aca="false">ROUND(SUMPRODUCT(G426:AI426,Gene_Weights!$B$2:$AD$2),3)</f>
        <v>-7.08</v>
      </c>
      <c r="AL426" s="2" t="n">
        <v>8</v>
      </c>
      <c r="AM426" s="2" t="n">
        <v>0</v>
      </c>
      <c r="AN426" s="2" t="n">
        <v>0</v>
      </c>
      <c r="AO426" s="5" t="n">
        <v>58.19</v>
      </c>
      <c r="AP426" s="5" t="n">
        <v>59.74</v>
      </c>
      <c r="AQ426" s="5" t="n">
        <v>61.3</v>
      </c>
      <c r="AR426" s="5" t="n">
        <v>62.86</v>
      </c>
      <c r="AS426" s="5" t="n">
        <v>64.42</v>
      </c>
      <c r="AT426" s="5" t="n">
        <v>65.98</v>
      </c>
      <c r="AU426" s="5" t="n">
        <v>67.53</v>
      </c>
      <c r="AV426" s="5" t="s">
        <v>51</v>
      </c>
    </row>
    <row r="427" customFormat="false" ht="15" hidden="false" customHeight="false" outlineLevel="0" collapsed="false">
      <c r="A427" s="2" t="s">
        <v>126</v>
      </c>
      <c r="B427" s="2" t="n">
        <v>2000</v>
      </c>
      <c r="C427" s="2" t="s">
        <v>56</v>
      </c>
      <c r="D427" s="2" t="n">
        <v>0</v>
      </c>
      <c r="E427" s="2" t="n">
        <v>4</v>
      </c>
      <c r="F427" s="2" t="s">
        <v>50</v>
      </c>
      <c r="G427" s="3" t="n">
        <v>0</v>
      </c>
      <c r="H427" s="3" t="n">
        <v>1</v>
      </c>
      <c r="I427" s="3" t="n">
        <v>0</v>
      </c>
      <c r="J427" s="3" t="n">
        <v>0</v>
      </c>
      <c r="K427" s="3" t="n">
        <v>1</v>
      </c>
      <c r="L427" s="3" t="n">
        <v>0</v>
      </c>
      <c r="M427" s="3" t="n">
        <v>0</v>
      </c>
      <c r="N427" s="3" t="n">
        <v>1</v>
      </c>
      <c r="O427" s="3" t="n">
        <v>0</v>
      </c>
      <c r="P427" s="3" t="n">
        <v>0</v>
      </c>
      <c r="Q427" s="3" t="n">
        <v>1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1</v>
      </c>
      <c r="X427" s="3" t="n">
        <v>0</v>
      </c>
      <c r="Y427" s="3" t="n">
        <v>0</v>
      </c>
      <c r="Z427" s="3" t="n">
        <v>1</v>
      </c>
      <c r="AA427" s="3" t="n">
        <v>1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1</v>
      </c>
      <c r="AH427" s="3" t="n">
        <v>0</v>
      </c>
      <c r="AI427" s="3" t="n">
        <v>1</v>
      </c>
      <c r="AJ427" s="4" t="n">
        <f aca="false">SUM(G427:AI427)</f>
        <v>9</v>
      </c>
      <c r="AK427" s="4" t="n">
        <f aca="false">ROUND(SUMPRODUCT(G427:AI427,Gene_Weights!$B$2:$AD$2),3)</f>
        <v>-7.08</v>
      </c>
      <c r="AL427" s="2" t="n">
        <v>8</v>
      </c>
      <c r="AM427" s="2" t="n">
        <v>2</v>
      </c>
      <c r="AN427" s="2" t="n">
        <v>25</v>
      </c>
      <c r="AO427" s="5" t="n">
        <v>75.59</v>
      </c>
      <c r="AP427" s="5" t="n">
        <v>78.01</v>
      </c>
      <c r="AQ427" s="5" t="n">
        <v>80.42</v>
      </c>
      <c r="AR427" s="5" t="n">
        <v>82.83</v>
      </c>
      <c r="AS427" s="5" t="n">
        <v>85.24</v>
      </c>
      <c r="AT427" s="5" t="n">
        <v>87.66</v>
      </c>
      <c r="AU427" s="5" t="n">
        <v>90.07</v>
      </c>
      <c r="AV427" s="5" t="s">
        <v>51</v>
      </c>
    </row>
    <row r="428" customFormat="false" ht="15" hidden="false" customHeight="false" outlineLevel="0" collapsed="false">
      <c r="A428" s="2" t="s">
        <v>127</v>
      </c>
      <c r="B428" s="2" t="n">
        <v>2021</v>
      </c>
      <c r="C428" s="2" t="s">
        <v>49</v>
      </c>
      <c r="D428" s="2" t="n">
        <v>0</v>
      </c>
      <c r="E428" s="2" t="n">
        <v>4</v>
      </c>
      <c r="F428" s="2" t="s">
        <v>50</v>
      </c>
      <c r="G428" s="3" t="n">
        <v>0</v>
      </c>
      <c r="H428" s="3" t="n">
        <v>0</v>
      </c>
      <c r="I428" s="3" t="n">
        <v>0</v>
      </c>
      <c r="J428" s="3" t="n">
        <v>1</v>
      </c>
      <c r="K428" s="3" t="n">
        <v>0</v>
      </c>
      <c r="L428" s="3" t="n">
        <v>0</v>
      </c>
      <c r="M428" s="3" t="n">
        <v>1</v>
      </c>
      <c r="N428" s="3" t="n">
        <v>0</v>
      </c>
      <c r="O428" s="3" t="n">
        <v>0</v>
      </c>
      <c r="P428" s="3" t="n">
        <v>1</v>
      </c>
      <c r="Q428" s="3" t="n">
        <v>1</v>
      </c>
      <c r="R428" s="3" t="n">
        <v>0</v>
      </c>
      <c r="S428" s="3" t="n">
        <v>0</v>
      </c>
      <c r="T428" s="3" t="n">
        <v>1</v>
      </c>
      <c r="U428" s="3" t="n">
        <v>0</v>
      </c>
      <c r="V428" s="3" t="n">
        <v>0</v>
      </c>
      <c r="W428" s="3" t="n">
        <v>0</v>
      </c>
      <c r="X428" s="3" t="n">
        <v>1</v>
      </c>
      <c r="Y428" s="3" t="n">
        <v>0</v>
      </c>
      <c r="Z428" s="3" t="n">
        <v>0</v>
      </c>
      <c r="AA428" s="3" t="n">
        <v>1</v>
      </c>
      <c r="AB428" s="3" t="n">
        <v>0</v>
      </c>
      <c r="AC428" s="3" t="n">
        <v>1</v>
      </c>
      <c r="AD428" s="3" t="n">
        <v>1</v>
      </c>
      <c r="AE428" s="3" t="n">
        <v>0</v>
      </c>
      <c r="AF428" s="3" t="n">
        <v>0</v>
      </c>
      <c r="AG428" s="3" t="n">
        <v>1</v>
      </c>
      <c r="AH428" s="3" t="n">
        <v>1</v>
      </c>
      <c r="AI428" s="3" t="n">
        <v>0</v>
      </c>
      <c r="AJ428" s="4" t="n">
        <f aca="false">SUM(G428:AI428)</f>
        <v>11</v>
      </c>
      <c r="AK428" s="4" t="n">
        <f aca="false">ROUND(SUMPRODUCT(G428:AI428,Gene_Weights!$B$2:$AD$2),3)</f>
        <v>-9.32</v>
      </c>
      <c r="AL428" s="2" t="n">
        <v>5</v>
      </c>
      <c r="AM428" s="2" t="n">
        <v>0</v>
      </c>
      <c r="AN428" s="2" t="n">
        <v>0</v>
      </c>
      <c r="AO428" s="5" t="n">
        <v>55.12</v>
      </c>
      <c r="AP428" s="5" t="n">
        <v>56.02</v>
      </c>
      <c r="AQ428" s="5" t="n">
        <v>56.92</v>
      </c>
      <c r="AR428" s="5" t="n">
        <v>57.82</v>
      </c>
      <c r="AS428" s="5" t="n">
        <v>58.72</v>
      </c>
      <c r="AT428" s="5" t="n">
        <v>59.62</v>
      </c>
      <c r="AU428" s="5" t="n">
        <v>60.52</v>
      </c>
      <c r="AV428" s="5" t="s">
        <v>51</v>
      </c>
    </row>
    <row r="429" customFormat="false" ht="15" hidden="false" customHeight="false" outlineLevel="0" collapsed="false">
      <c r="A429" s="2" t="s">
        <v>127</v>
      </c>
      <c r="B429" s="2" t="n">
        <v>2021</v>
      </c>
      <c r="C429" s="2" t="s">
        <v>52</v>
      </c>
      <c r="D429" s="2" t="n">
        <v>0</v>
      </c>
      <c r="E429" s="2" t="n">
        <v>16</v>
      </c>
      <c r="F429" s="2" t="s">
        <v>50</v>
      </c>
      <c r="G429" s="3" t="n">
        <v>0</v>
      </c>
      <c r="H429" s="3" t="n">
        <v>0</v>
      </c>
      <c r="I429" s="3" t="n">
        <v>0</v>
      </c>
      <c r="J429" s="3" t="n">
        <v>1</v>
      </c>
      <c r="K429" s="3" t="n">
        <v>0</v>
      </c>
      <c r="L429" s="3" t="n">
        <v>0</v>
      </c>
      <c r="M429" s="3" t="n">
        <v>1</v>
      </c>
      <c r="N429" s="3" t="n">
        <v>0</v>
      </c>
      <c r="O429" s="3" t="n">
        <v>0</v>
      </c>
      <c r="P429" s="3" t="n">
        <v>1</v>
      </c>
      <c r="Q429" s="3" t="n">
        <v>1</v>
      </c>
      <c r="R429" s="3" t="n">
        <v>0</v>
      </c>
      <c r="S429" s="3" t="n">
        <v>0</v>
      </c>
      <c r="T429" s="3" t="n">
        <v>1</v>
      </c>
      <c r="U429" s="3" t="n">
        <v>0</v>
      </c>
      <c r="V429" s="3" t="n">
        <v>0</v>
      </c>
      <c r="W429" s="3" t="n">
        <v>0</v>
      </c>
      <c r="X429" s="3" t="n">
        <v>1</v>
      </c>
      <c r="Y429" s="3" t="n">
        <v>0</v>
      </c>
      <c r="Z429" s="3" t="n">
        <v>0</v>
      </c>
      <c r="AA429" s="3" t="n">
        <v>1</v>
      </c>
      <c r="AB429" s="3" t="n">
        <v>0</v>
      </c>
      <c r="AC429" s="3" t="n">
        <v>1</v>
      </c>
      <c r="AD429" s="3" t="n">
        <v>1</v>
      </c>
      <c r="AE429" s="3" t="n">
        <v>0</v>
      </c>
      <c r="AF429" s="3" t="n">
        <v>0</v>
      </c>
      <c r="AG429" s="3" t="n">
        <v>1</v>
      </c>
      <c r="AH429" s="3" t="n">
        <v>1</v>
      </c>
      <c r="AI429" s="3" t="n">
        <v>0</v>
      </c>
      <c r="AJ429" s="4" t="n">
        <f aca="false">SUM(G429:AI429)</f>
        <v>11</v>
      </c>
      <c r="AK429" s="4" t="n">
        <f aca="false">ROUND(SUMPRODUCT(G429:AI429,Gene_Weights!$B$2:$AD$2),3)</f>
        <v>-9.32</v>
      </c>
      <c r="AL429" s="2" t="n">
        <v>5</v>
      </c>
      <c r="AM429" s="2" t="n">
        <v>2</v>
      </c>
      <c r="AN429" s="2" t="n">
        <v>40</v>
      </c>
      <c r="AO429" s="5" t="n">
        <v>64.53</v>
      </c>
      <c r="AP429" s="5" t="n">
        <v>66.13</v>
      </c>
      <c r="AQ429" s="5" t="n">
        <v>67.73</v>
      </c>
      <c r="AR429" s="5" t="n">
        <v>69.33</v>
      </c>
      <c r="AS429" s="5" t="n">
        <v>70.93</v>
      </c>
      <c r="AT429" s="5" t="n">
        <v>72.53</v>
      </c>
      <c r="AU429" s="5" t="n">
        <v>74.13</v>
      </c>
      <c r="AV429" s="5" t="s">
        <v>51</v>
      </c>
    </row>
    <row r="430" customFormat="false" ht="15" hidden="false" customHeight="false" outlineLevel="0" collapsed="false">
      <c r="A430" s="2" t="s">
        <v>127</v>
      </c>
      <c r="B430" s="2" t="n">
        <v>2021</v>
      </c>
      <c r="C430" s="2" t="s">
        <v>53</v>
      </c>
      <c r="D430" s="2" t="n">
        <v>1</v>
      </c>
      <c r="E430" s="2" t="n">
        <v>4</v>
      </c>
      <c r="F430" s="2" t="s">
        <v>50</v>
      </c>
      <c r="G430" s="3" t="n">
        <v>0</v>
      </c>
      <c r="H430" s="3" t="n">
        <v>0</v>
      </c>
      <c r="I430" s="3" t="n">
        <v>0</v>
      </c>
      <c r="J430" s="3" t="n">
        <v>1</v>
      </c>
      <c r="K430" s="3" t="n">
        <v>0</v>
      </c>
      <c r="L430" s="3" t="n">
        <v>0</v>
      </c>
      <c r="M430" s="3" t="n">
        <v>1</v>
      </c>
      <c r="N430" s="3" t="n">
        <v>0</v>
      </c>
      <c r="O430" s="3" t="n">
        <v>0</v>
      </c>
      <c r="P430" s="3" t="n">
        <v>1</v>
      </c>
      <c r="Q430" s="3" t="n">
        <v>1</v>
      </c>
      <c r="R430" s="3" t="n">
        <v>0</v>
      </c>
      <c r="S430" s="3" t="n">
        <v>0</v>
      </c>
      <c r="T430" s="3" t="n">
        <v>1</v>
      </c>
      <c r="U430" s="3" t="n">
        <v>0</v>
      </c>
      <c r="V430" s="3" t="n">
        <v>0</v>
      </c>
      <c r="W430" s="3" t="n">
        <v>0</v>
      </c>
      <c r="X430" s="3" t="n">
        <v>1</v>
      </c>
      <c r="Y430" s="3" t="n">
        <v>0</v>
      </c>
      <c r="Z430" s="3" t="n">
        <v>0</v>
      </c>
      <c r="AA430" s="3" t="n">
        <v>1</v>
      </c>
      <c r="AB430" s="3" t="n">
        <v>0</v>
      </c>
      <c r="AC430" s="3" t="n">
        <v>1</v>
      </c>
      <c r="AD430" s="3" t="n">
        <v>1</v>
      </c>
      <c r="AE430" s="3" t="n">
        <v>0</v>
      </c>
      <c r="AF430" s="3" t="n">
        <v>0</v>
      </c>
      <c r="AG430" s="3" t="n">
        <v>1</v>
      </c>
      <c r="AH430" s="3" t="n">
        <v>1</v>
      </c>
      <c r="AI430" s="3" t="n">
        <v>0</v>
      </c>
      <c r="AJ430" s="4" t="n">
        <f aca="false">SUM(G430:AI430)</f>
        <v>11</v>
      </c>
      <c r="AK430" s="4" t="n">
        <f aca="false">ROUND(SUMPRODUCT(G430:AI430,Gene_Weights!$B$2:$AD$2),3)</f>
        <v>-9.32</v>
      </c>
      <c r="AL430" s="2" t="n">
        <v>5</v>
      </c>
      <c r="AM430" s="2" t="n">
        <v>3</v>
      </c>
      <c r="AN430" s="2" t="n">
        <v>60</v>
      </c>
      <c r="AO430" s="5" t="n">
        <v>52.86</v>
      </c>
      <c r="AP430" s="5" t="n">
        <v>53.65</v>
      </c>
      <c r="AQ430" s="5" t="n">
        <v>54.45</v>
      </c>
      <c r="AR430" s="5" t="n">
        <v>55.24</v>
      </c>
      <c r="AS430" s="5" t="n">
        <v>56.03</v>
      </c>
      <c r="AT430" s="5" t="n">
        <v>56.83</v>
      </c>
      <c r="AU430" s="5" t="n">
        <v>57.62</v>
      </c>
      <c r="AV430" s="5" t="s">
        <v>51</v>
      </c>
    </row>
    <row r="431" customFormat="false" ht="15" hidden="false" customHeight="false" outlineLevel="0" collapsed="false">
      <c r="A431" s="2" t="s">
        <v>127</v>
      </c>
      <c r="B431" s="2" t="n">
        <v>2021</v>
      </c>
      <c r="C431" s="2" t="s">
        <v>54</v>
      </c>
      <c r="D431" s="2" t="n">
        <v>1</v>
      </c>
      <c r="E431" s="2" t="n">
        <v>32</v>
      </c>
      <c r="F431" s="2" t="s">
        <v>50</v>
      </c>
      <c r="G431" s="3" t="n">
        <v>0</v>
      </c>
      <c r="H431" s="3" t="n">
        <v>0</v>
      </c>
      <c r="I431" s="3" t="n">
        <v>0</v>
      </c>
      <c r="J431" s="3" t="n">
        <v>1</v>
      </c>
      <c r="K431" s="3" t="n">
        <v>0</v>
      </c>
      <c r="L431" s="3" t="n">
        <v>0</v>
      </c>
      <c r="M431" s="3" t="n">
        <v>1</v>
      </c>
      <c r="N431" s="3" t="n">
        <v>0</v>
      </c>
      <c r="O431" s="3" t="n">
        <v>0</v>
      </c>
      <c r="P431" s="3" t="n">
        <v>1</v>
      </c>
      <c r="Q431" s="3" t="n">
        <v>1</v>
      </c>
      <c r="R431" s="3" t="n">
        <v>0</v>
      </c>
      <c r="S431" s="3" t="n">
        <v>0</v>
      </c>
      <c r="T431" s="3" t="n">
        <v>1</v>
      </c>
      <c r="U431" s="3" t="n">
        <v>0</v>
      </c>
      <c r="V431" s="3" t="n">
        <v>0</v>
      </c>
      <c r="W431" s="3" t="n">
        <v>0</v>
      </c>
      <c r="X431" s="3" t="n">
        <v>1</v>
      </c>
      <c r="Y431" s="3" t="n">
        <v>0</v>
      </c>
      <c r="Z431" s="3" t="n">
        <v>0</v>
      </c>
      <c r="AA431" s="3" t="n">
        <v>1</v>
      </c>
      <c r="AB431" s="3" t="n">
        <v>0</v>
      </c>
      <c r="AC431" s="3" t="n">
        <v>1</v>
      </c>
      <c r="AD431" s="3" t="n">
        <v>1</v>
      </c>
      <c r="AE431" s="3" t="n">
        <v>0</v>
      </c>
      <c r="AF431" s="3" t="n">
        <v>0</v>
      </c>
      <c r="AG431" s="3" t="n">
        <v>1</v>
      </c>
      <c r="AH431" s="3" t="n">
        <v>1</v>
      </c>
      <c r="AI431" s="3" t="n">
        <v>0</v>
      </c>
      <c r="AJ431" s="4" t="n">
        <f aca="false">SUM(G431:AI431)</f>
        <v>11</v>
      </c>
      <c r="AK431" s="4" t="n">
        <f aca="false">ROUND(SUMPRODUCT(G431:AI431,Gene_Weights!$B$2:$AD$2),3)</f>
        <v>-9.32</v>
      </c>
      <c r="AL431" s="2" t="n">
        <v>5</v>
      </c>
      <c r="AM431" s="2" t="n">
        <v>5</v>
      </c>
      <c r="AN431" s="2" t="n">
        <v>100</v>
      </c>
      <c r="AO431" s="5" t="n">
        <v>81.84</v>
      </c>
      <c r="AP431" s="5" t="n">
        <v>84.45</v>
      </c>
      <c r="AQ431" s="5" t="n">
        <v>87.06</v>
      </c>
      <c r="AR431" s="5" t="n">
        <v>89.67</v>
      </c>
      <c r="AS431" s="5" t="n">
        <v>92.27</v>
      </c>
      <c r="AT431" s="5" t="n">
        <v>94.88</v>
      </c>
      <c r="AU431" s="5" t="n">
        <v>97.49</v>
      </c>
      <c r="AV431" s="5" t="s">
        <v>51</v>
      </c>
    </row>
    <row r="432" customFormat="false" ht="15" hidden="false" customHeight="false" outlineLevel="0" collapsed="false">
      <c r="A432" s="2" t="s">
        <v>127</v>
      </c>
      <c r="B432" s="2" t="n">
        <v>2021</v>
      </c>
      <c r="C432" s="2" t="s">
        <v>55</v>
      </c>
      <c r="D432" s="2" t="n">
        <v>1</v>
      </c>
      <c r="E432" s="2" t="n">
        <v>4</v>
      </c>
      <c r="F432" s="2" t="s">
        <v>50</v>
      </c>
      <c r="G432" s="3" t="n">
        <v>0</v>
      </c>
      <c r="H432" s="3" t="n">
        <v>0</v>
      </c>
      <c r="I432" s="3" t="n">
        <v>0</v>
      </c>
      <c r="J432" s="3" t="n">
        <v>1</v>
      </c>
      <c r="K432" s="3" t="n">
        <v>0</v>
      </c>
      <c r="L432" s="3" t="n">
        <v>0</v>
      </c>
      <c r="M432" s="3" t="n">
        <v>1</v>
      </c>
      <c r="N432" s="3" t="n">
        <v>0</v>
      </c>
      <c r="O432" s="3" t="n">
        <v>0</v>
      </c>
      <c r="P432" s="3" t="n">
        <v>1</v>
      </c>
      <c r="Q432" s="3" t="n">
        <v>1</v>
      </c>
      <c r="R432" s="3" t="n">
        <v>0</v>
      </c>
      <c r="S432" s="3" t="n">
        <v>0</v>
      </c>
      <c r="T432" s="3" t="n">
        <v>1</v>
      </c>
      <c r="U432" s="3" t="n">
        <v>0</v>
      </c>
      <c r="V432" s="3" t="n">
        <v>0</v>
      </c>
      <c r="W432" s="3" t="n">
        <v>0</v>
      </c>
      <c r="X432" s="3" t="n">
        <v>1</v>
      </c>
      <c r="Y432" s="3" t="n">
        <v>0</v>
      </c>
      <c r="Z432" s="3" t="n">
        <v>0</v>
      </c>
      <c r="AA432" s="3" t="n">
        <v>1</v>
      </c>
      <c r="AB432" s="3" t="n">
        <v>0</v>
      </c>
      <c r="AC432" s="3" t="n">
        <v>1</v>
      </c>
      <c r="AD432" s="3" t="n">
        <v>1</v>
      </c>
      <c r="AE432" s="3" t="n">
        <v>0</v>
      </c>
      <c r="AF432" s="3" t="n">
        <v>0</v>
      </c>
      <c r="AG432" s="3" t="n">
        <v>1</v>
      </c>
      <c r="AH432" s="3" t="n">
        <v>1</v>
      </c>
      <c r="AI432" s="3" t="n">
        <v>0</v>
      </c>
      <c r="AJ432" s="4" t="n">
        <f aca="false">SUM(G432:AI432)</f>
        <v>11</v>
      </c>
      <c r="AK432" s="4" t="n">
        <f aca="false">ROUND(SUMPRODUCT(G432:AI432,Gene_Weights!$B$2:$AD$2),3)</f>
        <v>-9.32</v>
      </c>
      <c r="AL432" s="2" t="n">
        <v>5</v>
      </c>
      <c r="AM432" s="2" t="n">
        <v>2</v>
      </c>
      <c r="AN432" s="2" t="n">
        <v>40</v>
      </c>
      <c r="AO432" s="5" t="n">
        <v>58.19</v>
      </c>
      <c r="AP432" s="5" t="n">
        <v>59.74</v>
      </c>
      <c r="AQ432" s="5" t="n">
        <v>61.3</v>
      </c>
      <c r="AR432" s="5" t="n">
        <v>62.86</v>
      </c>
      <c r="AS432" s="5" t="n">
        <v>64.42</v>
      </c>
      <c r="AT432" s="5" t="n">
        <v>65.98</v>
      </c>
      <c r="AU432" s="5" t="n">
        <v>67.53</v>
      </c>
      <c r="AV432" s="5" t="s">
        <v>51</v>
      </c>
    </row>
    <row r="433" customFormat="false" ht="15" hidden="false" customHeight="false" outlineLevel="0" collapsed="false">
      <c r="A433" s="2" t="s">
        <v>127</v>
      </c>
      <c r="B433" s="2" t="n">
        <v>2021</v>
      </c>
      <c r="C433" s="2" t="s">
        <v>56</v>
      </c>
      <c r="D433" s="2" t="n">
        <v>1</v>
      </c>
      <c r="E433" s="2" t="n">
        <v>16</v>
      </c>
      <c r="F433" s="2" t="s">
        <v>50</v>
      </c>
      <c r="G433" s="3" t="n">
        <v>0</v>
      </c>
      <c r="H433" s="3" t="n">
        <v>0</v>
      </c>
      <c r="I433" s="3" t="n">
        <v>0</v>
      </c>
      <c r="J433" s="3" t="n">
        <v>1</v>
      </c>
      <c r="K433" s="3" t="n">
        <v>0</v>
      </c>
      <c r="L433" s="3" t="n">
        <v>0</v>
      </c>
      <c r="M433" s="3" t="n">
        <v>1</v>
      </c>
      <c r="N433" s="3" t="n">
        <v>0</v>
      </c>
      <c r="O433" s="3" t="n">
        <v>0</v>
      </c>
      <c r="P433" s="3" t="n">
        <v>1</v>
      </c>
      <c r="Q433" s="3" t="n">
        <v>1</v>
      </c>
      <c r="R433" s="3" t="n">
        <v>0</v>
      </c>
      <c r="S433" s="3" t="n">
        <v>0</v>
      </c>
      <c r="T433" s="3" t="n">
        <v>1</v>
      </c>
      <c r="U433" s="3" t="n">
        <v>0</v>
      </c>
      <c r="V433" s="3" t="n">
        <v>0</v>
      </c>
      <c r="W433" s="3" t="n">
        <v>0</v>
      </c>
      <c r="X433" s="3" t="n">
        <v>1</v>
      </c>
      <c r="Y433" s="3" t="n">
        <v>0</v>
      </c>
      <c r="Z433" s="3" t="n">
        <v>0</v>
      </c>
      <c r="AA433" s="3" t="n">
        <v>1</v>
      </c>
      <c r="AB433" s="3" t="n">
        <v>0</v>
      </c>
      <c r="AC433" s="3" t="n">
        <v>1</v>
      </c>
      <c r="AD433" s="3" t="n">
        <v>1</v>
      </c>
      <c r="AE433" s="3" t="n">
        <v>0</v>
      </c>
      <c r="AF433" s="3" t="n">
        <v>0</v>
      </c>
      <c r="AG433" s="3" t="n">
        <v>1</v>
      </c>
      <c r="AH433" s="3" t="n">
        <v>1</v>
      </c>
      <c r="AI433" s="3" t="n">
        <v>0</v>
      </c>
      <c r="AJ433" s="4" t="n">
        <f aca="false">SUM(G433:AI433)</f>
        <v>11</v>
      </c>
      <c r="AK433" s="4" t="n">
        <f aca="false">ROUND(SUMPRODUCT(G433:AI433,Gene_Weights!$B$2:$AD$2),3)</f>
        <v>-9.32</v>
      </c>
      <c r="AL433" s="2" t="n">
        <v>5</v>
      </c>
      <c r="AM433" s="2" t="n">
        <v>4</v>
      </c>
      <c r="AN433" s="2" t="n">
        <v>80</v>
      </c>
      <c r="AO433" s="5" t="n">
        <v>75.59</v>
      </c>
      <c r="AP433" s="5" t="n">
        <v>78.01</v>
      </c>
      <c r="AQ433" s="5" t="n">
        <v>80.42</v>
      </c>
      <c r="AR433" s="5" t="n">
        <v>82.83</v>
      </c>
      <c r="AS433" s="5" t="n">
        <v>85.24</v>
      </c>
      <c r="AT433" s="5" t="n">
        <v>87.66</v>
      </c>
      <c r="AU433" s="5" t="n">
        <v>90.07</v>
      </c>
      <c r="AV433" s="5" t="s">
        <v>51</v>
      </c>
    </row>
    <row r="434" customFormat="false" ht="15" hidden="false" customHeight="false" outlineLevel="0" collapsed="false">
      <c r="A434" s="2" t="s">
        <v>128</v>
      </c>
      <c r="B434" s="2" t="n">
        <v>2017</v>
      </c>
      <c r="C434" s="2" t="s">
        <v>49</v>
      </c>
      <c r="D434" s="2" t="n">
        <v>1</v>
      </c>
      <c r="E434" s="2" t="n">
        <v>2</v>
      </c>
      <c r="F434" s="2" t="s">
        <v>50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n">
        <v>1</v>
      </c>
      <c r="N434" s="3" t="n">
        <v>1</v>
      </c>
      <c r="O434" s="3" t="n">
        <v>0</v>
      </c>
      <c r="P434" s="3" t="n">
        <v>0</v>
      </c>
      <c r="Q434" s="3" t="n">
        <v>1</v>
      </c>
      <c r="R434" s="3" t="n">
        <v>0</v>
      </c>
      <c r="S434" s="3" t="n">
        <v>1</v>
      </c>
      <c r="T434" s="3" t="n">
        <v>0</v>
      </c>
      <c r="U434" s="3" t="n">
        <v>0</v>
      </c>
      <c r="V434" s="3" t="n">
        <v>1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1</v>
      </c>
      <c r="AE434" s="3" t="n">
        <v>0</v>
      </c>
      <c r="AF434" s="3" t="n">
        <v>1</v>
      </c>
      <c r="AG434" s="3" t="n">
        <v>1</v>
      </c>
      <c r="AH434" s="3" t="n">
        <v>0</v>
      </c>
      <c r="AI434" s="3" t="n">
        <v>1</v>
      </c>
      <c r="AJ434" s="4" t="n">
        <f aca="false">SUM(G434:AI434)</f>
        <v>10</v>
      </c>
      <c r="AK434" s="4" t="n">
        <f aca="false">ROUND(SUMPRODUCT(G434:AI434,Gene_Weights!$B$2:$AD$2),3)</f>
        <v>-8.08</v>
      </c>
      <c r="AL434" s="2" t="n">
        <v>9</v>
      </c>
      <c r="AM434" s="2" t="n">
        <v>4</v>
      </c>
      <c r="AN434" s="2" t="n">
        <v>44.44</v>
      </c>
      <c r="AO434" s="5" t="n">
        <v>55.12</v>
      </c>
      <c r="AP434" s="5" t="n">
        <v>56.02</v>
      </c>
      <c r="AQ434" s="5" t="n">
        <v>56.92</v>
      </c>
      <c r="AR434" s="5" t="n">
        <v>57.82</v>
      </c>
      <c r="AS434" s="5" t="n">
        <v>58.72</v>
      </c>
      <c r="AT434" s="5" t="n">
        <v>59.62</v>
      </c>
      <c r="AU434" s="5" t="n">
        <v>60.52</v>
      </c>
      <c r="AV434" s="5" t="s">
        <v>51</v>
      </c>
    </row>
    <row r="435" customFormat="false" ht="15" hidden="false" customHeight="false" outlineLevel="0" collapsed="false">
      <c r="A435" s="2" t="s">
        <v>128</v>
      </c>
      <c r="B435" s="2" t="n">
        <v>2017</v>
      </c>
      <c r="C435" s="2" t="s">
        <v>52</v>
      </c>
      <c r="D435" s="2" t="n">
        <v>1</v>
      </c>
      <c r="E435" s="2" t="n">
        <v>2</v>
      </c>
      <c r="F435" s="2" t="s">
        <v>50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n">
        <v>1</v>
      </c>
      <c r="N435" s="3" t="n">
        <v>1</v>
      </c>
      <c r="O435" s="3" t="n">
        <v>0</v>
      </c>
      <c r="P435" s="3" t="n">
        <v>0</v>
      </c>
      <c r="Q435" s="3" t="n">
        <v>1</v>
      </c>
      <c r="R435" s="3" t="n">
        <v>0</v>
      </c>
      <c r="S435" s="3" t="n">
        <v>1</v>
      </c>
      <c r="T435" s="3" t="n">
        <v>0</v>
      </c>
      <c r="U435" s="3" t="n">
        <v>0</v>
      </c>
      <c r="V435" s="3" t="n">
        <v>1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1</v>
      </c>
      <c r="AE435" s="3" t="n">
        <v>0</v>
      </c>
      <c r="AF435" s="3" t="n">
        <v>1</v>
      </c>
      <c r="AG435" s="3" t="n">
        <v>1</v>
      </c>
      <c r="AH435" s="3" t="n">
        <v>0</v>
      </c>
      <c r="AI435" s="3" t="n">
        <v>1</v>
      </c>
      <c r="AJ435" s="4" t="n">
        <f aca="false">SUM(G435:AI435)</f>
        <v>10</v>
      </c>
      <c r="AK435" s="4" t="n">
        <f aca="false">ROUND(SUMPRODUCT(G435:AI435,Gene_Weights!$B$2:$AD$2),3)</f>
        <v>-8.08</v>
      </c>
      <c r="AL435" s="2" t="n">
        <v>9</v>
      </c>
      <c r="AM435" s="2" t="n">
        <v>7</v>
      </c>
      <c r="AN435" s="2" t="n">
        <v>77.78</v>
      </c>
      <c r="AO435" s="5" t="n">
        <v>64.53</v>
      </c>
      <c r="AP435" s="5" t="n">
        <v>66.13</v>
      </c>
      <c r="AQ435" s="5" t="n">
        <v>67.73</v>
      </c>
      <c r="AR435" s="5" t="n">
        <v>69.33</v>
      </c>
      <c r="AS435" s="5" t="n">
        <v>70.93</v>
      </c>
      <c r="AT435" s="5" t="n">
        <v>72.53</v>
      </c>
      <c r="AU435" s="5" t="n">
        <v>74.13</v>
      </c>
      <c r="AV435" s="5" t="s">
        <v>51</v>
      </c>
    </row>
    <row r="436" customFormat="false" ht="15" hidden="false" customHeight="false" outlineLevel="0" collapsed="false">
      <c r="A436" s="2" t="s">
        <v>128</v>
      </c>
      <c r="B436" s="2" t="n">
        <v>2017</v>
      </c>
      <c r="C436" s="2" t="s">
        <v>53</v>
      </c>
      <c r="D436" s="2" t="n">
        <v>0</v>
      </c>
      <c r="E436" s="2" t="n">
        <v>32</v>
      </c>
      <c r="F436" s="2" t="s">
        <v>50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n">
        <v>1</v>
      </c>
      <c r="N436" s="3" t="n">
        <v>1</v>
      </c>
      <c r="O436" s="3" t="n">
        <v>0</v>
      </c>
      <c r="P436" s="3" t="n">
        <v>0</v>
      </c>
      <c r="Q436" s="3" t="n">
        <v>1</v>
      </c>
      <c r="R436" s="3" t="n">
        <v>0</v>
      </c>
      <c r="S436" s="3" t="n">
        <v>1</v>
      </c>
      <c r="T436" s="3" t="n">
        <v>0</v>
      </c>
      <c r="U436" s="3" t="n">
        <v>0</v>
      </c>
      <c r="V436" s="3" t="n">
        <v>1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1</v>
      </c>
      <c r="AE436" s="3" t="n">
        <v>0</v>
      </c>
      <c r="AF436" s="3" t="n">
        <v>1</v>
      </c>
      <c r="AG436" s="3" t="n">
        <v>1</v>
      </c>
      <c r="AH436" s="3" t="n">
        <v>0</v>
      </c>
      <c r="AI436" s="3" t="n">
        <v>1</v>
      </c>
      <c r="AJ436" s="4" t="n">
        <f aca="false">SUM(G436:AI436)</f>
        <v>10</v>
      </c>
      <c r="AK436" s="4" t="n">
        <f aca="false">ROUND(SUMPRODUCT(G436:AI436,Gene_Weights!$B$2:$AD$2),3)</f>
        <v>-8.08</v>
      </c>
      <c r="AL436" s="2" t="n">
        <v>9</v>
      </c>
      <c r="AM436" s="2" t="n">
        <v>6</v>
      </c>
      <c r="AN436" s="2" t="n">
        <v>66.67</v>
      </c>
      <c r="AO436" s="5" t="n">
        <v>52.86</v>
      </c>
      <c r="AP436" s="5" t="n">
        <v>53.65</v>
      </c>
      <c r="AQ436" s="5" t="n">
        <v>54.45</v>
      </c>
      <c r="AR436" s="5" t="n">
        <v>55.24</v>
      </c>
      <c r="AS436" s="5" t="n">
        <v>56.03</v>
      </c>
      <c r="AT436" s="5" t="n">
        <v>56.83</v>
      </c>
      <c r="AU436" s="5" t="n">
        <v>57.62</v>
      </c>
      <c r="AV436" s="5" t="s">
        <v>51</v>
      </c>
    </row>
    <row r="437" customFormat="false" ht="15" hidden="false" customHeight="false" outlineLevel="0" collapsed="false">
      <c r="A437" s="2" t="s">
        <v>128</v>
      </c>
      <c r="B437" s="2" t="n">
        <v>2017</v>
      </c>
      <c r="C437" s="2" t="s">
        <v>54</v>
      </c>
      <c r="D437" s="2" t="n">
        <v>1</v>
      </c>
      <c r="E437" s="2" t="n">
        <v>4</v>
      </c>
      <c r="F437" s="2" t="s">
        <v>50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1</v>
      </c>
      <c r="N437" s="3" t="n">
        <v>1</v>
      </c>
      <c r="O437" s="3" t="n">
        <v>0</v>
      </c>
      <c r="P437" s="3" t="n">
        <v>0</v>
      </c>
      <c r="Q437" s="3" t="n">
        <v>1</v>
      </c>
      <c r="R437" s="3" t="n">
        <v>0</v>
      </c>
      <c r="S437" s="3" t="n">
        <v>1</v>
      </c>
      <c r="T437" s="3" t="n">
        <v>0</v>
      </c>
      <c r="U437" s="3" t="n">
        <v>0</v>
      </c>
      <c r="V437" s="3" t="n">
        <v>1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1</v>
      </c>
      <c r="AE437" s="3" t="n">
        <v>0</v>
      </c>
      <c r="AF437" s="3" t="n">
        <v>1</v>
      </c>
      <c r="AG437" s="3" t="n">
        <v>1</v>
      </c>
      <c r="AH437" s="3" t="n">
        <v>0</v>
      </c>
      <c r="AI437" s="3" t="n">
        <v>1</v>
      </c>
      <c r="AJ437" s="4" t="n">
        <f aca="false">SUM(G437:AI437)</f>
        <v>10</v>
      </c>
      <c r="AK437" s="4" t="n">
        <f aca="false">ROUND(SUMPRODUCT(G437:AI437,Gene_Weights!$B$2:$AD$2),3)</f>
        <v>-8.08</v>
      </c>
      <c r="AL437" s="2" t="n">
        <v>9</v>
      </c>
      <c r="AM437" s="2" t="n">
        <v>3</v>
      </c>
      <c r="AN437" s="2" t="n">
        <v>33.33</v>
      </c>
      <c r="AO437" s="5" t="n">
        <v>81.84</v>
      </c>
      <c r="AP437" s="5" t="n">
        <v>84.45</v>
      </c>
      <c r="AQ437" s="5" t="n">
        <v>87.06</v>
      </c>
      <c r="AR437" s="5" t="n">
        <v>89.67</v>
      </c>
      <c r="AS437" s="5" t="n">
        <v>92.27</v>
      </c>
      <c r="AT437" s="5" t="n">
        <v>94.88</v>
      </c>
      <c r="AU437" s="5" t="n">
        <v>97.49</v>
      </c>
      <c r="AV437" s="5" t="s">
        <v>51</v>
      </c>
    </row>
    <row r="438" customFormat="false" ht="15" hidden="false" customHeight="false" outlineLevel="0" collapsed="false">
      <c r="A438" s="2" t="s">
        <v>128</v>
      </c>
      <c r="B438" s="2" t="n">
        <v>2017</v>
      </c>
      <c r="C438" s="2" t="s">
        <v>55</v>
      </c>
      <c r="D438" s="2" t="n">
        <v>1</v>
      </c>
      <c r="E438" s="2" t="n">
        <v>32</v>
      </c>
      <c r="F438" s="2" t="s">
        <v>50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n">
        <v>1</v>
      </c>
      <c r="N438" s="3" t="n">
        <v>1</v>
      </c>
      <c r="O438" s="3" t="n">
        <v>0</v>
      </c>
      <c r="P438" s="3" t="n">
        <v>0</v>
      </c>
      <c r="Q438" s="3" t="n">
        <v>1</v>
      </c>
      <c r="R438" s="3" t="n">
        <v>0</v>
      </c>
      <c r="S438" s="3" t="n">
        <v>1</v>
      </c>
      <c r="T438" s="3" t="n">
        <v>0</v>
      </c>
      <c r="U438" s="3" t="n">
        <v>0</v>
      </c>
      <c r="V438" s="3" t="n">
        <v>1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1</v>
      </c>
      <c r="AE438" s="3" t="n">
        <v>0</v>
      </c>
      <c r="AF438" s="3" t="n">
        <v>1</v>
      </c>
      <c r="AG438" s="3" t="n">
        <v>1</v>
      </c>
      <c r="AH438" s="3" t="n">
        <v>0</v>
      </c>
      <c r="AI438" s="3" t="n">
        <v>1</v>
      </c>
      <c r="AJ438" s="4" t="n">
        <f aca="false">SUM(G438:AI438)</f>
        <v>10</v>
      </c>
      <c r="AK438" s="4" t="n">
        <f aca="false">ROUND(SUMPRODUCT(G438:AI438,Gene_Weights!$B$2:$AD$2),3)</f>
        <v>-8.08</v>
      </c>
      <c r="AL438" s="2" t="n">
        <v>9</v>
      </c>
      <c r="AM438" s="2" t="n">
        <v>7</v>
      </c>
      <c r="AN438" s="2" t="n">
        <v>77.78</v>
      </c>
      <c r="AO438" s="5" t="n">
        <v>58.19</v>
      </c>
      <c r="AP438" s="5" t="n">
        <v>59.74</v>
      </c>
      <c r="AQ438" s="5" t="n">
        <v>61.3</v>
      </c>
      <c r="AR438" s="5" t="n">
        <v>62.86</v>
      </c>
      <c r="AS438" s="5" t="n">
        <v>64.42</v>
      </c>
      <c r="AT438" s="5" t="n">
        <v>65.98</v>
      </c>
      <c r="AU438" s="5" t="n">
        <v>67.53</v>
      </c>
      <c r="AV438" s="5" t="s">
        <v>51</v>
      </c>
    </row>
    <row r="439" customFormat="false" ht="15" hidden="false" customHeight="false" outlineLevel="0" collapsed="false">
      <c r="A439" s="2" t="s">
        <v>128</v>
      </c>
      <c r="B439" s="2" t="n">
        <v>2017</v>
      </c>
      <c r="C439" s="2" t="s">
        <v>56</v>
      </c>
      <c r="D439" s="2" t="n">
        <v>1</v>
      </c>
      <c r="E439" s="2" t="n">
        <v>16</v>
      </c>
      <c r="F439" s="2" t="s">
        <v>50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n">
        <v>1</v>
      </c>
      <c r="N439" s="3" t="n">
        <v>1</v>
      </c>
      <c r="O439" s="3" t="n">
        <v>0</v>
      </c>
      <c r="P439" s="3" t="n">
        <v>0</v>
      </c>
      <c r="Q439" s="3" t="n">
        <v>1</v>
      </c>
      <c r="R439" s="3" t="n">
        <v>0</v>
      </c>
      <c r="S439" s="3" t="n">
        <v>1</v>
      </c>
      <c r="T439" s="3" t="n">
        <v>0</v>
      </c>
      <c r="U439" s="3" t="n">
        <v>0</v>
      </c>
      <c r="V439" s="3" t="n">
        <v>1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1</v>
      </c>
      <c r="AE439" s="3" t="n">
        <v>0</v>
      </c>
      <c r="AF439" s="3" t="n">
        <v>1</v>
      </c>
      <c r="AG439" s="3" t="n">
        <v>1</v>
      </c>
      <c r="AH439" s="3" t="n">
        <v>0</v>
      </c>
      <c r="AI439" s="3" t="n">
        <v>1</v>
      </c>
      <c r="AJ439" s="4" t="n">
        <f aca="false">SUM(G439:AI439)</f>
        <v>10</v>
      </c>
      <c r="AK439" s="4" t="n">
        <f aca="false">ROUND(SUMPRODUCT(G439:AI439,Gene_Weights!$B$2:$AD$2),3)</f>
        <v>-8.08</v>
      </c>
      <c r="AL439" s="2" t="n">
        <v>9</v>
      </c>
      <c r="AM439" s="2" t="n">
        <v>5</v>
      </c>
      <c r="AN439" s="2" t="n">
        <v>55.56</v>
      </c>
      <c r="AO439" s="5" t="n">
        <v>75.59</v>
      </c>
      <c r="AP439" s="5" t="n">
        <v>78.01</v>
      </c>
      <c r="AQ439" s="5" t="n">
        <v>80.42</v>
      </c>
      <c r="AR439" s="5" t="n">
        <v>82.83</v>
      </c>
      <c r="AS439" s="5" t="n">
        <v>85.24</v>
      </c>
      <c r="AT439" s="5" t="n">
        <v>87.66</v>
      </c>
      <c r="AU439" s="5" t="n">
        <v>90.07</v>
      </c>
      <c r="AV439" s="5" t="s">
        <v>51</v>
      </c>
    </row>
    <row r="440" customFormat="false" ht="15" hidden="false" customHeight="false" outlineLevel="0" collapsed="false">
      <c r="A440" s="2" t="s">
        <v>129</v>
      </c>
      <c r="B440" s="2" t="n">
        <v>1998</v>
      </c>
      <c r="C440" s="2" t="s">
        <v>49</v>
      </c>
      <c r="D440" s="2" t="n">
        <v>0</v>
      </c>
      <c r="E440" s="2" t="n">
        <v>32</v>
      </c>
      <c r="F440" s="2" t="s">
        <v>50</v>
      </c>
      <c r="G440" s="3" t="n">
        <v>0</v>
      </c>
      <c r="H440" s="3" t="n">
        <v>1</v>
      </c>
      <c r="I440" s="3" t="n">
        <v>1</v>
      </c>
      <c r="J440" s="3" t="n">
        <v>0</v>
      </c>
      <c r="K440" s="3" t="n">
        <v>1</v>
      </c>
      <c r="L440" s="3" t="n">
        <v>0</v>
      </c>
      <c r="M440" s="3" t="n">
        <v>0</v>
      </c>
      <c r="N440" s="3" t="n">
        <v>0</v>
      </c>
      <c r="O440" s="3" t="n">
        <v>1</v>
      </c>
      <c r="P440" s="3" t="n">
        <v>1</v>
      </c>
      <c r="Q440" s="3" t="n">
        <v>0</v>
      </c>
      <c r="R440" s="3" t="n">
        <v>1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1</v>
      </c>
      <c r="AG440" s="3" t="n">
        <v>1</v>
      </c>
      <c r="AH440" s="3" t="n">
        <v>0</v>
      </c>
      <c r="AI440" s="3" t="n">
        <v>0</v>
      </c>
      <c r="AJ440" s="4" t="n">
        <f aca="false">SUM(G440:AI440)</f>
        <v>9</v>
      </c>
      <c r="AK440" s="4" t="n">
        <f aca="false">ROUND(SUMPRODUCT(G440:AI440,Gene_Weights!$B$2:$AD$2),3)</f>
        <v>-5.27</v>
      </c>
      <c r="AL440" s="2" t="n">
        <v>4</v>
      </c>
      <c r="AM440" s="2" t="n">
        <v>3</v>
      </c>
      <c r="AN440" s="2" t="n">
        <v>75</v>
      </c>
      <c r="AO440" s="5" t="n">
        <v>55.12</v>
      </c>
      <c r="AP440" s="5" t="n">
        <v>56.02</v>
      </c>
      <c r="AQ440" s="5" t="n">
        <v>56.92</v>
      </c>
      <c r="AR440" s="5" t="n">
        <v>57.82</v>
      </c>
      <c r="AS440" s="5" t="n">
        <v>58.72</v>
      </c>
      <c r="AT440" s="5" t="n">
        <v>59.62</v>
      </c>
      <c r="AU440" s="5" t="n">
        <v>60.52</v>
      </c>
      <c r="AV440" s="5" t="s">
        <v>51</v>
      </c>
    </row>
    <row r="441" customFormat="false" ht="15" hidden="false" customHeight="false" outlineLevel="0" collapsed="false">
      <c r="A441" s="2" t="s">
        <v>129</v>
      </c>
      <c r="B441" s="2" t="n">
        <v>1998</v>
      </c>
      <c r="C441" s="2" t="s">
        <v>52</v>
      </c>
      <c r="D441" s="2" t="n">
        <v>1</v>
      </c>
      <c r="E441" s="2" t="n">
        <v>16</v>
      </c>
      <c r="F441" s="2" t="s">
        <v>50</v>
      </c>
      <c r="G441" s="3" t="n">
        <v>0</v>
      </c>
      <c r="H441" s="3" t="n">
        <v>1</v>
      </c>
      <c r="I441" s="3" t="n">
        <v>1</v>
      </c>
      <c r="J441" s="3" t="n">
        <v>0</v>
      </c>
      <c r="K441" s="3" t="n">
        <v>1</v>
      </c>
      <c r="L441" s="3" t="n">
        <v>0</v>
      </c>
      <c r="M441" s="3" t="n">
        <v>0</v>
      </c>
      <c r="N441" s="3" t="n">
        <v>0</v>
      </c>
      <c r="O441" s="3" t="n">
        <v>1</v>
      </c>
      <c r="P441" s="3" t="n">
        <v>1</v>
      </c>
      <c r="Q441" s="3" t="n">
        <v>0</v>
      </c>
      <c r="R441" s="3" t="n">
        <v>1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1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1</v>
      </c>
      <c r="AG441" s="3" t="n">
        <v>1</v>
      </c>
      <c r="AH441" s="3" t="n">
        <v>0</v>
      </c>
      <c r="AI441" s="3" t="n">
        <v>0</v>
      </c>
      <c r="AJ441" s="4" t="n">
        <f aca="false">SUM(G441:AI441)</f>
        <v>9</v>
      </c>
      <c r="AK441" s="4" t="n">
        <f aca="false">ROUND(SUMPRODUCT(G441:AI441,Gene_Weights!$B$2:$AD$2),3)</f>
        <v>-5.27</v>
      </c>
      <c r="AL441" s="2" t="n">
        <v>4</v>
      </c>
      <c r="AM441" s="2" t="n">
        <v>2</v>
      </c>
      <c r="AN441" s="2" t="n">
        <v>50</v>
      </c>
      <c r="AO441" s="5" t="n">
        <v>64.53</v>
      </c>
      <c r="AP441" s="5" t="n">
        <v>66.13</v>
      </c>
      <c r="AQ441" s="5" t="n">
        <v>67.73</v>
      </c>
      <c r="AR441" s="5" t="n">
        <v>69.33</v>
      </c>
      <c r="AS441" s="5" t="n">
        <v>70.93</v>
      </c>
      <c r="AT441" s="5" t="n">
        <v>72.53</v>
      </c>
      <c r="AU441" s="5" t="n">
        <v>74.13</v>
      </c>
      <c r="AV441" s="5" t="s">
        <v>51</v>
      </c>
    </row>
    <row r="442" customFormat="false" ht="15" hidden="false" customHeight="false" outlineLevel="0" collapsed="false">
      <c r="A442" s="2" t="s">
        <v>129</v>
      </c>
      <c r="B442" s="2" t="n">
        <v>1998</v>
      </c>
      <c r="C442" s="2" t="s">
        <v>53</v>
      </c>
      <c r="D442" s="2" t="n">
        <v>0</v>
      </c>
      <c r="E442" s="2" t="n">
        <v>4</v>
      </c>
      <c r="F442" s="2" t="s">
        <v>50</v>
      </c>
      <c r="G442" s="3" t="n">
        <v>0</v>
      </c>
      <c r="H442" s="3" t="n">
        <v>1</v>
      </c>
      <c r="I442" s="3" t="n">
        <v>1</v>
      </c>
      <c r="J442" s="3" t="n">
        <v>0</v>
      </c>
      <c r="K442" s="3" t="n">
        <v>1</v>
      </c>
      <c r="L442" s="3" t="n">
        <v>0</v>
      </c>
      <c r="M442" s="3" t="n">
        <v>0</v>
      </c>
      <c r="N442" s="3" t="n">
        <v>0</v>
      </c>
      <c r="O442" s="3" t="n">
        <v>1</v>
      </c>
      <c r="P442" s="3" t="n">
        <v>1</v>
      </c>
      <c r="Q442" s="3" t="n">
        <v>0</v>
      </c>
      <c r="R442" s="3" t="n">
        <v>1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1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1</v>
      </c>
      <c r="AG442" s="3" t="n">
        <v>1</v>
      </c>
      <c r="AH442" s="3" t="n">
        <v>0</v>
      </c>
      <c r="AI442" s="3" t="n">
        <v>0</v>
      </c>
      <c r="AJ442" s="4" t="n">
        <f aca="false">SUM(G442:AI442)</f>
        <v>9</v>
      </c>
      <c r="AK442" s="4" t="n">
        <f aca="false">ROUND(SUMPRODUCT(G442:AI442,Gene_Weights!$B$2:$AD$2),3)</f>
        <v>-5.27</v>
      </c>
      <c r="AL442" s="2" t="n">
        <v>4</v>
      </c>
      <c r="AM442" s="2" t="n">
        <v>1</v>
      </c>
      <c r="AN442" s="2" t="n">
        <v>25</v>
      </c>
      <c r="AO442" s="5" t="n">
        <v>52.86</v>
      </c>
      <c r="AP442" s="5" t="n">
        <v>53.65</v>
      </c>
      <c r="AQ442" s="5" t="n">
        <v>54.45</v>
      </c>
      <c r="AR442" s="5" t="n">
        <v>55.24</v>
      </c>
      <c r="AS442" s="5" t="n">
        <v>56.03</v>
      </c>
      <c r="AT442" s="5" t="n">
        <v>56.83</v>
      </c>
      <c r="AU442" s="5" t="n">
        <v>57.62</v>
      </c>
      <c r="AV442" s="5" t="s">
        <v>51</v>
      </c>
    </row>
    <row r="443" customFormat="false" ht="15" hidden="false" customHeight="false" outlineLevel="0" collapsed="false">
      <c r="A443" s="2" t="s">
        <v>129</v>
      </c>
      <c r="B443" s="2" t="n">
        <v>1998</v>
      </c>
      <c r="C443" s="2" t="s">
        <v>54</v>
      </c>
      <c r="D443" s="2" t="n">
        <v>0</v>
      </c>
      <c r="E443" s="2" t="n">
        <v>4</v>
      </c>
      <c r="F443" s="2" t="s">
        <v>50</v>
      </c>
      <c r="G443" s="3" t="n">
        <v>0</v>
      </c>
      <c r="H443" s="3" t="n">
        <v>1</v>
      </c>
      <c r="I443" s="3" t="n">
        <v>1</v>
      </c>
      <c r="J443" s="3" t="n">
        <v>0</v>
      </c>
      <c r="K443" s="3" t="n">
        <v>1</v>
      </c>
      <c r="L443" s="3" t="n">
        <v>0</v>
      </c>
      <c r="M443" s="3" t="n">
        <v>0</v>
      </c>
      <c r="N443" s="3" t="n">
        <v>0</v>
      </c>
      <c r="O443" s="3" t="n">
        <v>1</v>
      </c>
      <c r="P443" s="3" t="n">
        <v>1</v>
      </c>
      <c r="Q443" s="3" t="n">
        <v>0</v>
      </c>
      <c r="R443" s="3" t="n">
        <v>1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1</v>
      </c>
      <c r="AG443" s="3" t="n">
        <v>1</v>
      </c>
      <c r="AH443" s="3" t="n">
        <v>0</v>
      </c>
      <c r="AI443" s="3" t="n">
        <v>0</v>
      </c>
      <c r="AJ443" s="4" t="n">
        <f aca="false">SUM(G443:AI443)</f>
        <v>9</v>
      </c>
      <c r="AK443" s="4" t="n">
        <f aca="false">ROUND(SUMPRODUCT(G443:AI443,Gene_Weights!$B$2:$AD$2),3)</f>
        <v>-5.27</v>
      </c>
      <c r="AL443" s="2" t="n">
        <v>4</v>
      </c>
      <c r="AM443" s="2" t="n">
        <v>0</v>
      </c>
      <c r="AN443" s="2" t="n">
        <v>0</v>
      </c>
      <c r="AO443" s="5" t="n">
        <v>81.84</v>
      </c>
      <c r="AP443" s="5" t="n">
        <v>84.45</v>
      </c>
      <c r="AQ443" s="5" t="n">
        <v>87.06</v>
      </c>
      <c r="AR443" s="5" t="n">
        <v>89.67</v>
      </c>
      <c r="AS443" s="5" t="n">
        <v>92.27</v>
      </c>
      <c r="AT443" s="5" t="n">
        <v>94.88</v>
      </c>
      <c r="AU443" s="5" t="n">
        <v>97.49</v>
      </c>
      <c r="AV443" s="5" t="s">
        <v>51</v>
      </c>
    </row>
    <row r="444" customFormat="false" ht="15" hidden="false" customHeight="false" outlineLevel="0" collapsed="false">
      <c r="A444" s="2" t="s">
        <v>129</v>
      </c>
      <c r="B444" s="2" t="n">
        <v>1998</v>
      </c>
      <c r="C444" s="2" t="s">
        <v>55</v>
      </c>
      <c r="D444" s="2" t="n">
        <v>1</v>
      </c>
      <c r="E444" s="2" t="n">
        <v>16</v>
      </c>
      <c r="F444" s="2" t="s">
        <v>50</v>
      </c>
      <c r="G444" s="3" t="n">
        <v>0</v>
      </c>
      <c r="H444" s="3" t="n">
        <v>1</v>
      </c>
      <c r="I444" s="3" t="n">
        <v>1</v>
      </c>
      <c r="J444" s="3" t="n">
        <v>0</v>
      </c>
      <c r="K444" s="3" t="n">
        <v>1</v>
      </c>
      <c r="L444" s="3" t="n">
        <v>0</v>
      </c>
      <c r="M444" s="3" t="n">
        <v>0</v>
      </c>
      <c r="N444" s="3" t="n">
        <v>0</v>
      </c>
      <c r="O444" s="3" t="n">
        <v>1</v>
      </c>
      <c r="P444" s="3" t="n">
        <v>1</v>
      </c>
      <c r="Q444" s="3" t="n">
        <v>0</v>
      </c>
      <c r="R444" s="3" t="n">
        <v>1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1</v>
      </c>
      <c r="AG444" s="3" t="n">
        <v>1</v>
      </c>
      <c r="AH444" s="3" t="n">
        <v>0</v>
      </c>
      <c r="AI444" s="3" t="n">
        <v>0</v>
      </c>
      <c r="AJ444" s="4" t="n">
        <f aca="false">SUM(G444:AI444)</f>
        <v>9</v>
      </c>
      <c r="AK444" s="4" t="n">
        <f aca="false">ROUND(SUMPRODUCT(G444:AI444,Gene_Weights!$B$2:$AD$2),3)</f>
        <v>-5.27</v>
      </c>
      <c r="AL444" s="2" t="n">
        <v>4</v>
      </c>
      <c r="AM444" s="2" t="n">
        <v>1</v>
      </c>
      <c r="AN444" s="2" t="n">
        <v>25</v>
      </c>
      <c r="AO444" s="5" t="n">
        <v>58.19</v>
      </c>
      <c r="AP444" s="5" t="n">
        <v>59.74</v>
      </c>
      <c r="AQ444" s="5" t="n">
        <v>61.3</v>
      </c>
      <c r="AR444" s="5" t="n">
        <v>62.86</v>
      </c>
      <c r="AS444" s="5" t="n">
        <v>64.42</v>
      </c>
      <c r="AT444" s="5" t="n">
        <v>65.98</v>
      </c>
      <c r="AU444" s="5" t="n">
        <v>67.53</v>
      </c>
      <c r="AV444" s="5" t="s">
        <v>51</v>
      </c>
    </row>
    <row r="445" customFormat="false" ht="15" hidden="false" customHeight="false" outlineLevel="0" collapsed="false">
      <c r="A445" s="2" t="s">
        <v>129</v>
      </c>
      <c r="B445" s="2" t="n">
        <v>1998</v>
      </c>
      <c r="C445" s="2" t="s">
        <v>56</v>
      </c>
      <c r="D445" s="2" t="n">
        <v>0</v>
      </c>
      <c r="E445" s="2" t="n">
        <v>2</v>
      </c>
      <c r="F445" s="2" t="s">
        <v>50</v>
      </c>
      <c r="G445" s="3" t="n">
        <v>0</v>
      </c>
      <c r="H445" s="3" t="n">
        <v>1</v>
      </c>
      <c r="I445" s="3" t="n">
        <v>1</v>
      </c>
      <c r="J445" s="3" t="n">
        <v>0</v>
      </c>
      <c r="K445" s="3" t="n">
        <v>1</v>
      </c>
      <c r="L445" s="3" t="n">
        <v>0</v>
      </c>
      <c r="M445" s="3" t="n">
        <v>0</v>
      </c>
      <c r="N445" s="3" t="n">
        <v>0</v>
      </c>
      <c r="O445" s="3" t="n">
        <v>1</v>
      </c>
      <c r="P445" s="3" t="n">
        <v>1</v>
      </c>
      <c r="Q445" s="3" t="n">
        <v>0</v>
      </c>
      <c r="R445" s="3" t="n">
        <v>1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1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1</v>
      </c>
      <c r="AG445" s="3" t="n">
        <v>1</v>
      </c>
      <c r="AH445" s="3" t="n">
        <v>0</v>
      </c>
      <c r="AI445" s="3" t="n">
        <v>0</v>
      </c>
      <c r="AJ445" s="4" t="n">
        <f aca="false">SUM(G445:AI445)</f>
        <v>9</v>
      </c>
      <c r="AK445" s="4" t="n">
        <f aca="false">ROUND(SUMPRODUCT(G445:AI445,Gene_Weights!$B$2:$AD$2),3)</f>
        <v>-5.27</v>
      </c>
      <c r="AL445" s="2" t="n">
        <v>4</v>
      </c>
      <c r="AM445" s="2" t="n">
        <v>0</v>
      </c>
      <c r="AN445" s="2" t="n">
        <v>0</v>
      </c>
      <c r="AO445" s="5" t="n">
        <v>75.59</v>
      </c>
      <c r="AP445" s="5" t="n">
        <v>78.01</v>
      </c>
      <c r="AQ445" s="5" t="n">
        <v>80.42</v>
      </c>
      <c r="AR445" s="5" t="n">
        <v>82.83</v>
      </c>
      <c r="AS445" s="5" t="n">
        <v>85.24</v>
      </c>
      <c r="AT445" s="5" t="n">
        <v>87.66</v>
      </c>
      <c r="AU445" s="5" t="n">
        <v>90.07</v>
      </c>
      <c r="AV445" s="5" t="s">
        <v>51</v>
      </c>
    </row>
    <row r="446" customFormat="false" ht="15" hidden="false" customHeight="false" outlineLevel="0" collapsed="false">
      <c r="A446" s="2" t="s">
        <v>130</v>
      </c>
      <c r="B446" s="2" t="n">
        <v>2006</v>
      </c>
      <c r="C446" s="2" t="s">
        <v>49</v>
      </c>
      <c r="D446" s="2" t="n">
        <v>0</v>
      </c>
      <c r="E446" s="2" t="n">
        <v>32</v>
      </c>
      <c r="F446" s="2" t="s">
        <v>50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n">
        <v>1</v>
      </c>
      <c r="N446" s="3" t="n">
        <v>1</v>
      </c>
      <c r="O446" s="3" t="n">
        <v>0</v>
      </c>
      <c r="P446" s="3" t="n">
        <v>0</v>
      </c>
      <c r="Q446" s="3" t="n">
        <v>1</v>
      </c>
      <c r="R446" s="3" t="n">
        <v>0</v>
      </c>
      <c r="S446" s="3" t="n">
        <v>0</v>
      </c>
      <c r="T446" s="3" t="n">
        <v>0</v>
      </c>
      <c r="U446" s="3" t="n">
        <v>1</v>
      </c>
      <c r="V446" s="3" t="n">
        <v>1</v>
      </c>
      <c r="W446" s="3" t="n">
        <v>0</v>
      </c>
      <c r="X446" s="3" t="n">
        <v>0</v>
      </c>
      <c r="Y446" s="3" t="n">
        <v>1</v>
      </c>
      <c r="Z446" s="3" t="n">
        <v>1</v>
      </c>
      <c r="AA446" s="3" t="n">
        <v>1</v>
      </c>
      <c r="AB446" s="3" t="n">
        <v>0</v>
      </c>
      <c r="AC446" s="3" t="n">
        <v>1</v>
      </c>
      <c r="AD446" s="3" t="n">
        <v>0</v>
      </c>
      <c r="AE446" s="3" t="n">
        <v>1</v>
      </c>
      <c r="AF446" s="3" t="n">
        <v>1</v>
      </c>
      <c r="AG446" s="3" t="n">
        <v>1</v>
      </c>
      <c r="AH446" s="3" t="n">
        <v>0</v>
      </c>
      <c r="AI446" s="3" t="n">
        <v>0</v>
      </c>
      <c r="AJ446" s="4" t="n">
        <f aca="false">SUM(G446:AI446)</f>
        <v>13</v>
      </c>
      <c r="AK446" s="4" t="n">
        <f aca="false">ROUND(SUMPRODUCT(G446:AI446,Gene_Weights!$B$2:$AD$2),3)</f>
        <v>-10.83</v>
      </c>
      <c r="AL446" s="2" t="n">
        <v>6</v>
      </c>
      <c r="AM446" s="2" t="n">
        <v>3</v>
      </c>
      <c r="AN446" s="2" t="n">
        <v>50</v>
      </c>
      <c r="AO446" s="5" t="n">
        <v>55.12</v>
      </c>
      <c r="AP446" s="5" t="n">
        <v>56.02</v>
      </c>
      <c r="AQ446" s="5" t="n">
        <v>56.92</v>
      </c>
      <c r="AR446" s="5" t="n">
        <v>57.82</v>
      </c>
      <c r="AS446" s="5" t="n">
        <v>58.72</v>
      </c>
      <c r="AT446" s="5" t="n">
        <v>59.62</v>
      </c>
      <c r="AU446" s="5" t="n">
        <v>60.52</v>
      </c>
      <c r="AV446" s="5" t="s">
        <v>51</v>
      </c>
    </row>
    <row r="447" customFormat="false" ht="15" hidden="false" customHeight="false" outlineLevel="0" collapsed="false">
      <c r="A447" s="2" t="s">
        <v>130</v>
      </c>
      <c r="B447" s="2" t="n">
        <v>2006</v>
      </c>
      <c r="C447" s="2" t="s">
        <v>52</v>
      </c>
      <c r="D447" s="2" t="n">
        <v>0</v>
      </c>
      <c r="E447" s="2" t="n">
        <v>16</v>
      </c>
      <c r="F447" s="2" t="s">
        <v>50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n">
        <v>1</v>
      </c>
      <c r="N447" s="3" t="n">
        <v>1</v>
      </c>
      <c r="O447" s="3" t="n">
        <v>0</v>
      </c>
      <c r="P447" s="3" t="n">
        <v>0</v>
      </c>
      <c r="Q447" s="3" t="n">
        <v>1</v>
      </c>
      <c r="R447" s="3" t="n">
        <v>0</v>
      </c>
      <c r="S447" s="3" t="n">
        <v>0</v>
      </c>
      <c r="T447" s="3" t="n">
        <v>0</v>
      </c>
      <c r="U447" s="3" t="n">
        <v>1</v>
      </c>
      <c r="V447" s="3" t="n">
        <v>1</v>
      </c>
      <c r="W447" s="3" t="n">
        <v>0</v>
      </c>
      <c r="X447" s="3" t="n">
        <v>0</v>
      </c>
      <c r="Y447" s="3" t="n">
        <v>1</v>
      </c>
      <c r="Z447" s="3" t="n">
        <v>1</v>
      </c>
      <c r="AA447" s="3" t="n">
        <v>1</v>
      </c>
      <c r="AB447" s="3" t="n">
        <v>0</v>
      </c>
      <c r="AC447" s="3" t="n">
        <v>1</v>
      </c>
      <c r="AD447" s="3" t="n">
        <v>0</v>
      </c>
      <c r="AE447" s="3" t="n">
        <v>1</v>
      </c>
      <c r="AF447" s="3" t="n">
        <v>1</v>
      </c>
      <c r="AG447" s="3" t="n">
        <v>1</v>
      </c>
      <c r="AH447" s="3" t="n">
        <v>0</v>
      </c>
      <c r="AI447" s="3" t="n">
        <v>0</v>
      </c>
      <c r="AJ447" s="4" t="n">
        <f aca="false">SUM(G447:AI447)</f>
        <v>13</v>
      </c>
      <c r="AK447" s="4" t="n">
        <f aca="false">ROUND(SUMPRODUCT(G447:AI447,Gene_Weights!$B$2:$AD$2),3)</f>
        <v>-10.83</v>
      </c>
      <c r="AL447" s="2" t="n">
        <v>6</v>
      </c>
      <c r="AM447" s="2" t="n">
        <v>1</v>
      </c>
      <c r="AN447" s="2" t="n">
        <v>16.67</v>
      </c>
      <c r="AO447" s="5" t="n">
        <v>64.53</v>
      </c>
      <c r="AP447" s="5" t="n">
        <v>66.13</v>
      </c>
      <c r="AQ447" s="5" t="n">
        <v>67.73</v>
      </c>
      <c r="AR447" s="5" t="n">
        <v>69.33</v>
      </c>
      <c r="AS447" s="5" t="n">
        <v>70.93</v>
      </c>
      <c r="AT447" s="5" t="n">
        <v>72.53</v>
      </c>
      <c r="AU447" s="5" t="n">
        <v>74.13</v>
      </c>
      <c r="AV447" s="5" t="s">
        <v>51</v>
      </c>
    </row>
    <row r="448" customFormat="false" ht="15" hidden="false" customHeight="false" outlineLevel="0" collapsed="false">
      <c r="A448" s="2" t="s">
        <v>130</v>
      </c>
      <c r="B448" s="2" t="n">
        <v>2006</v>
      </c>
      <c r="C448" s="2" t="s">
        <v>53</v>
      </c>
      <c r="D448" s="2" t="n">
        <v>0</v>
      </c>
      <c r="E448" s="2" t="n">
        <v>2</v>
      </c>
      <c r="F448" s="2" t="s">
        <v>50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1</v>
      </c>
      <c r="M448" s="3" t="n">
        <v>1</v>
      </c>
      <c r="N448" s="3" t="n">
        <v>1</v>
      </c>
      <c r="O448" s="3" t="n">
        <v>0</v>
      </c>
      <c r="P448" s="3" t="n">
        <v>0</v>
      </c>
      <c r="Q448" s="3" t="n">
        <v>1</v>
      </c>
      <c r="R448" s="3" t="n">
        <v>0</v>
      </c>
      <c r="S448" s="3" t="n">
        <v>0</v>
      </c>
      <c r="T448" s="3" t="n">
        <v>0</v>
      </c>
      <c r="U448" s="3" t="n">
        <v>1</v>
      </c>
      <c r="V448" s="3" t="n">
        <v>1</v>
      </c>
      <c r="W448" s="3" t="n">
        <v>0</v>
      </c>
      <c r="X448" s="3" t="n">
        <v>0</v>
      </c>
      <c r="Y448" s="3" t="n">
        <v>1</v>
      </c>
      <c r="Z448" s="3" t="n">
        <v>1</v>
      </c>
      <c r="AA448" s="3" t="n">
        <v>1</v>
      </c>
      <c r="AB448" s="3" t="n">
        <v>0</v>
      </c>
      <c r="AC448" s="3" t="n">
        <v>1</v>
      </c>
      <c r="AD448" s="3" t="n">
        <v>0</v>
      </c>
      <c r="AE448" s="3" t="n">
        <v>1</v>
      </c>
      <c r="AF448" s="3" t="n">
        <v>1</v>
      </c>
      <c r="AG448" s="3" t="n">
        <v>1</v>
      </c>
      <c r="AH448" s="3" t="n">
        <v>0</v>
      </c>
      <c r="AI448" s="3" t="n">
        <v>0</v>
      </c>
      <c r="AJ448" s="4" t="n">
        <f aca="false">SUM(G448:AI448)</f>
        <v>13</v>
      </c>
      <c r="AK448" s="4" t="n">
        <f aca="false">ROUND(SUMPRODUCT(G448:AI448,Gene_Weights!$B$2:$AD$2),3)</f>
        <v>-10.83</v>
      </c>
      <c r="AL448" s="2" t="n">
        <v>6</v>
      </c>
      <c r="AM448" s="2" t="n">
        <v>0</v>
      </c>
      <c r="AN448" s="2" t="n">
        <v>0</v>
      </c>
      <c r="AO448" s="5" t="n">
        <v>52.86</v>
      </c>
      <c r="AP448" s="5" t="n">
        <v>53.65</v>
      </c>
      <c r="AQ448" s="5" t="n">
        <v>54.45</v>
      </c>
      <c r="AR448" s="5" t="n">
        <v>55.24</v>
      </c>
      <c r="AS448" s="5" t="n">
        <v>56.03</v>
      </c>
      <c r="AT448" s="5" t="n">
        <v>56.83</v>
      </c>
      <c r="AU448" s="5" t="n">
        <v>57.62</v>
      </c>
      <c r="AV448" s="5" t="s">
        <v>51</v>
      </c>
    </row>
    <row r="449" customFormat="false" ht="15" hidden="false" customHeight="false" outlineLevel="0" collapsed="false">
      <c r="A449" s="2" t="s">
        <v>130</v>
      </c>
      <c r="B449" s="2" t="n">
        <v>2006</v>
      </c>
      <c r="C449" s="2" t="s">
        <v>54</v>
      </c>
      <c r="D449" s="2" t="n">
        <v>0</v>
      </c>
      <c r="E449" s="2" t="n">
        <v>32</v>
      </c>
      <c r="F449" s="2" t="s">
        <v>50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n">
        <v>1</v>
      </c>
      <c r="N449" s="3" t="n">
        <v>1</v>
      </c>
      <c r="O449" s="3" t="n">
        <v>0</v>
      </c>
      <c r="P449" s="3" t="n">
        <v>0</v>
      </c>
      <c r="Q449" s="3" t="n">
        <v>1</v>
      </c>
      <c r="R449" s="3" t="n">
        <v>0</v>
      </c>
      <c r="S449" s="3" t="n">
        <v>0</v>
      </c>
      <c r="T449" s="3" t="n">
        <v>0</v>
      </c>
      <c r="U449" s="3" t="n">
        <v>1</v>
      </c>
      <c r="V449" s="3" t="n">
        <v>1</v>
      </c>
      <c r="W449" s="3" t="n">
        <v>0</v>
      </c>
      <c r="X449" s="3" t="n">
        <v>0</v>
      </c>
      <c r="Y449" s="3" t="n">
        <v>1</v>
      </c>
      <c r="Z449" s="3" t="n">
        <v>1</v>
      </c>
      <c r="AA449" s="3" t="n">
        <v>1</v>
      </c>
      <c r="AB449" s="3" t="n">
        <v>0</v>
      </c>
      <c r="AC449" s="3" t="n">
        <v>1</v>
      </c>
      <c r="AD449" s="3" t="n">
        <v>0</v>
      </c>
      <c r="AE449" s="3" t="n">
        <v>1</v>
      </c>
      <c r="AF449" s="3" t="n">
        <v>1</v>
      </c>
      <c r="AG449" s="3" t="n">
        <v>1</v>
      </c>
      <c r="AH449" s="3" t="n">
        <v>0</v>
      </c>
      <c r="AI449" s="3" t="n">
        <v>0</v>
      </c>
      <c r="AJ449" s="4" t="n">
        <f aca="false">SUM(G449:AI449)</f>
        <v>13</v>
      </c>
      <c r="AK449" s="4" t="n">
        <f aca="false">ROUND(SUMPRODUCT(G449:AI449,Gene_Weights!$B$2:$AD$2),3)</f>
        <v>-10.83</v>
      </c>
      <c r="AL449" s="2" t="n">
        <v>6</v>
      </c>
      <c r="AM449" s="2" t="n">
        <v>2</v>
      </c>
      <c r="AN449" s="2" t="n">
        <v>33.33</v>
      </c>
      <c r="AO449" s="5" t="n">
        <v>81.84</v>
      </c>
      <c r="AP449" s="5" t="n">
        <v>84.45</v>
      </c>
      <c r="AQ449" s="5" t="n">
        <v>87.06</v>
      </c>
      <c r="AR449" s="5" t="n">
        <v>89.67</v>
      </c>
      <c r="AS449" s="5" t="n">
        <v>92.27</v>
      </c>
      <c r="AT449" s="5" t="n">
        <v>94.88</v>
      </c>
      <c r="AU449" s="5" t="n">
        <v>97.49</v>
      </c>
      <c r="AV449" s="5" t="s">
        <v>51</v>
      </c>
    </row>
    <row r="450" customFormat="false" ht="15" hidden="false" customHeight="false" outlineLevel="0" collapsed="false">
      <c r="A450" s="2" t="s">
        <v>130</v>
      </c>
      <c r="B450" s="2" t="n">
        <v>2006</v>
      </c>
      <c r="C450" s="2" t="s">
        <v>55</v>
      </c>
      <c r="D450" s="2" t="n">
        <v>0</v>
      </c>
      <c r="E450" s="2" t="n">
        <v>4</v>
      </c>
      <c r="F450" s="2" t="s">
        <v>50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n">
        <v>1</v>
      </c>
      <c r="N450" s="3" t="n">
        <v>1</v>
      </c>
      <c r="O450" s="3" t="n">
        <v>0</v>
      </c>
      <c r="P450" s="3" t="n">
        <v>0</v>
      </c>
      <c r="Q450" s="3" t="n">
        <v>1</v>
      </c>
      <c r="R450" s="3" t="n">
        <v>0</v>
      </c>
      <c r="S450" s="3" t="n">
        <v>0</v>
      </c>
      <c r="T450" s="3" t="n">
        <v>0</v>
      </c>
      <c r="U450" s="3" t="n">
        <v>1</v>
      </c>
      <c r="V450" s="3" t="n">
        <v>1</v>
      </c>
      <c r="W450" s="3" t="n">
        <v>0</v>
      </c>
      <c r="X450" s="3" t="n">
        <v>0</v>
      </c>
      <c r="Y450" s="3" t="n">
        <v>1</v>
      </c>
      <c r="Z450" s="3" t="n">
        <v>1</v>
      </c>
      <c r="AA450" s="3" t="n">
        <v>1</v>
      </c>
      <c r="AB450" s="3" t="n">
        <v>0</v>
      </c>
      <c r="AC450" s="3" t="n">
        <v>1</v>
      </c>
      <c r="AD450" s="3" t="n">
        <v>0</v>
      </c>
      <c r="AE450" s="3" t="n">
        <v>1</v>
      </c>
      <c r="AF450" s="3" t="n">
        <v>1</v>
      </c>
      <c r="AG450" s="3" t="n">
        <v>1</v>
      </c>
      <c r="AH450" s="3" t="n">
        <v>0</v>
      </c>
      <c r="AI450" s="3" t="n">
        <v>0</v>
      </c>
      <c r="AJ450" s="4" t="n">
        <f aca="false">SUM(G450:AI450)</f>
        <v>13</v>
      </c>
      <c r="AK450" s="4" t="n">
        <f aca="false">ROUND(SUMPRODUCT(G450:AI450,Gene_Weights!$B$2:$AD$2),3)</f>
        <v>-10.83</v>
      </c>
      <c r="AL450" s="2" t="n">
        <v>6</v>
      </c>
      <c r="AM450" s="2" t="n">
        <v>1</v>
      </c>
      <c r="AN450" s="2" t="n">
        <v>16.67</v>
      </c>
      <c r="AO450" s="5" t="n">
        <v>58.19</v>
      </c>
      <c r="AP450" s="5" t="n">
        <v>59.74</v>
      </c>
      <c r="AQ450" s="5" t="n">
        <v>61.3</v>
      </c>
      <c r="AR450" s="5" t="n">
        <v>62.86</v>
      </c>
      <c r="AS450" s="5" t="n">
        <v>64.42</v>
      </c>
      <c r="AT450" s="5" t="n">
        <v>65.98</v>
      </c>
      <c r="AU450" s="5" t="n">
        <v>67.53</v>
      </c>
      <c r="AV450" s="5" t="s">
        <v>51</v>
      </c>
    </row>
    <row r="451" customFormat="false" ht="15" hidden="false" customHeight="false" outlineLevel="0" collapsed="false">
      <c r="A451" s="2" t="s">
        <v>130</v>
      </c>
      <c r="B451" s="2" t="n">
        <v>2006</v>
      </c>
      <c r="C451" s="2" t="s">
        <v>56</v>
      </c>
      <c r="D451" s="2" t="n">
        <v>0</v>
      </c>
      <c r="E451" s="2" t="n">
        <v>16</v>
      </c>
      <c r="F451" s="2" t="s">
        <v>50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n">
        <v>1</v>
      </c>
      <c r="N451" s="3" t="n">
        <v>1</v>
      </c>
      <c r="O451" s="3" t="n">
        <v>0</v>
      </c>
      <c r="P451" s="3" t="n">
        <v>0</v>
      </c>
      <c r="Q451" s="3" t="n">
        <v>1</v>
      </c>
      <c r="R451" s="3" t="n">
        <v>0</v>
      </c>
      <c r="S451" s="3" t="n">
        <v>0</v>
      </c>
      <c r="T451" s="3" t="n">
        <v>0</v>
      </c>
      <c r="U451" s="3" t="n">
        <v>1</v>
      </c>
      <c r="V451" s="3" t="n">
        <v>1</v>
      </c>
      <c r="W451" s="3" t="n">
        <v>0</v>
      </c>
      <c r="X451" s="3" t="n">
        <v>0</v>
      </c>
      <c r="Y451" s="3" t="n">
        <v>1</v>
      </c>
      <c r="Z451" s="3" t="n">
        <v>1</v>
      </c>
      <c r="AA451" s="3" t="n">
        <v>1</v>
      </c>
      <c r="AB451" s="3" t="n">
        <v>0</v>
      </c>
      <c r="AC451" s="3" t="n">
        <v>1</v>
      </c>
      <c r="AD451" s="3" t="n">
        <v>0</v>
      </c>
      <c r="AE451" s="3" t="n">
        <v>1</v>
      </c>
      <c r="AF451" s="3" t="n">
        <v>1</v>
      </c>
      <c r="AG451" s="3" t="n">
        <v>1</v>
      </c>
      <c r="AH451" s="3" t="n">
        <v>0</v>
      </c>
      <c r="AI451" s="3" t="n">
        <v>0</v>
      </c>
      <c r="AJ451" s="4" t="n">
        <f aca="false">SUM(G451:AI451)</f>
        <v>13</v>
      </c>
      <c r="AK451" s="4" t="n">
        <f aca="false">ROUND(SUMPRODUCT(G451:AI451,Gene_Weights!$B$2:$AD$2),3)</f>
        <v>-10.83</v>
      </c>
      <c r="AL451" s="2" t="n">
        <v>6</v>
      </c>
      <c r="AM451" s="2" t="n">
        <v>1</v>
      </c>
      <c r="AN451" s="2" t="n">
        <v>16.67</v>
      </c>
      <c r="AO451" s="5" t="n">
        <v>75.59</v>
      </c>
      <c r="AP451" s="5" t="n">
        <v>78.01</v>
      </c>
      <c r="AQ451" s="5" t="n">
        <v>80.42</v>
      </c>
      <c r="AR451" s="5" t="n">
        <v>82.83</v>
      </c>
      <c r="AS451" s="5" t="n">
        <v>85.24</v>
      </c>
      <c r="AT451" s="5" t="n">
        <v>87.66</v>
      </c>
      <c r="AU451" s="5" t="n">
        <v>90.07</v>
      </c>
      <c r="AV451" s="5" t="s">
        <v>51</v>
      </c>
    </row>
    <row r="452" customFormat="false" ht="15" hidden="false" customHeight="false" outlineLevel="0" collapsed="false">
      <c r="A452" s="2" t="s">
        <v>131</v>
      </c>
      <c r="B452" s="2" t="n">
        <v>2006</v>
      </c>
      <c r="C452" s="2" t="s">
        <v>49</v>
      </c>
      <c r="D452" s="2" t="n">
        <v>1</v>
      </c>
      <c r="E452" s="2" t="n">
        <v>16</v>
      </c>
      <c r="F452" s="2" t="s">
        <v>50</v>
      </c>
      <c r="G452" s="3" t="n">
        <v>0</v>
      </c>
      <c r="H452" s="3" t="n">
        <v>0</v>
      </c>
      <c r="I452" s="3" t="n">
        <v>1</v>
      </c>
      <c r="J452" s="3" t="n">
        <v>0</v>
      </c>
      <c r="K452" s="3" t="n">
        <v>0</v>
      </c>
      <c r="L452" s="3" t="n">
        <v>1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1</v>
      </c>
      <c r="Z452" s="3" t="n">
        <v>0</v>
      </c>
      <c r="AA452" s="3" t="n">
        <v>0</v>
      </c>
      <c r="AB452" s="3" t="n">
        <v>0</v>
      </c>
      <c r="AC452" s="3" t="n">
        <v>1</v>
      </c>
      <c r="AD452" s="3" t="n">
        <v>1</v>
      </c>
      <c r="AE452" s="3" t="n">
        <v>0</v>
      </c>
      <c r="AF452" s="3" t="n">
        <v>0</v>
      </c>
      <c r="AG452" s="3" t="n">
        <v>1</v>
      </c>
      <c r="AH452" s="3" t="n">
        <v>0</v>
      </c>
      <c r="AI452" s="3" t="n">
        <v>1</v>
      </c>
      <c r="AJ452" s="4" t="n">
        <f aca="false">SUM(G452:AI452)</f>
        <v>7</v>
      </c>
      <c r="AK452" s="4" t="n">
        <f aca="false">ROUND(SUMPRODUCT(G452:AI452,Gene_Weights!$B$2:$AD$2),3)</f>
        <v>-6.72</v>
      </c>
      <c r="AL452" s="2" t="n">
        <v>6</v>
      </c>
      <c r="AM452" s="2" t="n">
        <v>3</v>
      </c>
      <c r="AN452" s="2" t="n">
        <v>50</v>
      </c>
      <c r="AO452" s="5" t="n">
        <v>55.12</v>
      </c>
      <c r="AP452" s="5" t="n">
        <v>56.02</v>
      </c>
      <c r="AQ452" s="5" t="n">
        <v>56.92</v>
      </c>
      <c r="AR452" s="5" t="n">
        <v>57.82</v>
      </c>
      <c r="AS452" s="5" t="n">
        <v>58.72</v>
      </c>
      <c r="AT452" s="5" t="n">
        <v>59.62</v>
      </c>
      <c r="AU452" s="5" t="n">
        <v>60.52</v>
      </c>
      <c r="AV452" s="5" t="s">
        <v>51</v>
      </c>
    </row>
    <row r="453" customFormat="false" ht="15" hidden="false" customHeight="false" outlineLevel="0" collapsed="false">
      <c r="A453" s="2" t="s">
        <v>131</v>
      </c>
      <c r="B453" s="2" t="n">
        <v>2006</v>
      </c>
      <c r="C453" s="2" t="s">
        <v>52</v>
      </c>
      <c r="D453" s="2" t="n">
        <v>1</v>
      </c>
      <c r="E453" s="2" t="n">
        <v>32</v>
      </c>
      <c r="F453" s="2" t="s">
        <v>50</v>
      </c>
      <c r="G453" s="3" t="n">
        <v>0</v>
      </c>
      <c r="H453" s="3" t="n">
        <v>0</v>
      </c>
      <c r="I453" s="3" t="n">
        <v>1</v>
      </c>
      <c r="J453" s="3" t="n">
        <v>0</v>
      </c>
      <c r="K453" s="3" t="n">
        <v>0</v>
      </c>
      <c r="L453" s="3" t="n">
        <v>1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1</v>
      </c>
      <c r="Z453" s="3" t="n">
        <v>0</v>
      </c>
      <c r="AA453" s="3" t="n">
        <v>0</v>
      </c>
      <c r="AB453" s="3" t="n">
        <v>0</v>
      </c>
      <c r="AC453" s="3" t="n">
        <v>1</v>
      </c>
      <c r="AD453" s="3" t="n">
        <v>1</v>
      </c>
      <c r="AE453" s="3" t="n">
        <v>0</v>
      </c>
      <c r="AF453" s="3" t="n">
        <v>0</v>
      </c>
      <c r="AG453" s="3" t="n">
        <v>1</v>
      </c>
      <c r="AH453" s="3" t="n">
        <v>0</v>
      </c>
      <c r="AI453" s="3" t="n">
        <v>1</v>
      </c>
      <c r="AJ453" s="4" t="n">
        <f aca="false">SUM(G453:AI453)</f>
        <v>7</v>
      </c>
      <c r="AK453" s="4" t="n">
        <f aca="false">ROUND(SUMPRODUCT(G453:AI453,Gene_Weights!$B$2:$AD$2),3)</f>
        <v>-6.72</v>
      </c>
      <c r="AL453" s="2" t="n">
        <v>6</v>
      </c>
      <c r="AM453" s="2" t="n">
        <v>1</v>
      </c>
      <c r="AN453" s="2" t="n">
        <v>16.67</v>
      </c>
      <c r="AO453" s="5" t="n">
        <v>64.53</v>
      </c>
      <c r="AP453" s="5" t="n">
        <v>66.13</v>
      </c>
      <c r="AQ453" s="5" t="n">
        <v>67.73</v>
      </c>
      <c r="AR453" s="5" t="n">
        <v>69.33</v>
      </c>
      <c r="AS453" s="5" t="n">
        <v>70.93</v>
      </c>
      <c r="AT453" s="5" t="n">
        <v>72.53</v>
      </c>
      <c r="AU453" s="5" t="n">
        <v>74.13</v>
      </c>
      <c r="AV453" s="5" t="s">
        <v>51</v>
      </c>
    </row>
    <row r="454" customFormat="false" ht="15" hidden="false" customHeight="false" outlineLevel="0" collapsed="false">
      <c r="A454" s="2" t="s">
        <v>131</v>
      </c>
      <c r="B454" s="2" t="n">
        <v>2006</v>
      </c>
      <c r="C454" s="2" t="s">
        <v>53</v>
      </c>
      <c r="D454" s="2" t="n">
        <v>0</v>
      </c>
      <c r="E454" s="2" t="n">
        <v>32</v>
      </c>
      <c r="F454" s="2" t="s">
        <v>50</v>
      </c>
      <c r="G454" s="3" t="n">
        <v>0</v>
      </c>
      <c r="H454" s="3" t="n">
        <v>0</v>
      </c>
      <c r="I454" s="3" t="n">
        <v>1</v>
      </c>
      <c r="J454" s="3" t="n">
        <v>0</v>
      </c>
      <c r="K454" s="3" t="n">
        <v>0</v>
      </c>
      <c r="L454" s="3" t="n">
        <v>1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1</v>
      </c>
      <c r="Z454" s="3" t="n">
        <v>0</v>
      </c>
      <c r="AA454" s="3" t="n">
        <v>0</v>
      </c>
      <c r="AB454" s="3" t="n">
        <v>0</v>
      </c>
      <c r="AC454" s="3" t="n">
        <v>1</v>
      </c>
      <c r="AD454" s="3" t="n">
        <v>1</v>
      </c>
      <c r="AE454" s="3" t="n">
        <v>0</v>
      </c>
      <c r="AF454" s="3" t="n">
        <v>0</v>
      </c>
      <c r="AG454" s="3" t="n">
        <v>1</v>
      </c>
      <c r="AH454" s="3" t="n">
        <v>0</v>
      </c>
      <c r="AI454" s="3" t="n">
        <v>1</v>
      </c>
      <c r="AJ454" s="4" t="n">
        <f aca="false">SUM(G454:AI454)</f>
        <v>7</v>
      </c>
      <c r="AK454" s="4" t="n">
        <f aca="false">ROUND(SUMPRODUCT(G454:AI454,Gene_Weights!$B$2:$AD$2),3)</f>
        <v>-6.72</v>
      </c>
      <c r="AL454" s="2" t="n">
        <v>6</v>
      </c>
      <c r="AM454" s="2" t="n">
        <v>0</v>
      </c>
      <c r="AN454" s="2" t="n">
        <v>0</v>
      </c>
      <c r="AO454" s="5" t="n">
        <v>52.86</v>
      </c>
      <c r="AP454" s="5" t="n">
        <v>53.65</v>
      </c>
      <c r="AQ454" s="5" t="n">
        <v>54.45</v>
      </c>
      <c r="AR454" s="5" t="n">
        <v>55.24</v>
      </c>
      <c r="AS454" s="5" t="n">
        <v>56.03</v>
      </c>
      <c r="AT454" s="5" t="n">
        <v>56.83</v>
      </c>
      <c r="AU454" s="5" t="n">
        <v>57.62</v>
      </c>
      <c r="AV454" s="5" t="s">
        <v>51</v>
      </c>
    </row>
    <row r="455" customFormat="false" ht="15" hidden="false" customHeight="false" outlineLevel="0" collapsed="false">
      <c r="A455" s="2" t="s">
        <v>131</v>
      </c>
      <c r="B455" s="2" t="n">
        <v>2006</v>
      </c>
      <c r="C455" s="2" t="s">
        <v>54</v>
      </c>
      <c r="D455" s="2" t="n">
        <v>0</v>
      </c>
      <c r="E455" s="2" t="n">
        <v>32</v>
      </c>
      <c r="F455" s="2" t="s">
        <v>50</v>
      </c>
      <c r="G455" s="3" t="n">
        <v>0</v>
      </c>
      <c r="H455" s="3" t="n">
        <v>0</v>
      </c>
      <c r="I455" s="3" t="n">
        <v>1</v>
      </c>
      <c r="J455" s="3" t="n">
        <v>0</v>
      </c>
      <c r="K455" s="3" t="n">
        <v>0</v>
      </c>
      <c r="L455" s="3" t="n">
        <v>1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1</v>
      </c>
      <c r="Z455" s="3" t="n">
        <v>0</v>
      </c>
      <c r="AA455" s="3" t="n">
        <v>0</v>
      </c>
      <c r="AB455" s="3" t="n">
        <v>0</v>
      </c>
      <c r="AC455" s="3" t="n">
        <v>1</v>
      </c>
      <c r="AD455" s="3" t="n">
        <v>1</v>
      </c>
      <c r="AE455" s="3" t="n">
        <v>0</v>
      </c>
      <c r="AF455" s="3" t="n">
        <v>0</v>
      </c>
      <c r="AG455" s="3" t="n">
        <v>1</v>
      </c>
      <c r="AH455" s="3" t="n">
        <v>0</v>
      </c>
      <c r="AI455" s="3" t="n">
        <v>1</v>
      </c>
      <c r="AJ455" s="4" t="n">
        <f aca="false">SUM(G455:AI455)</f>
        <v>7</v>
      </c>
      <c r="AK455" s="4" t="n">
        <f aca="false">ROUND(SUMPRODUCT(G455:AI455,Gene_Weights!$B$2:$AD$2),3)</f>
        <v>-6.72</v>
      </c>
      <c r="AL455" s="2" t="n">
        <v>6</v>
      </c>
      <c r="AM455" s="2" t="n">
        <v>2</v>
      </c>
      <c r="AN455" s="2" t="n">
        <v>33.33</v>
      </c>
      <c r="AO455" s="5" t="n">
        <v>81.84</v>
      </c>
      <c r="AP455" s="5" t="n">
        <v>84.45</v>
      </c>
      <c r="AQ455" s="5" t="n">
        <v>87.06</v>
      </c>
      <c r="AR455" s="5" t="n">
        <v>89.67</v>
      </c>
      <c r="AS455" s="5" t="n">
        <v>92.27</v>
      </c>
      <c r="AT455" s="5" t="n">
        <v>94.88</v>
      </c>
      <c r="AU455" s="5" t="n">
        <v>97.49</v>
      </c>
      <c r="AV455" s="5" t="s">
        <v>51</v>
      </c>
    </row>
    <row r="456" customFormat="false" ht="15" hidden="false" customHeight="false" outlineLevel="0" collapsed="false">
      <c r="A456" s="2" t="s">
        <v>131</v>
      </c>
      <c r="B456" s="2" t="n">
        <v>2006</v>
      </c>
      <c r="C456" s="2" t="s">
        <v>55</v>
      </c>
      <c r="D456" s="2" t="n">
        <v>0</v>
      </c>
      <c r="E456" s="2" t="n">
        <v>2</v>
      </c>
      <c r="F456" s="2" t="s">
        <v>50</v>
      </c>
      <c r="G456" s="3" t="n">
        <v>0</v>
      </c>
      <c r="H456" s="3" t="n">
        <v>0</v>
      </c>
      <c r="I456" s="3" t="n">
        <v>1</v>
      </c>
      <c r="J456" s="3" t="n">
        <v>0</v>
      </c>
      <c r="K456" s="3" t="n">
        <v>0</v>
      </c>
      <c r="L456" s="3" t="n">
        <v>1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1</v>
      </c>
      <c r="Z456" s="3" t="n">
        <v>0</v>
      </c>
      <c r="AA456" s="3" t="n">
        <v>0</v>
      </c>
      <c r="AB456" s="3" t="n">
        <v>0</v>
      </c>
      <c r="AC456" s="3" t="n">
        <v>1</v>
      </c>
      <c r="AD456" s="3" t="n">
        <v>1</v>
      </c>
      <c r="AE456" s="3" t="n">
        <v>0</v>
      </c>
      <c r="AF456" s="3" t="n">
        <v>0</v>
      </c>
      <c r="AG456" s="3" t="n">
        <v>1</v>
      </c>
      <c r="AH456" s="3" t="n">
        <v>0</v>
      </c>
      <c r="AI456" s="3" t="n">
        <v>1</v>
      </c>
      <c r="AJ456" s="4" t="n">
        <f aca="false">SUM(G456:AI456)</f>
        <v>7</v>
      </c>
      <c r="AK456" s="4" t="n">
        <f aca="false">ROUND(SUMPRODUCT(G456:AI456,Gene_Weights!$B$2:$AD$2),3)</f>
        <v>-6.72</v>
      </c>
      <c r="AL456" s="2" t="n">
        <v>6</v>
      </c>
      <c r="AM456" s="2" t="n">
        <v>1</v>
      </c>
      <c r="AN456" s="2" t="n">
        <v>16.67</v>
      </c>
      <c r="AO456" s="5" t="n">
        <v>58.19</v>
      </c>
      <c r="AP456" s="5" t="n">
        <v>59.74</v>
      </c>
      <c r="AQ456" s="5" t="n">
        <v>61.3</v>
      </c>
      <c r="AR456" s="5" t="n">
        <v>62.86</v>
      </c>
      <c r="AS456" s="5" t="n">
        <v>64.42</v>
      </c>
      <c r="AT456" s="5" t="n">
        <v>65.98</v>
      </c>
      <c r="AU456" s="5" t="n">
        <v>67.53</v>
      </c>
      <c r="AV456" s="5" t="s">
        <v>51</v>
      </c>
    </row>
    <row r="457" customFormat="false" ht="15" hidden="false" customHeight="false" outlineLevel="0" collapsed="false">
      <c r="A457" s="2" t="s">
        <v>131</v>
      </c>
      <c r="B457" s="2" t="n">
        <v>2006</v>
      </c>
      <c r="C457" s="2" t="s">
        <v>56</v>
      </c>
      <c r="D457" s="2" t="n">
        <v>1</v>
      </c>
      <c r="E457" s="2" t="n">
        <v>4</v>
      </c>
      <c r="F457" s="2" t="s">
        <v>50</v>
      </c>
      <c r="G457" s="3" t="n">
        <v>0</v>
      </c>
      <c r="H457" s="3" t="n">
        <v>0</v>
      </c>
      <c r="I457" s="3" t="n">
        <v>1</v>
      </c>
      <c r="J457" s="3" t="n">
        <v>0</v>
      </c>
      <c r="K457" s="3" t="n">
        <v>0</v>
      </c>
      <c r="L457" s="3" t="n">
        <v>1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1</v>
      </c>
      <c r="Z457" s="3" t="n">
        <v>0</v>
      </c>
      <c r="AA457" s="3" t="n">
        <v>0</v>
      </c>
      <c r="AB457" s="3" t="n">
        <v>0</v>
      </c>
      <c r="AC457" s="3" t="n">
        <v>1</v>
      </c>
      <c r="AD457" s="3" t="n">
        <v>1</v>
      </c>
      <c r="AE457" s="3" t="n">
        <v>0</v>
      </c>
      <c r="AF457" s="3" t="n">
        <v>0</v>
      </c>
      <c r="AG457" s="3" t="n">
        <v>1</v>
      </c>
      <c r="AH457" s="3" t="n">
        <v>0</v>
      </c>
      <c r="AI457" s="3" t="n">
        <v>1</v>
      </c>
      <c r="AJ457" s="4" t="n">
        <f aca="false">SUM(G457:AI457)</f>
        <v>7</v>
      </c>
      <c r="AK457" s="4" t="n">
        <f aca="false">ROUND(SUMPRODUCT(G457:AI457,Gene_Weights!$B$2:$AD$2),3)</f>
        <v>-6.72</v>
      </c>
      <c r="AL457" s="2" t="n">
        <v>6</v>
      </c>
      <c r="AM457" s="2" t="n">
        <v>1</v>
      </c>
      <c r="AN457" s="2" t="n">
        <v>16.67</v>
      </c>
      <c r="AO457" s="5" t="n">
        <v>75.59</v>
      </c>
      <c r="AP457" s="5" t="n">
        <v>78.01</v>
      </c>
      <c r="AQ457" s="5" t="n">
        <v>80.42</v>
      </c>
      <c r="AR457" s="5" t="n">
        <v>82.83</v>
      </c>
      <c r="AS457" s="5" t="n">
        <v>85.24</v>
      </c>
      <c r="AT457" s="5" t="n">
        <v>87.66</v>
      </c>
      <c r="AU457" s="5" t="n">
        <v>90.07</v>
      </c>
      <c r="AV457" s="5" t="s">
        <v>51</v>
      </c>
    </row>
    <row r="458" customFormat="false" ht="15" hidden="false" customHeight="false" outlineLevel="0" collapsed="false">
      <c r="A458" s="2" t="s">
        <v>132</v>
      </c>
      <c r="B458" s="2" t="n">
        <v>2000</v>
      </c>
      <c r="C458" s="2" t="s">
        <v>49</v>
      </c>
      <c r="D458" s="2" t="n">
        <v>1</v>
      </c>
      <c r="E458" s="2" t="n">
        <v>2</v>
      </c>
      <c r="F458" s="2" t="s">
        <v>50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1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1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4" t="n">
        <f aca="false">SUM(G458:AI458)</f>
        <v>2</v>
      </c>
      <c r="AK458" s="4" t="n">
        <f aca="false">ROUND(SUMPRODUCT(G458:AI458,Gene_Weights!$B$2:$AD$2),3)</f>
        <v>-1.89</v>
      </c>
      <c r="AL458" s="2" t="n">
        <v>8</v>
      </c>
      <c r="AM458" s="2" t="n">
        <v>2</v>
      </c>
      <c r="AN458" s="2" t="n">
        <v>25</v>
      </c>
      <c r="AO458" s="5" t="n">
        <v>55.12</v>
      </c>
      <c r="AP458" s="5" t="n">
        <v>56.02</v>
      </c>
      <c r="AQ458" s="5" t="n">
        <v>56.92</v>
      </c>
      <c r="AR458" s="5" t="n">
        <v>57.82</v>
      </c>
      <c r="AS458" s="5" t="n">
        <v>58.72</v>
      </c>
      <c r="AT458" s="5" t="n">
        <v>59.62</v>
      </c>
      <c r="AU458" s="5" t="n">
        <v>60.52</v>
      </c>
      <c r="AV458" s="5" t="s">
        <v>51</v>
      </c>
    </row>
    <row r="459" customFormat="false" ht="15" hidden="false" customHeight="false" outlineLevel="0" collapsed="false">
      <c r="A459" s="2" t="s">
        <v>132</v>
      </c>
      <c r="B459" s="2" t="n">
        <v>2000</v>
      </c>
      <c r="C459" s="2" t="s">
        <v>52</v>
      </c>
      <c r="D459" s="2" t="n">
        <v>0</v>
      </c>
      <c r="E459" s="2" t="n">
        <v>4</v>
      </c>
      <c r="F459" s="2" t="s">
        <v>50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1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1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4" t="n">
        <f aca="false">SUM(G459:AI459)</f>
        <v>2</v>
      </c>
      <c r="AK459" s="4" t="n">
        <f aca="false">ROUND(SUMPRODUCT(G459:AI459,Gene_Weights!$B$2:$AD$2),3)</f>
        <v>-1.89</v>
      </c>
      <c r="AL459" s="2" t="n">
        <v>8</v>
      </c>
      <c r="AM459" s="2" t="n">
        <v>2</v>
      </c>
      <c r="AN459" s="2" t="n">
        <v>25</v>
      </c>
      <c r="AO459" s="5" t="n">
        <v>64.53</v>
      </c>
      <c r="AP459" s="5" t="n">
        <v>66.13</v>
      </c>
      <c r="AQ459" s="5" t="n">
        <v>67.73</v>
      </c>
      <c r="AR459" s="5" t="n">
        <v>69.33</v>
      </c>
      <c r="AS459" s="5" t="n">
        <v>70.93</v>
      </c>
      <c r="AT459" s="5" t="n">
        <v>72.53</v>
      </c>
      <c r="AU459" s="5" t="n">
        <v>74.13</v>
      </c>
      <c r="AV459" s="5" t="s">
        <v>51</v>
      </c>
    </row>
    <row r="460" customFormat="false" ht="15" hidden="false" customHeight="false" outlineLevel="0" collapsed="false">
      <c r="A460" s="2" t="s">
        <v>132</v>
      </c>
      <c r="B460" s="2" t="n">
        <v>2000</v>
      </c>
      <c r="C460" s="2" t="s">
        <v>53</v>
      </c>
      <c r="D460" s="2" t="n">
        <v>0</v>
      </c>
      <c r="E460" s="2" t="n">
        <v>32</v>
      </c>
      <c r="F460" s="2" t="s">
        <v>50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1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4" t="n">
        <f aca="false">SUM(G460:AI460)</f>
        <v>2</v>
      </c>
      <c r="AK460" s="4" t="n">
        <f aca="false">ROUND(SUMPRODUCT(G460:AI460,Gene_Weights!$B$2:$AD$2),3)</f>
        <v>-1.89</v>
      </c>
      <c r="AL460" s="2" t="n">
        <v>8</v>
      </c>
      <c r="AM460" s="2" t="n">
        <v>1</v>
      </c>
      <c r="AN460" s="2" t="n">
        <v>12.5</v>
      </c>
      <c r="AO460" s="5" t="n">
        <v>52.86</v>
      </c>
      <c r="AP460" s="5" t="n">
        <v>53.65</v>
      </c>
      <c r="AQ460" s="5" t="n">
        <v>54.45</v>
      </c>
      <c r="AR460" s="5" t="n">
        <v>55.24</v>
      </c>
      <c r="AS460" s="5" t="n">
        <v>56.03</v>
      </c>
      <c r="AT460" s="5" t="n">
        <v>56.83</v>
      </c>
      <c r="AU460" s="5" t="n">
        <v>57.62</v>
      </c>
      <c r="AV460" s="5" t="s">
        <v>51</v>
      </c>
    </row>
    <row r="461" customFormat="false" ht="15" hidden="false" customHeight="false" outlineLevel="0" collapsed="false">
      <c r="A461" s="2" t="s">
        <v>132</v>
      </c>
      <c r="B461" s="2" t="n">
        <v>2000</v>
      </c>
      <c r="C461" s="2" t="s">
        <v>54</v>
      </c>
      <c r="D461" s="2" t="n">
        <v>0</v>
      </c>
      <c r="E461" s="2" t="n">
        <v>4</v>
      </c>
      <c r="F461" s="2" t="s">
        <v>50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1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1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4" t="n">
        <f aca="false">SUM(G461:AI461)</f>
        <v>2</v>
      </c>
      <c r="AK461" s="4" t="n">
        <f aca="false">ROUND(SUMPRODUCT(G461:AI461,Gene_Weights!$B$2:$AD$2),3)</f>
        <v>-1.89</v>
      </c>
      <c r="AL461" s="2" t="n">
        <v>8</v>
      </c>
      <c r="AM461" s="2" t="n">
        <v>1</v>
      </c>
      <c r="AN461" s="2" t="n">
        <v>12.5</v>
      </c>
      <c r="AO461" s="5" t="n">
        <v>81.84</v>
      </c>
      <c r="AP461" s="5" t="n">
        <v>84.45</v>
      </c>
      <c r="AQ461" s="5" t="n">
        <v>87.06</v>
      </c>
      <c r="AR461" s="5" t="n">
        <v>89.67</v>
      </c>
      <c r="AS461" s="5" t="n">
        <v>92.27</v>
      </c>
      <c r="AT461" s="5" t="n">
        <v>94.88</v>
      </c>
      <c r="AU461" s="5" t="n">
        <v>97.49</v>
      </c>
      <c r="AV461" s="5" t="s">
        <v>51</v>
      </c>
    </row>
    <row r="462" customFormat="false" ht="15" hidden="false" customHeight="false" outlineLevel="0" collapsed="false">
      <c r="A462" s="2" t="s">
        <v>132</v>
      </c>
      <c r="B462" s="2" t="n">
        <v>2000</v>
      </c>
      <c r="C462" s="2" t="s">
        <v>55</v>
      </c>
      <c r="D462" s="2" t="n">
        <v>0</v>
      </c>
      <c r="E462" s="2" t="n">
        <v>32</v>
      </c>
      <c r="F462" s="2" t="s">
        <v>50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1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4" t="n">
        <f aca="false">SUM(G462:AI462)</f>
        <v>2</v>
      </c>
      <c r="AK462" s="4" t="n">
        <f aca="false">ROUND(SUMPRODUCT(G462:AI462,Gene_Weights!$B$2:$AD$2),3)</f>
        <v>-1.89</v>
      </c>
      <c r="AL462" s="2" t="n">
        <v>8</v>
      </c>
      <c r="AM462" s="2" t="n">
        <v>0</v>
      </c>
      <c r="AN462" s="2" t="n">
        <v>0</v>
      </c>
      <c r="AO462" s="5" t="n">
        <v>58.19</v>
      </c>
      <c r="AP462" s="5" t="n">
        <v>59.74</v>
      </c>
      <c r="AQ462" s="5" t="n">
        <v>61.3</v>
      </c>
      <c r="AR462" s="5" t="n">
        <v>62.86</v>
      </c>
      <c r="AS462" s="5" t="n">
        <v>64.42</v>
      </c>
      <c r="AT462" s="5" t="n">
        <v>65.98</v>
      </c>
      <c r="AU462" s="5" t="n">
        <v>67.53</v>
      </c>
      <c r="AV462" s="5" t="s">
        <v>51</v>
      </c>
    </row>
    <row r="463" customFormat="false" ht="15" hidden="false" customHeight="false" outlineLevel="0" collapsed="false">
      <c r="A463" s="2" t="s">
        <v>132</v>
      </c>
      <c r="B463" s="2" t="n">
        <v>2000</v>
      </c>
      <c r="C463" s="2" t="s">
        <v>56</v>
      </c>
      <c r="D463" s="2" t="n">
        <v>0</v>
      </c>
      <c r="E463" s="2" t="n">
        <v>32</v>
      </c>
      <c r="F463" s="2" t="s">
        <v>50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1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1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4" t="n">
        <f aca="false">SUM(G463:AI463)</f>
        <v>2</v>
      </c>
      <c r="AK463" s="4" t="n">
        <f aca="false">ROUND(SUMPRODUCT(G463:AI463,Gene_Weights!$B$2:$AD$2),3)</f>
        <v>-1.89</v>
      </c>
      <c r="AL463" s="2" t="n">
        <v>8</v>
      </c>
      <c r="AM463" s="2" t="n">
        <v>2</v>
      </c>
      <c r="AN463" s="2" t="n">
        <v>25</v>
      </c>
      <c r="AO463" s="5" t="n">
        <v>75.59</v>
      </c>
      <c r="AP463" s="5" t="n">
        <v>78.01</v>
      </c>
      <c r="AQ463" s="5" t="n">
        <v>80.42</v>
      </c>
      <c r="AR463" s="5" t="n">
        <v>82.83</v>
      </c>
      <c r="AS463" s="5" t="n">
        <v>85.24</v>
      </c>
      <c r="AT463" s="5" t="n">
        <v>87.66</v>
      </c>
      <c r="AU463" s="5" t="n">
        <v>90.07</v>
      </c>
      <c r="AV463" s="5" t="s">
        <v>51</v>
      </c>
    </row>
    <row r="464" customFormat="false" ht="15" hidden="false" customHeight="false" outlineLevel="0" collapsed="false">
      <c r="A464" s="2" t="s">
        <v>133</v>
      </c>
      <c r="B464" s="2" t="n">
        <v>2011</v>
      </c>
      <c r="C464" s="2" t="s">
        <v>49</v>
      </c>
      <c r="D464" s="2" t="n">
        <v>0</v>
      </c>
      <c r="E464" s="2" t="n">
        <v>2</v>
      </c>
      <c r="F464" s="2" t="s">
        <v>50</v>
      </c>
      <c r="G464" s="3" t="n">
        <v>0</v>
      </c>
      <c r="H464" s="3" t="n">
        <v>0</v>
      </c>
      <c r="I464" s="3" t="n">
        <v>0</v>
      </c>
      <c r="J464" s="3" t="n">
        <v>1</v>
      </c>
      <c r="K464" s="3" t="n">
        <v>0</v>
      </c>
      <c r="L464" s="3" t="n">
        <v>0</v>
      </c>
      <c r="M464" s="3" t="n">
        <v>1</v>
      </c>
      <c r="N464" s="3" t="n">
        <v>1</v>
      </c>
      <c r="O464" s="3" t="n">
        <v>0</v>
      </c>
      <c r="P464" s="3" t="n">
        <v>0</v>
      </c>
      <c r="Q464" s="3" t="n">
        <v>0</v>
      </c>
      <c r="R464" s="3" t="n">
        <v>1</v>
      </c>
      <c r="S464" s="3" t="n">
        <v>0</v>
      </c>
      <c r="T464" s="3" t="n">
        <v>1</v>
      </c>
      <c r="U464" s="3" t="n">
        <v>0</v>
      </c>
      <c r="V464" s="3" t="n">
        <v>1</v>
      </c>
      <c r="W464" s="3" t="n">
        <v>1</v>
      </c>
      <c r="X464" s="3" t="n">
        <v>1</v>
      </c>
      <c r="Y464" s="3" t="n">
        <v>0</v>
      </c>
      <c r="Z464" s="3" t="n">
        <v>0</v>
      </c>
      <c r="AA464" s="3" t="n">
        <v>1</v>
      </c>
      <c r="AB464" s="3" t="n">
        <v>0</v>
      </c>
      <c r="AC464" s="3" t="n">
        <v>0</v>
      </c>
      <c r="AD464" s="3" t="n">
        <v>1</v>
      </c>
      <c r="AE464" s="3" t="n">
        <v>0</v>
      </c>
      <c r="AF464" s="3" t="n">
        <v>0</v>
      </c>
      <c r="AG464" s="3" t="n">
        <v>1</v>
      </c>
      <c r="AH464" s="3" t="n">
        <v>0</v>
      </c>
      <c r="AI464" s="3" t="n">
        <v>0</v>
      </c>
      <c r="AJ464" s="4" t="n">
        <f aca="false">SUM(G464:AI464)</f>
        <v>11</v>
      </c>
      <c r="AK464" s="4" t="n">
        <f aca="false">ROUND(SUMPRODUCT(G464:AI464,Gene_Weights!$B$2:$AD$2),3)</f>
        <v>-8.72</v>
      </c>
      <c r="AL464" s="2" t="n">
        <v>11</v>
      </c>
      <c r="AM464" s="2" t="n">
        <v>5</v>
      </c>
      <c r="AN464" s="2" t="n">
        <v>45.45</v>
      </c>
      <c r="AO464" s="5" t="n">
        <v>55.12</v>
      </c>
      <c r="AP464" s="5" t="n">
        <v>56.02</v>
      </c>
      <c r="AQ464" s="5" t="n">
        <v>56.92</v>
      </c>
      <c r="AR464" s="5" t="n">
        <v>57.82</v>
      </c>
      <c r="AS464" s="5" t="n">
        <v>58.72</v>
      </c>
      <c r="AT464" s="5" t="n">
        <v>59.62</v>
      </c>
      <c r="AU464" s="5" t="n">
        <v>60.52</v>
      </c>
      <c r="AV464" s="5" t="s">
        <v>51</v>
      </c>
    </row>
    <row r="465" customFormat="false" ht="15" hidden="false" customHeight="false" outlineLevel="0" collapsed="false">
      <c r="A465" s="2" t="s">
        <v>133</v>
      </c>
      <c r="B465" s="2" t="n">
        <v>2011</v>
      </c>
      <c r="C465" s="2" t="s">
        <v>52</v>
      </c>
      <c r="D465" s="2" t="n">
        <v>1</v>
      </c>
      <c r="E465" s="2" t="n">
        <v>16</v>
      </c>
      <c r="F465" s="2" t="s">
        <v>50</v>
      </c>
      <c r="G465" s="3" t="n">
        <v>0</v>
      </c>
      <c r="H465" s="3" t="n">
        <v>0</v>
      </c>
      <c r="I465" s="3" t="n">
        <v>0</v>
      </c>
      <c r="J465" s="3" t="n">
        <v>1</v>
      </c>
      <c r="K465" s="3" t="n">
        <v>0</v>
      </c>
      <c r="L465" s="3" t="n">
        <v>0</v>
      </c>
      <c r="M465" s="3" t="n">
        <v>1</v>
      </c>
      <c r="N465" s="3" t="n">
        <v>1</v>
      </c>
      <c r="O465" s="3" t="n">
        <v>0</v>
      </c>
      <c r="P465" s="3" t="n">
        <v>0</v>
      </c>
      <c r="Q465" s="3" t="n">
        <v>0</v>
      </c>
      <c r="R465" s="3" t="n">
        <v>1</v>
      </c>
      <c r="S465" s="3" t="n">
        <v>0</v>
      </c>
      <c r="T465" s="3" t="n">
        <v>1</v>
      </c>
      <c r="U465" s="3" t="n">
        <v>0</v>
      </c>
      <c r="V465" s="3" t="n">
        <v>1</v>
      </c>
      <c r="W465" s="3" t="n">
        <v>1</v>
      </c>
      <c r="X465" s="3" t="n">
        <v>1</v>
      </c>
      <c r="Y465" s="3" t="n">
        <v>0</v>
      </c>
      <c r="Z465" s="3" t="n">
        <v>0</v>
      </c>
      <c r="AA465" s="3" t="n">
        <v>1</v>
      </c>
      <c r="AB465" s="3" t="n">
        <v>0</v>
      </c>
      <c r="AC465" s="3" t="n">
        <v>0</v>
      </c>
      <c r="AD465" s="3" t="n">
        <v>1</v>
      </c>
      <c r="AE465" s="3" t="n">
        <v>0</v>
      </c>
      <c r="AF465" s="3" t="n">
        <v>0</v>
      </c>
      <c r="AG465" s="3" t="n">
        <v>1</v>
      </c>
      <c r="AH465" s="3" t="n">
        <v>0</v>
      </c>
      <c r="AI465" s="3" t="n">
        <v>0</v>
      </c>
      <c r="AJ465" s="4" t="n">
        <f aca="false">SUM(G465:AI465)</f>
        <v>11</v>
      </c>
      <c r="AK465" s="4" t="n">
        <f aca="false">ROUND(SUMPRODUCT(G465:AI465,Gene_Weights!$B$2:$AD$2),3)</f>
        <v>-8.72</v>
      </c>
      <c r="AL465" s="2" t="n">
        <v>11</v>
      </c>
      <c r="AM465" s="2" t="n">
        <v>4</v>
      </c>
      <c r="AN465" s="2" t="n">
        <v>36.36</v>
      </c>
      <c r="AO465" s="5" t="n">
        <v>64.53</v>
      </c>
      <c r="AP465" s="5" t="n">
        <v>66.13</v>
      </c>
      <c r="AQ465" s="5" t="n">
        <v>67.73</v>
      </c>
      <c r="AR465" s="5" t="n">
        <v>69.33</v>
      </c>
      <c r="AS465" s="5" t="n">
        <v>70.93</v>
      </c>
      <c r="AT465" s="5" t="n">
        <v>72.53</v>
      </c>
      <c r="AU465" s="5" t="n">
        <v>74.13</v>
      </c>
      <c r="AV465" s="5" t="s">
        <v>51</v>
      </c>
    </row>
    <row r="466" customFormat="false" ht="15" hidden="false" customHeight="false" outlineLevel="0" collapsed="false">
      <c r="A466" s="2" t="s">
        <v>133</v>
      </c>
      <c r="B466" s="2" t="n">
        <v>2011</v>
      </c>
      <c r="C466" s="2" t="s">
        <v>53</v>
      </c>
      <c r="D466" s="2" t="n">
        <v>0</v>
      </c>
      <c r="E466" s="2" t="n">
        <v>2</v>
      </c>
      <c r="F466" s="2" t="s">
        <v>50</v>
      </c>
      <c r="G466" s="3" t="n">
        <v>0</v>
      </c>
      <c r="H466" s="3" t="n">
        <v>0</v>
      </c>
      <c r="I466" s="3" t="n">
        <v>0</v>
      </c>
      <c r="J466" s="3" t="n">
        <v>1</v>
      </c>
      <c r="K466" s="3" t="n">
        <v>0</v>
      </c>
      <c r="L466" s="3" t="n">
        <v>0</v>
      </c>
      <c r="M466" s="3" t="n">
        <v>1</v>
      </c>
      <c r="N466" s="3" t="n">
        <v>1</v>
      </c>
      <c r="O466" s="3" t="n">
        <v>0</v>
      </c>
      <c r="P466" s="3" t="n">
        <v>0</v>
      </c>
      <c r="Q466" s="3" t="n">
        <v>0</v>
      </c>
      <c r="R466" s="3" t="n">
        <v>1</v>
      </c>
      <c r="S466" s="3" t="n">
        <v>0</v>
      </c>
      <c r="T466" s="3" t="n">
        <v>1</v>
      </c>
      <c r="U466" s="3" t="n">
        <v>0</v>
      </c>
      <c r="V466" s="3" t="n">
        <v>1</v>
      </c>
      <c r="W466" s="3" t="n">
        <v>1</v>
      </c>
      <c r="X466" s="3" t="n">
        <v>1</v>
      </c>
      <c r="Y466" s="3" t="n">
        <v>0</v>
      </c>
      <c r="Z466" s="3" t="n">
        <v>0</v>
      </c>
      <c r="AA466" s="3" t="n">
        <v>1</v>
      </c>
      <c r="AB466" s="3" t="n">
        <v>0</v>
      </c>
      <c r="AC466" s="3" t="n">
        <v>0</v>
      </c>
      <c r="AD466" s="3" t="n">
        <v>1</v>
      </c>
      <c r="AE466" s="3" t="n">
        <v>0</v>
      </c>
      <c r="AF466" s="3" t="n">
        <v>0</v>
      </c>
      <c r="AG466" s="3" t="n">
        <v>1</v>
      </c>
      <c r="AH466" s="3" t="n">
        <v>0</v>
      </c>
      <c r="AI466" s="3" t="n">
        <v>0</v>
      </c>
      <c r="AJ466" s="4" t="n">
        <f aca="false">SUM(G466:AI466)</f>
        <v>11</v>
      </c>
      <c r="AK466" s="4" t="n">
        <f aca="false">ROUND(SUMPRODUCT(G466:AI466,Gene_Weights!$B$2:$AD$2),3)</f>
        <v>-8.72</v>
      </c>
      <c r="AL466" s="2" t="n">
        <v>11</v>
      </c>
      <c r="AM466" s="2" t="n">
        <v>6</v>
      </c>
      <c r="AN466" s="2" t="n">
        <v>54.55</v>
      </c>
      <c r="AO466" s="5" t="n">
        <v>52.86</v>
      </c>
      <c r="AP466" s="5" t="n">
        <v>53.65</v>
      </c>
      <c r="AQ466" s="5" t="n">
        <v>54.45</v>
      </c>
      <c r="AR466" s="5" t="n">
        <v>55.24</v>
      </c>
      <c r="AS466" s="5" t="n">
        <v>56.03</v>
      </c>
      <c r="AT466" s="5" t="n">
        <v>56.83</v>
      </c>
      <c r="AU466" s="5" t="n">
        <v>57.62</v>
      </c>
      <c r="AV466" s="5" t="s">
        <v>51</v>
      </c>
    </row>
    <row r="467" customFormat="false" ht="15" hidden="false" customHeight="false" outlineLevel="0" collapsed="false">
      <c r="A467" s="2" t="s">
        <v>133</v>
      </c>
      <c r="B467" s="2" t="n">
        <v>2011</v>
      </c>
      <c r="C467" s="2" t="s">
        <v>54</v>
      </c>
      <c r="D467" s="2" t="n">
        <v>1</v>
      </c>
      <c r="E467" s="2" t="n">
        <v>2</v>
      </c>
      <c r="F467" s="2" t="s">
        <v>50</v>
      </c>
      <c r="G467" s="3" t="n">
        <v>0</v>
      </c>
      <c r="H467" s="3" t="n">
        <v>0</v>
      </c>
      <c r="I467" s="3" t="n">
        <v>0</v>
      </c>
      <c r="J467" s="3" t="n">
        <v>1</v>
      </c>
      <c r="K467" s="3" t="n">
        <v>0</v>
      </c>
      <c r="L467" s="3" t="n">
        <v>0</v>
      </c>
      <c r="M467" s="3" t="n">
        <v>1</v>
      </c>
      <c r="N467" s="3" t="n">
        <v>1</v>
      </c>
      <c r="O467" s="3" t="n">
        <v>0</v>
      </c>
      <c r="P467" s="3" t="n">
        <v>0</v>
      </c>
      <c r="Q467" s="3" t="n">
        <v>0</v>
      </c>
      <c r="R467" s="3" t="n">
        <v>1</v>
      </c>
      <c r="S467" s="3" t="n">
        <v>0</v>
      </c>
      <c r="T467" s="3" t="n">
        <v>1</v>
      </c>
      <c r="U467" s="3" t="n">
        <v>0</v>
      </c>
      <c r="V467" s="3" t="n">
        <v>1</v>
      </c>
      <c r="W467" s="3" t="n">
        <v>1</v>
      </c>
      <c r="X467" s="3" t="n">
        <v>1</v>
      </c>
      <c r="Y467" s="3" t="n">
        <v>0</v>
      </c>
      <c r="Z467" s="3" t="n">
        <v>0</v>
      </c>
      <c r="AA467" s="3" t="n">
        <v>1</v>
      </c>
      <c r="AB467" s="3" t="n">
        <v>0</v>
      </c>
      <c r="AC467" s="3" t="n">
        <v>0</v>
      </c>
      <c r="AD467" s="3" t="n">
        <v>1</v>
      </c>
      <c r="AE467" s="3" t="n">
        <v>0</v>
      </c>
      <c r="AF467" s="3" t="n">
        <v>0</v>
      </c>
      <c r="AG467" s="3" t="n">
        <v>1</v>
      </c>
      <c r="AH467" s="3" t="n">
        <v>0</v>
      </c>
      <c r="AI467" s="3" t="n">
        <v>0</v>
      </c>
      <c r="AJ467" s="4" t="n">
        <f aca="false">SUM(G467:AI467)</f>
        <v>11</v>
      </c>
      <c r="AK467" s="4" t="n">
        <f aca="false">ROUND(SUMPRODUCT(G467:AI467,Gene_Weights!$B$2:$AD$2),3)</f>
        <v>-8.72</v>
      </c>
      <c r="AL467" s="2" t="n">
        <v>11</v>
      </c>
      <c r="AM467" s="2" t="n">
        <v>4</v>
      </c>
      <c r="AN467" s="2" t="n">
        <v>36.36</v>
      </c>
      <c r="AO467" s="5" t="n">
        <v>81.84</v>
      </c>
      <c r="AP467" s="5" t="n">
        <v>84.45</v>
      </c>
      <c r="AQ467" s="5" t="n">
        <v>87.06</v>
      </c>
      <c r="AR467" s="5" t="n">
        <v>89.67</v>
      </c>
      <c r="AS467" s="5" t="n">
        <v>92.27</v>
      </c>
      <c r="AT467" s="5" t="n">
        <v>94.88</v>
      </c>
      <c r="AU467" s="5" t="n">
        <v>97.49</v>
      </c>
      <c r="AV467" s="5" t="s">
        <v>51</v>
      </c>
    </row>
    <row r="468" customFormat="false" ht="15" hidden="false" customHeight="false" outlineLevel="0" collapsed="false">
      <c r="A468" s="2" t="s">
        <v>133</v>
      </c>
      <c r="B468" s="2" t="n">
        <v>2011</v>
      </c>
      <c r="C468" s="2" t="s">
        <v>55</v>
      </c>
      <c r="D468" s="2" t="n">
        <v>1</v>
      </c>
      <c r="E468" s="2" t="n">
        <v>4</v>
      </c>
      <c r="F468" s="2" t="s">
        <v>50</v>
      </c>
      <c r="G468" s="3" t="n">
        <v>0</v>
      </c>
      <c r="H468" s="3" t="n">
        <v>0</v>
      </c>
      <c r="I468" s="3" t="n">
        <v>0</v>
      </c>
      <c r="J468" s="3" t="n">
        <v>1</v>
      </c>
      <c r="K468" s="3" t="n">
        <v>0</v>
      </c>
      <c r="L468" s="3" t="n">
        <v>0</v>
      </c>
      <c r="M468" s="3" t="n">
        <v>1</v>
      </c>
      <c r="N468" s="3" t="n">
        <v>1</v>
      </c>
      <c r="O468" s="3" t="n">
        <v>0</v>
      </c>
      <c r="P468" s="3" t="n">
        <v>0</v>
      </c>
      <c r="Q468" s="3" t="n">
        <v>0</v>
      </c>
      <c r="R468" s="3" t="n">
        <v>1</v>
      </c>
      <c r="S468" s="3" t="n">
        <v>0</v>
      </c>
      <c r="T468" s="3" t="n">
        <v>1</v>
      </c>
      <c r="U468" s="3" t="n">
        <v>0</v>
      </c>
      <c r="V468" s="3" t="n">
        <v>1</v>
      </c>
      <c r="W468" s="3" t="n">
        <v>1</v>
      </c>
      <c r="X468" s="3" t="n">
        <v>1</v>
      </c>
      <c r="Y468" s="3" t="n">
        <v>0</v>
      </c>
      <c r="Z468" s="3" t="n">
        <v>0</v>
      </c>
      <c r="AA468" s="3" t="n">
        <v>1</v>
      </c>
      <c r="AB468" s="3" t="n">
        <v>0</v>
      </c>
      <c r="AC468" s="3" t="n">
        <v>0</v>
      </c>
      <c r="AD468" s="3" t="n">
        <v>1</v>
      </c>
      <c r="AE468" s="3" t="n">
        <v>0</v>
      </c>
      <c r="AF468" s="3" t="n">
        <v>0</v>
      </c>
      <c r="AG468" s="3" t="n">
        <v>1</v>
      </c>
      <c r="AH468" s="3" t="n">
        <v>0</v>
      </c>
      <c r="AI468" s="3" t="n">
        <v>0</v>
      </c>
      <c r="AJ468" s="4" t="n">
        <f aca="false">SUM(G468:AI468)</f>
        <v>11</v>
      </c>
      <c r="AK468" s="4" t="n">
        <f aca="false">ROUND(SUMPRODUCT(G468:AI468,Gene_Weights!$B$2:$AD$2),3)</f>
        <v>-8.72</v>
      </c>
      <c r="AL468" s="2" t="n">
        <v>11</v>
      </c>
      <c r="AM468" s="2" t="n">
        <v>7</v>
      </c>
      <c r="AN468" s="2" t="n">
        <v>63.64</v>
      </c>
      <c r="AO468" s="5" t="n">
        <v>58.19</v>
      </c>
      <c r="AP468" s="5" t="n">
        <v>59.74</v>
      </c>
      <c r="AQ468" s="5" t="n">
        <v>61.3</v>
      </c>
      <c r="AR468" s="5" t="n">
        <v>62.86</v>
      </c>
      <c r="AS468" s="5" t="n">
        <v>64.42</v>
      </c>
      <c r="AT468" s="5" t="n">
        <v>65.98</v>
      </c>
      <c r="AU468" s="5" t="n">
        <v>67.53</v>
      </c>
      <c r="AV468" s="5" t="s">
        <v>51</v>
      </c>
    </row>
    <row r="469" customFormat="false" ht="15" hidden="false" customHeight="false" outlineLevel="0" collapsed="false">
      <c r="A469" s="2" t="s">
        <v>133</v>
      </c>
      <c r="B469" s="2" t="n">
        <v>2011</v>
      </c>
      <c r="C469" s="2" t="s">
        <v>56</v>
      </c>
      <c r="D469" s="2" t="n">
        <v>0</v>
      </c>
      <c r="E469" s="2" t="n">
        <v>32</v>
      </c>
      <c r="F469" s="2" t="s">
        <v>50</v>
      </c>
      <c r="G469" s="3" t="n">
        <v>0</v>
      </c>
      <c r="H469" s="3" t="n">
        <v>0</v>
      </c>
      <c r="I469" s="3" t="n">
        <v>0</v>
      </c>
      <c r="J469" s="3" t="n">
        <v>1</v>
      </c>
      <c r="K469" s="3" t="n">
        <v>0</v>
      </c>
      <c r="L469" s="3" t="n">
        <v>0</v>
      </c>
      <c r="M469" s="3" t="n">
        <v>1</v>
      </c>
      <c r="N469" s="3" t="n">
        <v>1</v>
      </c>
      <c r="O469" s="3" t="n">
        <v>0</v>
      </c>
      <c r="P469" s="3" t="n">
        <v>0</v>
      </c>
      <c r="Q469" s="3" t="n">
        <v>0</v>
      </c>
      <c r="R469" s="3" t="n">
        <v>1</v>
      </c>
      <c r="S469" s="3" t="n">
        <v>0</v>
      </c>
      <c r="T469" s="3" t="n">
        <v>1</v>
      </c>
      <c r="U469" s="3" t="n">
        <v>0</v>
      </c>
      <c r="V469" s="3" t="n">
        <v>1</v>
      </c>
      <c r="W469" s="3" t="n">
        <v>1</v>
      </c>
      <c r="X469" s="3" t="n">
        <v>1</v>
      </c>
      <c r="Y469" s="3" t="n">
        <v>0</v>
      </c>
      <c r="Z469" s="3" t="n">
        <v>0</v>
      </c>
      <c r="AA469" s="3" t="n">
        <v>1</v>
      </c>
      <c r="AB469" s="3" t="n">
        <v>0</v>
      </c>
      <c r="AC469" s="3" t="n">
        <v>0</v>
      </c>
      <c r="AD469" s="3" t="n">
        <v>1</v>
      </c>
      <c r="AE469" s="3" t="n">
        <v>0</v>
      </c>
      <c r="AF469" s="3" t="n">
        <v>0</v>
      </c>
      <c r="AG469" s="3" t="n">
        <v>1</v>
      </c>
      <c r="AH469" s="3" t="n">
        <v>0</v>
      </c>
      <c r="AI469" s="3" t="n">
        <v>0</v>
      </c>
      <c r="AJ469" s="4" t="n">
        <f aca="false">SUM(G469:AI469)</f>
        <v>11</v>
      </c>
      <c r="AK469" s="4" t="n">
        <f aca="false">ROUND(SUMPRODUCT(G469:AI469,Gene_Weights!$B$2:$AD$2),3)</f>
        <v>-8.72</v>
      </c>
      <c r="AL469" s="2" t="n">
        <v>11</v>
      </c>
      <c r="AM469" s="2" t="n">
        <v>7</v>
      </c>
      <c r="AN469" s="2" t="n">
        <v>63.64</v>
      </c>
      <c r="AO469" s="5" t="n">
        <v>75.59</v>
      </c>
      <c r="AP469" s="5" t="n">
        <v>78.01</v>
      </c>
      <c r="AQ469" s="5" t="n">
        <v>80.42</v>
      </c>
      <c r="AR469" s="5" t="n">
        <v>82.83</v>
      </c>
      <c r="AS469" s="5" t="n">
        <v>85.24</v>
      </c>
      <c r="AT469" s="5" t="n">
        <v>87.66</v>
      </c>
      <c r="AU469" s="5" t="n">
        <v>90.07</v>
      </c>
      <c r="AV469" s="5" t="s">
        <v>51</v>
      </c>
    </row>
    <row r="470" customFormat="false" ht="15" hidden="false" customHeight="false" outlineLevel="0" collapsed="false">
      <c r="A470" s="2" t="s">
        <v>134</v>
      </c>
      <c r="B470" s="2" t="n">
        <v>2005</v>
      </c>
      <c r="C470" s="2" t="s">
        <v>49</v>
      </c>
      <c r="D470" s="2" t="n">
        <v>0</v>
      </c>
      <c r="E470" s="2" t="n">
        <v>16</v>
      </c>
      <c r="F470" s="2" t="s">
        <v>50</v>
      </c>
      <c r="G470" s="3" t="n">
        <v>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1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1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1</v>
      </c>
      <c r="X470" s="3" t="n">
        <v>1</v>
      </c>
      <c r="Y470" s="3" t="n">
        <v>0</v>
      </c>
      <c r="Z470" s="3" t="n">
        <v>0</v>
      </c>
      <c r="AA470" s="3" t="n">
        <v>1</v>
      </c>
      <c r="AB470" s="3" t="n">
        <v>0</v>
      </c>
      <c r="AC470" s="3" t="n">
        <v>1</v>
      </c>
      <c r="AD470" s="3" t="n">
        <v>0</v>
      </c>
      <c r="AE470" s="3" t="n">
        <v>1</v>
      </c>
      <c r="AF470" s="3" t="n">
        <v>0</v>
      </c>
      <c r="AG470" s="3" t="n">
        <v>0</v>
      </c>
      <c r="AH470" s="3" t="n">
        <v>1</v>
      </c>
      <c r="AI470" s="3" t="n">
        <v>1</v>
      </c>
      <c r="AJ470" s="4" t="n">
        <f aca="false">SUM(G470:AI470)</f>
        <v>10</v>
      </c>
      <c r="AK470" s="4" t="n">
        <f aca="false">ROUND(SUMPRODUCT(G470:AI470,Gene_Weights!$B$2:$AD$2),3)</f>
        <v>-8.81</v>
      </c>
      <c r="AL470" s="2" t="n">
        <v>6</v>
      </c>
      <c r="AM470" s="2" t="n">
        <v>1</v>
      </c>
      <c r="AN470" s="2" t="n">
        <v>16.67</v>
      </c>
      <c r="AO470" s="5" t="n">
        <v>55.12</v>
      </c>
      <c r="AP470" s="5" t="n">
        <v>56.02</v>
      </c>
      <c r="AQ470" s="5" t="n">
        <v>56.92</v>
      </c>
      <c r="AR470" s="5" t="n">
        <v>57.82</v>
      </c>
      <c r="AS470" s="5" t="n">
        <v>58.72</v>
      </c>
      <c r="AT470" s="5" t="n">
        <v>59.62</v>
      </c>
      <c r="AU470" s="5" t="n">
        <v>60.52</v>
      </c>
      <c r="AV470" s="5" t="s">
        <v>51</v>
      </c>
    </row>
    <row r="471" customFormat="false" ht="15" hidden="false" customHeight="false" outlineLevel="0" collapsed="false">
      <c r="A471" s="2" t="s">
        <v>134</v>
      </c>
      <c r="B471" s="2" t="n">
        <v>2005</v>
      </c>
      <c r="C471" s="2" t="s">
        <v>52</v>
      </c>
      <c r="D471" s="2" t="n">
        <v>0</v>
      </c>
      <c r="E471" s="2" t="n">
        <v>16</v>
      </c>
      <c r="F471" s="2" t="s">
        <v>50</v>
      </c>
      <c r="G471" s="3" t="n">
        <v>1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1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1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</v>
      </c>
      <c r="X471" s="3" t="n">
        <v>1</v>
      </c>
      <c r="Y471" s="3" t="n">
        <v>0</v>
      </c>
      <c r="Z471" s="3" t="n">
        <v>0</v>
      </c>
      <c r="AA471" s="3" t="n">
        <v>1</v>
      </c>
      <c r="AB471" s="3" t="n">
        <v>0</v>
      </c>
      <c r="AC471" s="3" t="n">
        <v>1</v>
      </c>
      <c r="AD471" s="3" t="n">
        <v>0</v>
      </c>
      <c r="AE471" s="3" t="n">
        <v>1</v>
      </c>
      <c r="AF471" s="3" t="n">
        <v>0</v>
      </c>
      <c r="AG471" s="3" t="n">
        <v>0</v>
      </c>
      <c r="AH471" s="3" t="n">
        <v>1</v>
      </c>
      <c r="AI471" s="3" t="n">
        <v>1</v>
      </c>
      <c r="AJ471" s="4" t="n">
        <f aca="false">SUM(G471:AI471)</f>
        <v>10</v>
      </c>
      <c r="AK471" s="4" t="n">
        <f aca="false">ROUND(SUMPRODUCT(G471:AI471,Gene_Weights!$B$2:$AD$2),3)</f>
        <v>-8.81</v>
      </c>
      <c r="AL471" s="2" t="n">
        <v>6</v>
      </c>
      <c r="AM471" s="2" t="n">
        <v>2</v>
      </c>
      <c r="AN471" s="2" t="n">
        <v>33.33</v>
      </c>
      <c r="AO471" s="5" t="n">
        <v>64.53</v>
      </c>
      <c r="AP471" s="5" t="n">
        <v>66.13</v>
      </c>
      <c r="AQ471" s="5" t="n">
        <v>67.73</v>
      </c>
      <c r="AR471" s="5" t="n">
        <v>69.33</v>
      </c>
      <c r="AS471" s="5" t="n">
        <v>70.93</v>
      </c>
      <c r="AT471" s="5" t="n">
        <v>72.53</v>
      </c>
      <c r="AU471" s="5" t="n">
        <v>74.13</v>
      </c>
      <c r="AV471" s="5" t="s">
        <v>51</v>
      </c>
    </row>
    <row r="472" customFormat="false" ht="15" hidden="false" customHeight="false" outlineLevel="0" collapsed="false">
      <c r="A472" s="2" t="s">
        <v>134</v>
      </c>
      <c r="B472" s="2" t="n">
        <v>2005</v>
      </c>
      <c r="C472" s="2" t="s">
        <v>53</v>
      </c>
      <c r="D472" s="2" t="n">
        <v>0</v>
      </c>
      <c r="E472" s="2" t="n">
        <v>32</v>
      </c>
      <c r="F472" s="2" t="s">
        <v>50</v>
      </c>
      <c r="G472" s="3" t="n">
        <v>1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1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1</v>
      </c>
      <c r="X472" s="3" t="n">
        <v>1</v>
      </c>
      <c r="Y472" s="3" t="n">
        <v>0</v>
      </c>
      <c r="Z472" s="3" t="n">
        <v>0</v>
      </c>
      <c r="AA472" s="3" t="n">
        <v>1</v>
      </c>
      <c r="AB472" s="3" t="n">
        <v>0</v>
      </c>
      <c r="AC472" s="3" t="n">
        <v>1</v>
      </c>
      <c r="AD472" s="3" t="n">
        <v>0</v>
      </c>
      <c r="AE472" s="3" t="n">
        <v>1</v>
      </c>
      <c r="AF472" s="3" t="n">
        <v>0</v>
      </c>
      <c r="AG472" s="3" t="n">
        <v>0</v>
      </c>
      <c r="AH472" s="3" t="n">
        <v>1</v>
      </c>
      <c r="AI472" s="3" t="n">
        <v>1</v>
      </c>
      <c r="AJ472" s="4" t="n">
        <f aca="false">SUM(G472:AI472)</f>
        <v>10</v>
      </c>
      <c r="AK472" s="4" t="n">
        <f aca="false">ROUND(SUMPRODUCT(G472:AI472,Gene_Weights!$B$2:$AD$2),3)</f>
        <v>-8.81</v>
      </c>
      <c r="AL472" s="2" t="n">
        <v>6</v>
      </c>
      <c r="AM472" s="2" t="n">
        <v>0</v>
      </c>
      <c r="AN472" s="2" t="n">
        <v>0</v>
      </c>
      <c r="AO472" s="5" t="n">
        <v>52.86</v>
      </c>
      <c r="AP472" s="5" t="n">
        <v>53.65</v>
      </c>
      <c r="AQ472" s="5" t="n">
        <v>54.45</v>
      </c>
      <c r="AR472" s="5" t="n">
        <v>55.24</v>
      </c>
      <c r="AS472" s="5" t="n">
        <v>56.03</v>
      </c>
      <c r="AT472" s="5" t="n">
        <v>56.83</v>
      </c>
      <c r="AU472" s="5" t="n">
        <v>57.62</v>
      </c>
      <c r="AV472" s="5" t="s">
        <v>51</v>
      </c>
    </row>
    <row r="473" customFormat="false" ht="15" hidden="false" customHeight="false" outlineLevel="0" collapsed="false">
      <c r="A473" s="2" t="s">
        <v>134</v>
      </c>
      <c r="B473" s="2" t="n">
        <v>2005</v>
      </c>
      <c r="C473" s="2" t="s">
        <v>54</v>
      </c>
      <c r="D473" s="2" t="n">
        <v>0</v>
      </c>
      <c r="E473" s="2" t="n">
        <v>32</v>
      </c>
      <c r="F473" s="2" t="s">
        <v>50</v>
      </c>
      <c r="G473" s="3" t="n">
        <v>1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1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1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</v>
      </c>
      <c r="X473" s="3" t="n">
        <v>1</v>
      </c>
      <c r="Y473" s="3" t="n">
        <v>0</v>
      </c>
      <c r="Z473" s="3" t="n">
        <v>0</v>
      </c>
      <c r="AA473" s="3" t="n">
        <v>1</v>
      </c>
      <c r="AB473" s="3" t="n">
        <v>0</v>
      </c>
      <c r="AC473" s="3" t="n">
        <v>1</v>
      </c>
      <c r="AD473" s="3" t="n">
        <v>0</v>
      </c>
      <c r="AE473" s="3" t="n">
        <v>1</v>
      </c>
      <c r="AF473" s="3" t="n">
        <v>0</v>
      </c>
      <c r="AG473" s="3" t="n">
        <v>0</v>
      </c>
      <c r="AH473" s="3" t="n">
        <v>1</v>
      </c>
      <c r="AI473" s="3" t="n">
        <v>1</v>
      </c>
      <c r="AJ473" s="4" t="n">
        <f aca="false">SUM(G473:AI473)</f>
        <v>10</v>
      </c>
      <c r="AK473" s="4" t="n">
        <f aca="false">ROUND(SUMPRODUCT(G473:AI473,Gene_Weights!$B$2:$AD$2),3)</f>
        <v>-8.81</v>
      </c>
      <c r="AL473" s="2" t="n">
        <v>6</v>
      </c>
      <c r="AM473" s="2" t="n">
        <v>0</v>
      </c>
      <c r="AN473" s="2" t="n">
        <v>0</v>
      </c>
      <c r="AO473" s="5" t="n">
        <v>81.84</v>
      </c>
      <c r="AP473" s="5" t="n">
        <v>84.45</v>
      </c>
      <c r="AQ473" s="5" t="n">
        <v>87.06</v>
      </c>
      <c r="AR473" s="5" t="n">
        <v>89.67</v>
      </c>
      <c r="AS473" s="5" t="n">
        <v>92.27</v>
      </c>
      <c r="AT473" s="5" t="n">
        <v>94.88</v>
      </c>
      <c r="AU473" s="5" t="n">
        <v>97.49</v>
      </c>
      <c r="AV473" s="5" t="s">
        <v>51</v>
      </c>
    </row>
    <row r="474" customFormat="false" ht="15" hidden="false" customHeight="false" outlineLevel="0" collapsed="false">
      <c r="A474" s="2" t="s">
        <v>134</v>
      </c>
      <c r="B474" s="2" t="n">
        <v>2005</v>
      </c>
      <c r="C474" s="2" t="s">
        <v>55</v>
      </c>
      <c r="D474" s="2" t="n">
        <v>0</v>
      </c>
      <c r="E474" s="2" t="n">
        <v>2</v>
      </c>
      <c r="F474" s="2" t="s">
        <v>50</v>
      </c>
      <c r="G474" s="3" t="n">
        <v>1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1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1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</v>
      </c>
      <c r="X474" s="3" t="n">
        <v>1</v>
      </c>
      <c r="Y474" s="3" t="n">
        <v>0</v>
      </c>
      <c r="Z474" s="3" t="n">
        <v>0</v>
      </c>
      <c r="AA474" s="3" t="n">
        <v>1</v>
      </c>
      <c r="AB474" s="3" t="n">
        <v>0</v>
      </c>
      <c r="AC474" s="3" t="n">
        <v>1</v>
      </c>
      <c r="AD474" s="3" t="n">
        <v>0</v>
      </c>
      <c r="AE474" s="3" t="n">
        <v>1</v>
      </c>
      <c r="AF474" s="3" t="n">
        <v>0</v>
      </c>
      <c r="AG474" s="3" t="n">
        <v>0</v>
      </c>
      <c r="AH474" s="3" t="n">
        <v>1</v>
      </c>
      <c r="AI474" s="3" t="n">
        <v>1</v>
      </c>
      <c r="AJ474" s="4" t="n">
        <f aca="false">SUM(G474:AI474)</f>
        <v>10</v>
      </c>
      <c r="AK474" s="4" t="n">
        <f aca="false">ROUND(SUMPRODUCT(G474:AI474,Gene_Weights!$B$2:$AD$2),3)</f>
        <v>-8.81</v>
      </c>
      <c r="AL474" s="2" t="n">
        <v>6</v>
      </c>
      <c r="AM474" s="2" t="n">
        <v>1</v>
      </c>
      <c r="AN474" s="2" t="n">
        <v>16.67</v>
      </c>
      <c r="AO474" s="5" t="n">
        <v>58.19</v>
      </c>
      <c r="AP474" s="5" t="n">
        <v>59.74</v>
      </c>
      <c r="AQ474" s="5" t="n">
        <v>61.3</v>
      </c>
      <c r="AR474" s="5" t="n">
        <v>62.86</v>
      </c>
      <c r="AS474" s="5" t="n">
        <v>64.42</v>
      </c>
      <c r="AT474" s="5" t="n">
        <v>65.98</v>
      </c>
      <c r="AU474" s="5" t="n">
        <v>67.53</v>
      </c>
      <c r="AV474" s="5" t="s">
        <v>51</v>
      </c>
    </row>
    <row r="475" customFormat="false" ht="15" hidden="false" customHeight="false" outlineLevel="0" collapsed="false">
      <c r="A475" s="2" t="s">
        <v>134</v>
      </c>
      <c r="B475" s="2" t="n">
        <v>2005</v>
      </c>
      <c r="C475" s="2" t="s">
        <v>56</v>
      </c>
      <c r="D475" s="2" t="n">
        <v>0</v>
      </c>
      <c r="E475" s="2" t="n">
        <v>4</v>
      </c>
      <c r="F475" s="2" t="s">
        <v>50</v>
      </c>
      <c r="G475" s="3" t="n">
        <v>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1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1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</v>
      </c>
      <c r="X475" s="3" t="n">
        <v>1</v>
      </c>
      <c r="Y475" s="3" t="n">
        <v>0</v>
      </c>
      <c r="Z475" s="3" t="n">
        <v>0</v>
      </c>
      <c r="AA475" s="3" t="n">
        <v>1</v>
      </c>
      <c r="AB475" s="3" t="n">
        <v>0</v>
      </c>
      <c r="AC475" s="3" t="n">
        <v>1</v>
      </c>
      <c r="AD475" s="3" t="n">
        <v>0</v>
      </c>
      <c r="AE475" s="3" t="n">
        <v>1</v>
      </c>
      <c r="AF475" s="3" t="n">
        <v>0</v>
      </c>
      <c r="AG475" s="3" t="n">
        <v>0</v>
      </c>
      <c r="AH475" s="3" t="n">
        <v>1</v>
      </c>
      <c r="AI475" s="3" t="n">
        <v>1</v>
      </c>
      <c r="AJ475" s="4" t="n">
        <f aca="false">SUM(G475:AI475)</f>
        <v>10</v>
      </c>
      <c r="AK475" s="4" t="n">
        <f aca="false">ROUND(SUMPRODUCT(G475:AI475,Gene_Weights!$B$2:$AD$2),3)</f>
        <v>-8.81</v>
      </c>
      <c r="AL475" s="2" t="n">
        <v>6</v>
      </c>
      <c r="AM475" s="2" t="n">
        <v>1</v>
      </c>
      <c r="AN475" s="2" t="n">
        <v>16.67</v>
      </c>
      <c r="AO475" s="5" t="n">
        <v>75.59</v>
      </c>
      <c r="AP475" s="5" t="n">
        <v>78.01</v>
      </c>
      <c r="AQ475" s="5" t="n">
        <v>80.42</v>
      </c>
      <c r="AR475" s="5" t="n">
        <v>82.83</v>
      </c>
      <c r="AS475" s="5" t="n">
        <v>85.24</v>
      </c>
      <c r="AT475" s="5" t="n">
        <v>87.66</v>
      </c>
      <c r="AU475" s="5" t="n">
        <v>90.07</v>
      </c>
      <c r="AV475" s="5" t="s">
        <v>51</v>
      </c>
    </row>
    <row r="476" customFormat="false" ht="15" hidden="false" customHeight="false" outlineLevel="0" collapsed="false">
      <c r="A476" s="2" t="s">
        <v>135</v>
      </c>
      <c r="B476" s="2" t="n">
        <v>2004</v>
      </c>
      <c r="C476" s="2" t="s">
        <v>49</v>
      </c>
      <c r="D476" s="2" t="n">
        <v>0</v>
      </c>
      <c r="E476" s="2" t="n">
        <v>2</v>
      </c>
      <c r="F476" s="2" t="s">
        <v>50</v>
      </c>
      <c r="G476" s="3" t="n">
        <v>0</v>
      </c>
      <c r="H476" s="3" t="n">
        <v>0</v>
      </c>
      <c r="I476" s="3" t="n">
        <v>1</v>
      </c>
      <c r="J476" s="3" t="n">
        <v>0</v>
      </c>
      <c r="K476" s="3" t="n">
        <v>0</v>
      </c>
      <c r="L476" s="3" t="n">
        <v>0</v>
      </c>
      <c r="M476" s="3" t="n">
        <v>1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1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1</v>
      </c>
      <c r="Y476" s="3" t="n">
        <v>1</v>
      </c>
      <c r="Z476" s="3" t="n">
        <v>1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1</v>
      </c>
      <c r="AF476" s="3" t="n">
        <v>0</v>
      </c>
      <c r="AG476" s="3" t="n">
        <v>1</v>
      </c>
      <c r="AH476" s="3" t="n">
        <v>1</v>
      </c>
      <c r="AI476" s="3" t="n">
        <v>0</v>
      </c>
      <c r="AJ476" s="4" t="n">
        <f aca="false">SUM(G476:AI476)</f>
        <v>9</v>
      </c>
      <c r="AK476" s="4" t="n">
        <f aca="false">ROUND(SUMPRODUCT(G476:AI476,Gene_Weights!$B$2:$AD$2),3)</f>
        <v>-6.65</v>
      </c>
      <c r="AL476" s="2" t="n">
        <v>5</v>
      </c>
      <c r="AM476" s="2" t="n">
        <v>2</v>
      </c>
      <c r="AN476" s="2" t="n">
        <v>40</v>
      </c>
      <c r="AO476" s="5" t="n">
        <v>55.12</v>
      </c>
      <c r="AP476" s="5" t="n">
        <v>56.02</v>
      </c>
      <c r="AQ476" s="5" t="n">
        <v>56.92</v>
      </c>
      <c r="AR476" s="5" t="n">
        <v>57.82</v>
      </c>
      <c r="AS476" s="5" t="n">
        <v>58.72</v>
      </c>
      <c r="AT476" s="5" t="n">
        <v>59.62</v>
      </c>
      <c r="AU476" s="5" t="n">
        <v>60.52</v>
      </c>
      <c r="AV476" s="5" t="s">
        <v>51</v>
      </c>
    </row>
    <row r="477" customFormat="false" ht="15" hidden="false" customHeight="false" outlineLevel="0" collapsed="false">
      <c r="A477" s="2" t="s">
        <v>135</v>
      </c>
      <c r="B477" s="2" t="n">
        <v>2004</v>
      </c>
      <c r="C477" s="2" t="s">
        <v>52</v>
      </c>
      <c r="D477" s="2" t="n">
        <v>1</v>
      </c>
      <c r="E477" s="2" t="n">
        <v>2</v>
      </c>
      <c r="F477" s="2" t="s">
        <v>50</v>
      </c>
      <c r="G477" s="3" t="n">
        <v>0</v>
      </c>
      <c r="H477" s="3" t="n">
        <v>0</v>
      </c>
      <c r="I477" s="3" t="n">
        <v>1</v>
      </c>
      <c r="J477" s="3" t="n">
        <v>0</v>
      </c>
      <c r="K477" s="3" t="n">
        <v>0</v>
      </c>
      <c r="L477" s="3" t="n">
        <v>0</v>
      </c>
      <c r="M477" s="3" t="n">
        <v>1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1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1</v>
      </c>
      <c r="Y477" s="3" t="n">
        <v>1</v>
      </c>
      <c r="Z477" s="3" t="n">
        <v>1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1</v>
      </c>
      <c r="AF477" s="3" t="n">
        <v>0</v>
      </c>
      <c r="AG477" s="3" t="n">
        <v>1</v>
      </c>
      <c r="AH477" s="3" t="n">
        <v>1</v>
      </c>
      <c r="AI477" s="3" t="n">
        <v>0</v>
      </c>
      <c r="AJ477" s="4" t="n">
        <f aca="false">SUM(G477:AI477)</f>
        <v>9</v>
      </c>
      <c r="AK477" s="4" t="n">
        <f aca="false">ROUND(SUMPRODUCT(G477:AI477,Gene_Weights!$B$2:$AD$2),3)</f>
        <v>-6.65</v>
      </c>
      <c r="AL477" s="2" t="n">
        <v>5</v>
      </c>
      <c r="AM477" s="2" t="n">
        <v>1</v>
      </c>
      <c r="AN477" s="2" t="n">
        <v>20</v>
      </c>
      <c r="AO477" s="5" t="n">
        <v>64.53</v>
      </c>
      <c r="AP477" s="5" t="n">
        <v>66.13</v>
      </c>
      <c r="AQ477" s="5" t="n">
        <v>67.73</v>
      </c>
      <c r="AR477" s="5" t="n">
        <v>69.33</v>
      </c>
      <c r="AS477" s="5" t="n">
        <v>70.93</v>
      </c>
      <c r="AT477" s="5" t="n">
        <v>72.53</v>
      </c>
      <c r="AU477" s="5" t="n">
        <v>74.13</v>
      </c>
      <c r="AV477" s="5" t="s">
        <v>51</v>
      </c>
    </row>
    <row r="478" customFormat="false" ht="15" hidden="false" customHeight="false" outlineLevel="0" collapsed="false">
      <c r="A478" s="2" t="s">
        <v>135</v>
      </c>
      <c r="B478" s="2" t="n">
        <v>2004</v>
      </c>
      <c r="C478" s="2" t="s">
        <v>53</v>
      </c>
      <c r="D478" s="2" t="n">
        <v>0</v>
      </c>
      <c r="E478" s="2" t="n">
        <v>16</v>
      </c>
      <c r="F478" s="2" t="s">
        <v>50</v>
      </c>
      <c r="G478" s="3" t="n">
        <v>0</v>
      </c>
      <c r="H478" s="3" t="n">
        <v>0</v>
      </c>
      <c r="I478" s="3" t="n">
        <v>1</v>
      </c>
      <c r="J478" s="3" t="n">
        <v>0</v>
      </c>
      <c r="K478" s="3" t="n">
        <v>0</v>
      </c>
      <c r="L478" s="3" t="n">
        <v>0</v>
      </c>
      <c r="M478" s="3" t="n">
        <v>1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1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1</v>
      </c>
      <c r="Y478" s="3" t="n">
        <v>1</v>
      </c>
      <c r="Z478" s="3" t="n">
        <v>1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1</v>
      </c>
      <c r="AF478" s="3" t="n">
        <v>0</v>
      </c>
      <c r="AG478" s="3" t="n">
        <v>1</v>
      </c>
      <c r="AH478" s="3" t="n">
        <v>1</v>
      </c>
      <c r="AI478" s="3" t="n">
        <v>0</v>
      </c>
      <c r="AJ478" s="4" t="n">
        <f aca="false">SUM(G478:AI478)</f>
        <v>9</v>
      </c>
      <c r="AK478" s="4" t="n">
        <f aca="false">ROUND(SUMPRODUCT(G478:AI478,Gene_Weights!$B$2:$AD$2),3)</f>
        <v>-6.65</v>
      </c>
      <c r="AL478" s="2" t="n">
        <v>5</v>
      </c>
      <c r="AM478" s="2" t="n">
        <v>1</v>
      </c>
      <c r="AN478" s="2" t="n">
        <v>20</v>
      </c>
      <c r="AO478" s="5" t="n">
        <v>52.86</v>
      </c>
      <c r="AP478" s="5" t="n">
        <v>53.65</v>
      </c>
      <c r="AQ478" s="5" t="n">
        <v>54.45</v>
      </c>
      <c r="AR478" s="5" t="n">
        <v>55.24</v>
      </c>
      <c r="AS478" s="5" t="n">
        <v>56.03</v>
      </c>
      <c r="AT478" s="5" t="n">
        <v>56.83</v>
      </c>
      <c r="AU478" s="5" t="n">
        <v>57.62</v>
      </c>
      <c r="AV478" s="5" t="s">
        <v>51</v>
      </c>
    </row>
    <row r="479" customFormat="false" ht="15" hidden="false" customHeight="false" outlineLevel="0" collapsed="false">
      <c r="A479" s="2" t="s">
        <v>135</v>
      </c>
      <c r="B479" s="2" t="n">
        <v>2004</v>
      </c>
      <c r="C479" s="2" t="s">
        <v>54</v>
      </c>
      <c r="D479" s="2" t="n">
        <v>0</v>
      </c>
      <c r="E479" s="2" t="n">
        <v>4</v>
      </c>
      <c r="F479" s="2" t="s">
        <v>50</v>
      </c>
      <c r="G479" s="3" t="n">
        <v>0</v>
      </c>
      <c r="H479" s="3" t="n">
        <v>0</v>
      </c>
      <c r="I479" s="3" t="n">
        <v>1</v>
      </c>
      <c r="J479" s="3" t="n">
        <v>0</v>
      </c>
      <c r="K479" s="3" t="n">
        <v>0</v>
      </c>
      <c r="L479" s="3" t="n">
        <v>0</v>
      </c>
      <c r="M479" s="3" t="n">
        <v>1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1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1</v>
      </c>
      <c r="Y479" s="3" t="n">
        <v>1</v>
      </c>
      <c r="Z479" s="3" t="n">
        <v>1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1</v>
      </c>
      <c r="AF479" s="3" t="n">
        <v>0</v>
      </c>
      <c r="AG479" s="3" t="n">
        <v>1</v>
      </c>
      <c r="AH479" s="3" t="n">
        <v>1</v>
      </c>
      <c r="AI479" s="3" t="n">
        <v>0</v>
      </c>
      <c r="AJ479" s="4" t="n">
        <f aca="false">SUM(G479:AI479)</f>
        <v>9</v>
      </c>
      <c r="AK479" s="4" t="n">
        <f aca="false">ROUND(SUMPRODUCT(G479:AI479,Gene_Weights!$B$2:$AD$2),3)</f>
        <v>-6.65</v>
      </c>
      <c r="AL479" s="2" t="n">
        <v>5</v>
      </c>
      <c r="AM479" s="2" t="n">
        <v>1</v>
      </c>
      <c r="AN479" s="2" t="n">
        <v>20</v>
      </c>
      <c r="AO479" s="5" t="n">
        <v>81.84</v>
      </c>
      <c r="AP479" s="5" t="n">
        <v>84.45</v>
      </c>
      <c r="AQ479" s="5" t="n">
        <v>87.06</v>
      </c>
      <c r="AR479" s="5" t="n">
        <v>89.67</v>
      </c>
      <c r="AS479" s="5" t="n">
        <v>92.27</v>
      </c>
      <c r="AT479" s="5" t="n">
        <v>94.88</v>
      </c>
      <c r="AU479" s="5" t="n">
        <v>97.49</v>
      </c>
      <c r="AV479" s="5" t="s">
        <v>51</v>
      </c>
    </row>
    <row r="480" customFormat="false" ht="15" hidden="false" customHeight="false" outlineLevel="0" collapsed="false">
      <c r="A480" s="2" t="s">
        <v>135</v>
      </c>
      <c r="B480" s="2" t="n">
        <v>2004</v>
      </c>
      <c r="C480" s="2" t="s">
        <v>55</v>
      </c>
      <c r="D480" s="2" t="n">
        <v>1</v>
      </c>
      <c r="E480" s="2" t="n">
        <v>4</v>
      </c>
      <c r="F480" s="2" t="s">
        <v>50</v>
      </c>
      <c r="G480" s="3" t="n">
        <v>0</v>
      </c>
      <c r="H480" s="3" t="n">
        <v>0</v>
      </c>
      <c r="I480" s="3" t="n">
        <v>1</v>
      </c>
      <c r="J480" s="3" t="n">
        <v>0</v>
      </c>
      <c r="K480" s="3" t="n">
        <v>0</v>
      </c>
      <c r="L480" s="3" t="n">
        <v>0</v>
      </c>
      <c r="M480" s="3" t="n">
        <v>1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1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1</v>
      </c>
      <c r="Y480" s="3" t="n">
        <v>1</v>
      </c>
      <c r="Z480" s="3" t="n">
        <v>1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1</v>
      </c>
      <c r="AF480" s="3" t="n">
        <v>0</v>
      </c>
      <c r="AG480" s="3" t="n">
        <v>1</v>
      </c>
      <c r="AH480" s="3" t="n">
        <v>1</v>
      </c>
      <c r="AI480" s="3" t="n">
        <v>0</v>
      </c>
      <c r="AJ480" s="4" t="n">
        <f aca="false">SUM(G480:AI480)</f>
        <v>9</v>
      </c>
      <c r="AK480" s="4" t="n">
        <f aca="false">ROUND(SUMPRODUCT(G480:AI480,Gene_Weights!$B$2:$AD$2),3)</f>
        <v>-6.65</v>
      </c>
      <c r="AL480" s="2" t="n">
        <v>5</v>
      </c>
      <c r="AM480" s="2" t="n">
        <v>3</v>
      </c>
      <c r="AN480" s="2" t="n">
        <v>60</v>
      </c>
      <c r="AO480" s="5" t="n">
        <v>58.19</v>
      </c>
      <c r="AP480" s="5" t="n">
        <v>59.74</v>
      </c>
      <c r="AQ480" s="5" t="n">
        <v>61.3</v>
      </c>
      <c r="AR480" s="5" t="n">
        <v>62.86</v>
      </c>
      <c r="AS480" s="5" t="n">
        <v>64.42</v>
      </c>
      <c r="AT480" s="5" t="n">
        <v>65.98</v>
      </c>
      <c r="AU480" s="5" t="n">
        <v>67.53</v>
      </c>
      <c r="AV480" s="5" t="s">
        <v>51</v>
      </c>
    </row>
    <row r="481" customFormat="false" ht="15" hidden="false" customHeight="false" outlineLevel="0" collapsed="false">
      <c r="A481" s="2" t="s">
        <v>135</v>
      </c>
      <c r="B481" s="2" t="n">
        <v>2004</v>
      </c>
      <c r="C481" s="2" t="s">
        <v>56</v>
      </c>
      <c r="D481" s="2" t="n">
        <v>0</v>
      </c>
      <c r="E481" s="2" t="n">
        <v>16</v>
      </c>
      <c r="F481" s="2" t="s">
        <v>50</v>
      </c>
      <c r="G481" s="3" t="n">
        <v>0</v>
      </c>
      <c r="H481" s="3" t="n">
        <v>0</v>
      </c>
      <c r="I481" s="3" t="n">
        <v>1</v>
      </c>
      <c r="J481" s="3" t="n">
        <v>0</v>
      </c>
      <c r="K481" s="3" t="n">
        <v>0</v>
      </c>
      <c r="L481" s="3" t="n">
        <v>0</v>
      </c>
      <c r="M481" s="3" t="n">
        <v>1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1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1</v>
      </c>
      <c r="Y481" s="3" t="n">
        <v>1</v>
      </c>
      <c r="Z481" s="3" t="n">
        <v>1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1</v>
      </c>
      <c r="AF481" s="3" t="n">
        <v>0</v>
      </c>
      <c r="AG481" s="3" t="n">
        <v>1</v>
      </c>
      <c r="AH481" s="3" t="n">
        <v>1</v>
      </c>
      <c r="AI481" s="3" t="n">
        <v>0</v>
      </c>
      <c r="AJ481" s="4" t="n">
        <f aca="false">SUM(G481:AI481)</f>
        <v>9</v>
      </c>
      <c r="AK481" s="4" t="n">
        <f aca="false">ROUND(SUMPRODUCT(G481:AI481,Gene_Weights!$B$2:$AD$2),3)</f>
        <v>-6.65</v>
      </c>
      <c r="AL481" s="2" t="n">
        <v>5</v>
      </c>
      <c r="AM481" s="2" t="n">
        <v>1</v>
      </c>
      <c r="AN481" s="2" t="n">
        <v>20</v>
      </c>
      <c r="AO481" s="5" t="n">
        <v>75.59</v>
      </c>
      <c r="AP481" s="5" t="n">
        <v>78.01</v>
      </c>
      <c r="AQ481" s="5" t="n">
        <v>80.42</v>
      </c>
      <c r="AR481" s="5" t="n">
        <v>82.83</v>
      </c>
      <c r="AS481" s="5" t="n">
        <v>85.24</v>
      </c>
      <c r="AT481" s="5" t="n">
        <v>87.66</v>
      </c>
      <c r="AU481" s="5" t="n">
        <v>90.07</v>
      </c>
      <c r="AV481" s="5" t="s">
        <v>51</v>
      </c>
    </row>
    <row r="482" customFormat="false" ht="15" hidden="false" customHeight="false" outlineLevel="0" collapsed="false">
      <c r="A482" s="2" t="s">
        <v>136</v>
      </c>
      <c r="B482" s="2" t="n">
        <v>2007</v>
      </c>
      <c r="C482" s="2" t="s">
        <v>49</v>
      </c>
      <c r="D482" s="2" t="n">
        <v>0</v>
      </c>
      <c r="E482" s="2" t="n">
        <v>4</v>
      </c>
      <c r="F482" s="2" t="s">
        <v>50</v>
      </c>
      <c r="G482" s="3" t="n">
        <v>0</v>
      </c>
      <c r="H482" s="3" t="n">
        <v>0</v>
      </c>
      <c r="I482" s="3" t="n">
        <v>0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1</v>
      </c>
      <c r="O482" s="3" t="n">
        <v>0</v>
      </c>
      <c r="P482" s="3" t="n">
        <v>1</v>
      </c>
      <c r="Q482" s="3" t="n">
        <v>1</v>
      </c>
      <c r="R482" s="3" t="n">
        <v>0</v>
      </c>
      <c r="S482" s="3" t="n">
        <v>1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1</v>
      </c>
      <c r="AA482" s="3" t="n">
        <v>1</v>
      </c>
      <c r="AB482" s="3" t="n">
        <v>0</v>
      </c>
      <c r="AC482" s="3" t="n">
        <v>0</v>
      </c>
      <c r="AD482" s="3" t="n">
        <v>0</v>
      </c>
      <c r="AE482" s="3" t="n">
        <v>1</v>
      </c>
      <c r="AF482" s="3" t="n">
        <v>0</v>
      </c>
      <c r="AG482" s="3" t="n">
        <v>0</v>
      </c>
      <c r="AH482" s="3" t="n">
        <v>0</v>
      </c>
      <c r="AI482" s="3" t="n">
        <v>0</v>
      </c>
      <c r="AJ482" s="4" t="n">
        <f aca="false">SUM(G482:AI482)</f>
        <v>8</v>
      </c>
      <c r="AK482" s="4" t="n">
        <f aca="false">ROUND(SUMPRODUCT(G482:AI482,Gene_Weights!$B$2:$AD$2),3)</f>
        <v>-4.8</v>
      </c>
      <c r="AL482" s="2" t="n">
        <v>3</v>
      </c>
      <c r="AM482" s="2" t="n">
        <v>1</v>
      </c>
      <c r="AN482" s="2" t="n">
        <v>33.33</v>
      </c>
      <c r="AO482" s="5" t="n">
        <v>55.12</v>
      </c>
      <c r="AP482" s="5" t="n">
        <v>56.02</v>
      </c>
      <c r="AQ482" s="5" t="n">
        <v>56.92</v>
      </c>
      <c r="AR482" s="5" t="n">
        <v>57.82</v>
      </c>
      <c r="AS482" s="5" t="n">
        <v>58.72</v>
      </c>
      <c r="AT482" s="5" t="n">
        <v>59.62</v>
      </c>
      <c r="AU482" s="5" t="n">
        <v>60.52</v>
      </c>
      <c r="AV482" s="5" t="s">
        <v>51</v>
      </c>
    </row>
    <row r="483" customFormat="false" ht="15" hidden="false" customHeight="false" outlineLevel="0" collapsed="false">
      <c r="A483" s="2" t="s">
        <v>136</v>
      </c>
      <c r="B483" s="2" t="n">
        <v>2007</v>
      </c>
      <c r="C483" s="2" t="s">
        <v>52</v>
      </c>
      <c r="D483" s="2" t="n">
        <v>0</v>
      </c>
      <c r="E483" s="2" t="n">
        <v>16</v>
      </c>
      <c r="F483" s="2" t="s">
        <v>50</v>
      </c>
      <c r="G483" s="3" t="n">
        <v>0</v>
      </c>
      <c r="H483" s="3" t="n">
        <v>0</v>
      </c>
      <c r="I483" s="3" t="n">
        <v>0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1</v>
      </c>
      <c r="O483" s="3" t="n">
        <v>0</v>
      </c>
      <c r="P483" s="3" t="n">
        <v>1</v>
      </c>
      <c r="Q483" s="3" t="n">
        <v>1</v>
      </c>
      <c r="R483" s="3" t="n">
        <v>0</v>
      </c>
      <c r="S483" s="3" t="n">
        <v>1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1</v>
      </c>
      <c r="AA483" s="3" t="n">
        <v>1</v>
      </c>
      <c r="AB483" s="3" t="n">
        <v>0</v>
      </c>
      <c r="AC483" s="3" t="n">
        <v>0</v>
      </c>
      <c r="AD483" s="3" t="n">
        <v>0</v>
      </c>
      <c r="AE483" s="3" t="n">
        <v>1</v>
      </c>
      <c r="AF483" s="3" t="n">
        <v>0</v>
      </c>
      <c r="AG483" s="3" t="n">
        <v>0</v>
      </c>
      <c r="AH483" s="3" t="n">
        <v>0</v>
      </c>
      <c r="AI483" s="3" t="n">
        <v>0</v>
      </c>
      <c r="AJ483" s="4" t="n">
        <f aca="false">SUM(G483:AI483)</f>
        <v>8</v>
      </c>
      <c r="AK483" s="4" t="n">
        <f aca="false">ROUND(SUMPRODUCT(G483:AI483,Gene_Weights!$B$2:$AD$2),3)</f>
        <v>-4.8</v>
      </c>
      <c r="AL483" s="2" t="n">
        <v>3</v>
      </c>
      <c r="AM483" s="2" t="n">
        <v>1</v>
      </c>
      <c r="AN483" s="2" t="n">
        <v>33.33</v>
      </c>
      <c r="AO483" s="5" t="n">
        <v>64.53</v>
      </c>
      <c r="AP483" s="5" t="n">
        <v>66.13</v>
      </c>
      <c r="AQ483" s="5" t="n">
        <v>67.73</v>
      </c>
      <c r="AR483" s="5" t="n">
        <v>69.33</v>
      </c>
      <c r="AS483" s="5" t="n">
        <v>70.93</v>
      </c>
      <c r="AT483" s="5" t="n">
        <v>72.53</v>
      </c>
      <c r="AU483" s="5" t="n">
        <v>74.13</v>
      </c>
      <c r="AV483" s="5" t="s">
        <v>51</v>
      </c>
    </row>
    <row r="484" customFormat="false" ht="15" hidden="false" customHeight="false" outlineLevel="0" collapsed="false">
      <c r="A484" s="2" t="s">
        <v>136</v>
      </c>
      <c r="B484" s="2" t="n">
        <v>2007</v>
      </c>
      <c r="C484" s="2" t="s">
        <v>53</v>
      </c>
      <c r="D484" s="2" t="n">
        <v>0</v>
      </c>
      <c r="E484" s="2" t="n">
        <v>32</v>
      </c>
      <c r="F484" s="2" t="s">
        <v>50</v>
      </c>
      <c r="G484" s="3" t="n">
        <v>0</v>
      </c>
      <c r="H484" s="3" t="n">
        <v>0</v>
      </c>
      <c r="I484" s="3" t="n">
        <v>0</v>
      </c>
      <c r="J484" s="3" t="n">
        <v>1</v>
      </c>
      <c r="K484" s="3" t="n">
        <v>0</v>
      </c>
      <c r="L484" s="3" t="n">
        <v>0</v>
      </c>
      <c r="M484" s="3" t="n">
        <v>0</v>
      </c>
      <c r="N484" s="3" t="n">
        <v>1</v>
      </c>
      <c r="O484" s="3" t="n">
        <v>0</v>
      </c>
      <c r="P484" s="3" t="n">
        <v>1</v>
      </c>
      <c r="Q484" s="3" t="n">
        <v>1</v>
      </c>
      <c r="R484" s="3" t="n">
        <v>0</v>
      </c>
      <c r="S484" s="3" t="n">
        <v>1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1</v>
      </c>
      <c r="AA484" s="3" t="n">
        <v>1</v>
      </c>
      <c r="AB484" s="3" t="n">
        <v>0</v>
      </c>
      <c r="AC484" s="3" t="n">
        <v>0</v>
      </c>
      <c r="AD484" s="3" t="n">
        <v>0</v>
      </c>
      <c r="AE484" s="3" t="n">
        <v>1</v>
      </c>
      <c r="AF484" s="3" t="n">
        <v>0</v>
      </c>
      <c r="AG484" s="3" t="n">
        <v>0</v>
      </c>
      <c r="AH484" s="3" t="n">
        <v>0</v>
      </c>
      <c r="AI484" s="3" t="n">
        <v>0</v>
      </c>
      <c r="AJ484" s="4" t="n">
        <f aca="false">SUM(G484:AI484)</f>
        <v>8</v>
      </c>
      <c r="AK484" s="4" t="n">
        <f aca="false">ROUND(SUMPRODUCT(G484:AI484,Gene_Weights!$B$2:$AD$2),3)</f>
        <v>-4.8</v>
      </c>
      <c r="AL484" s="2" t="n">
        <v>3</v>
      </c>
      <c r="AM484" s="2" t="n">
        <v>2</v>
      </c>
      <c r="AN484" s="2" t="n">
        <v>66.67</v>
      </c>
      <c r="AO484" s="5" t="n">
        <v>52.86</v>
      </c>
      <c r="AP484" s="5" t="n">
        <v>53.65</v>
      </c>
      <c r="AQ484" s="5" t="n">
        <v>54.45</v>
      </c>
      <c r="AR484" s="5" t="n">
        <v>55.24</v>
      </c>
      <c r="AS484" s="5" t="n">
        <v>56.03</v>
      </c>
      <c r="AT484" s="5" t="n">
        <v>56.83</v>
      </c>
      <c r="AU484" s="5" t="n">
        <v>57.62</v>
      </c>
      <c r="AV484" s="5" t="s">
        <v>51</v>
      </c>
    </row>
    <row r="485" customFormat="false" ht="15" hidden="false" customHeight="false" outlineLevel="0" collapsed="false">
      <c r="A485" s="2" t="s">
        <v>136</v>
      </c>
      <c r="B485" s="2" t="n">
        <v>2007</v>
      </c>
      <c r="C485" s="2" t="s">
        <v>54</v>
      </c>
      <c r="D485" s="2" t="n">
        <v>0</v>
      </c>
      <c r="E485" s="2" t="n">
        <v>16</v>
      </c>
      <c r="F485" s="2" t="s">
        <v>50</v>
      </c>
      <c r="G485" s="3" t="n">
        <v>0</v>
      </c>
      <c r="H485" s="3" t="n">
        <v>0</v>
      </c>
      <c r="I485" s="3" t="n">
        <v>0</v>
      </c>
      <c r="J485" s="3" t="n">
        <v>1</v>
      </c>
      <c r="K485" s="3" t="n">
        <v>0</v>
      </c>
      <c r="L485" s="3" t="n">
        <v>0</v>
      </c>
      <c r="M485" s="3" t="n">
        <v>0</v>
      </c>
      <c r="N485" s="3" t="n">
        <v>1</v>
      </c>
      <c r="O485" s="3" t="n">
        <v>0</v>
      </c>
      <c r="P485" s="3" t="n">
        <v>1</v>
      </c>
      <c r="Q485" s="3" t="n">
        <v>1</v>
      </c>
      <c r="R485" s="3" t="n">
        <v>0</v>
      </c>
      <c r="S485" s="3" t="n">
        <v>1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1</v>
      </c>
      <c r="AA485" s="3" t="n">
        <v>1</v>
      </c>
      <c r="AB485" s="3" t="n">
        <v>0</v>
      </c>
      <c r="AC485" s="3" t="n">
        <v>0</v>
      </c>
      <c r="AD485" s="3" t="n">
        <v>0</v>
      </c>
      <c r="AE485" s="3" t="n">
        <v>1</v>
      </c>
      <c r="AF485" s="3" t="n">
        <v>0</v>
      </c>
      <c r="AG485" s="3" t="n">
        <v>0</v>
      </c>
      <c r="AH485" s="3" t="n">
        <v>0</v>
      </c>
      <c r="AI485" s="3" t="n">
        <v>0</v>
      </c>
      <c r="AJ485" s="4" t="n">
        <f aca="false">SUM(G485:AI485)</f>
        <v>8</v>
      </c>
      <c r="AK485" s="4" t="n">
        <f aca="false">ROUND(SUMPRODUCT(G485:AI485,Gene_Weights!$B$2:$AD$2),3)</f>
        <v>-4.8</v>
      </c>
      <c r="AL485" s="2" t="n">
        <v>3</v>
      </c>
      <c r="AM485" s="2" t="n">
        <v>1</v>
      </c>
      <c r="AN485" s="2" t="n">
        <v>33.33</v>
      </c>
      <c r="AO485" s="5" t="n">
        <v>81.84</v>
      </c>
      <c r="AP485" s="5" t="n">
        <v>84.45</v>
      </c>
      <c r="AQ485" s="5" t="n">
        <v>87.06</v>
      </c>
      <c r="AR485" s="5" t="n">
        <v>89.67</v>
      </c>
      <c r="AS485" s="5" t="n">
        <v>92.27</v>
      </c>
      <c r="AT485" s="5" t="n">
        <v>94.88</v>
      </c>
      <c r="AU485" s="5" t="n">
        <v>97.49</v>
      </c>
      <c r="AV485" s="5" t="s">
        <v>51</v>
      </c>
    </row>
    <row r="486" customFormat="false" ht="15" hidden="false" customHeight="false" outlineLevel="0" collapsed="false">
      <c r="A486" s="2" t="s">
        <v>136</v>
      </c>
      <c r="B486" s="2" t="n">
        <v>2007</v>
      </c>
      <c r="C486" s="2" t="s">
        <v>55</v>
      </c>
      <c r="D486" s="2" t="n">
        <v>0</v>
      </c>
      <c r="E486" s="2" t="n">
        <v>2</v>
      </c>
      <c r="F486" s="2" t="s">
        <v>50</v>
      </c>
      <c r="G486" s="3" t="n">
        <v>0</v>
      </c>
      <c r="H486" s="3" t="n">
        <v>0</v>
      </c>
      <c r="I486" s="3" t="n">
        <v>0</v>
      </c>
      <c r="J486" s="3" t="n">
        <v>1</v>
      </c>
      <c r="K486" s="3" t="n">
        <v>0</v>
      </c>
      <c r="L486" s="3" t="n">
        <v>0</v>
      </c>
      <c r="M486" s="3" t="n">
        <v>0</v>
      </c>
      <c r="N486" s="3" t="n">
        <v>1</v>
      </c>
      <c r="O486" s="3" t="n">
        <v>0</v>
      </c>
      <c r="P486" s="3" t="n">
        <v>1</v>
      </c>
      <c r="Q486" s="3" t="n">
        <v>1</v>
      </c>
      <c r="R486" s="3" t="n">
        <v>0</v>
      </c>
      <c r="S486" s="3" t="n">
        <v>1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1</v>
      </c>
      <c r="AA486" s="3" t="n">
        <v>1</v>
      </c>
      <c r="AB486" s="3" t="n">
        <v>0</v>
      </c>
      <c r="AC486" s="3" t="n">
        <v>0</v>
      </c>
      <c r="AD486" s="3" t="n">
        <v>0</v>
      </c>
      <c r="AE486" s="3" t="n">
        <v>1</v>
      </c>
      <c r="AF486" s="3" t="n">
        <v>0</v>
      </c>
      <c r="AG486" s="3" t="n">
        <v>0</v>
      </c>
      <c r="AH486" s="3" t="n">
        <v>0</v>
      </c>
      <c r="AI486" s="3" t="n">
        <v>0</v>
      </c>
      <c r="AJ486" s="4" t="n">
        <f aca="false">SUM(G486:AI486)</f>
        <v>8</v>
      </c>
      <c r="AK486" s="4" t="n">
        <f aca="false">ROUND(SUMPRODUCT(G486:AI486,Gene_Weights!$B$2:$AD$2),3)</f>
        <v>-4.8</v>
      </c>
      <c r="AL486" s="2" t="n">
        <v>3</v>
      </c>
      <c r="AM486" s="2" t="n">
        <v>1</v>
      </c>
      <c r="AN486" s="2" t="n">
        <v>33.33</v>
      </c>
      <c r="AO486" s="5" t="n">
        <v>58.19</v>
      </c>
      <c r="AP486" s="5" t="n">
        <v>59.74</v>
      </c>
      <c r="AQ486" s="5" t="n">
        <v>61.3</v>
      </c>
      <c r="AR486" s="5" t="n">
        <v>62.86</v>
      </c>
      <c r="AS486" s="5" t="n">
        <v>64.42</v>
      </c>
      <c r="AT486" s="5" t="n">
        <v>65.98</v>
      </c>
      <c r="AU486" s="5" t="n">
        <v>67.53</v>
      </c>
      <c r="AV486" s="5" t="s">
        <v>51</v>
      </c>
    </row>
    <row r="487" customFormat="false" ht="15" hidden="false" customHeight="false" outlineLevel="0" collapsed="false">
      <c r="A487" s="2" t="s">
        <v>136</v>
      </c>
      <c r="B487" s="2" t="n">
        <v>2007</v>
      </c>
      <c r="C487" s="2" t="s">
        <v>56</v>
      </c>
      <c r="D487" s="2" t="n">
        <v>0</v>
      </c>
      <c r="E487" s="2" t="n">
        <v>32</v>
      </c>
      <c r="F487" s="2" t="s">
        <v>50</v>
      </c>
      <c r="G487" s="3" t="n">
        <v>0</v>
      </c>
      <c r="H487" s="3" t="n">
        <v>0</v>
      </c>
      <c r="I487" s="3" t="n">
        <v>0</v>
      </c>
      <c r="J487" s="3" t="n">
        <v>1</v>
      </c>
      <c r="K487" s="3" t="n">
        <v>0</v>
      </c>
      <c r="L487" s="3" t="n">
        <v>0</v>
      </c>
      <c r="M487" s="3" t="n">
        <v>0</v>
      </c>
      <c r="N487" s="3" t="n">
        <v>1</v>
      </c>
      <c r="O487" s="3" t="n">
        <v>0</v>
      </c>
      <c r="P487" s="3" t="n">
        <v>1</v>
      </c>
      <c r="Q487" s="3" t="n">
        <v>1</v>
      </c>
      <c r="R487" s="3" t="n">
        <v>0</v>
      </c>
      <c r="S487" s="3" t="n">
        <v>1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1</v>
      </c>
      <c r="AA487" s="3" t="n">
        <v>1</v>
      </c>
      <c r="AB487" s="3" t="n">
        <v>0</v>
      </c>
      <c r="AC487" s="3" t="n">
        <v>0</v>
      </c>
      <c r="AD487" s="3" t="n">
        <v>0</v>
      </c>
      <c r="AE487" s="3" t="n">
        <v>1</v>
      </c>
      <c r="AF487" s="3" t="n">
        <v>0</v>
      </c>
      <c r="AG487" s="3" t="n">
        <v>0</v>
      </c>
      <c r="AH487" s="3" t="n">
        <v>0</v>
      </c>
      <c r="AI487" s="3" t="n">
        <v>0</v>
      </c>
      <c r="AJ487" s="4" t="n">
        <f aca="false">SUM(G487:AI487)</f>
        <v>8</v>
      </c>
      <c r="AK487" s="4" t="n">
        <f aca="false">ROUND(SUMPRODUCT(G487:AI487,Gene_Weights!$B$2:$AD$2),3)</f>
        <v>-4.8</v>
      </c>
      <c r="AL487" s="2" t="n">
        <v>3</v>
      </c>
      <c r="AM487" s="2" t="n">
        <v>2</v>
      </c>
      <c r="AN487" s="2" t="n">
        <v>66.67</v>
      </c>
      <c r="AO487" s="5" t="n">
        <v>75.59</v>
      </c>
      <c r="AP487" s="5" t="n">
        <v>78.01</v>
      </c>
      <c r="AQ487" s="5" t="n">
        <v>80.42</v>
      </c>
      <c r="AR487" s="5" t="n">
        <v>82.83</v>
      </c>
      <c r="AS487" s="5" t="n">
        <v>85.24</v>
      </c>
      <c r="AT487" s="5" t="n">
        <v>87.66</v>
      </c>
      <c r="AU487" s="5" t="n">
        <v>90.07</v>
      </c>
      <c r="AV487" s="5" t="s">
        <v>51</v>
      </c>
    </row>
    <row r="488" customFormat="false" ht="15" hidden="false" customHeight="false" outlineLevel="0" collapsed="false">
      <c r="A488" s="2" t="s">
        <v>137</v>
      </c>
      <c r="B488" s="2" t="n">
        <v>2009</v>
      </c>
      <c r="C488" s="2" t="s">
        <v>49</v>
      </c>
      <c r="D488" s="2" t="n">
        <v>0</v>
      </c>
      <c r="E488" s="2" t="n">
        <v>16</v>
      </c>
      <c r="F488" s="2" t="s">
        <v>50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1</v>
      </c>
      <c r="L488" s="3" t="n">
        <v>1</v>
      </c>
      <c r="M488" s="3" t="n">
        <v>0</v>
      </c>
      <c r="N488" s="3" t="n">
        <v>1</v>
      </c>
      <c r="O488" s="3" t="n">
        <v>0</v>
      </c>
      <c r="P488" s="3" t="n">
        <v>0</v>
      </c>
      <c r="Q488" s="3" t="n">
        <v>0</v>
      </c>
      <c r="R488" s="3" t="n">
        <v>1</v>
      </c>
      <c r="S488" s="3" t="n">
        <v>1</v>
      </c>
      <c r="T488" s="3" t="n">
        <v>1</v>
      </c>
      <c r="U488" s="3" t="n">
        <v>0</v>
      </c>
      <c r="V488" s="3" t="n">
        <v>0</v>
      </c>
      <c r="W488" s="3" t="n">
        <v>0</v>
      </c>
      <c r="X488" s="3" t="n">
        <v>1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1</v>
      </c>
      <c r="AF488" s="3" t="n">
        <v>0</v>
      </c>
      <c r="AG488" s="3" t="n">
        <v>0</v>
      </c>
      <c r="AH488" s="3" t="n">
        <v>0</v>
      </c>
      <c r="AI488" s="3" t="n">
        <v>0</v>
      </c>
      <c r="AJ488" s="4" t="n">
        <f aca="false">SUM(G488:AI488)</f>
        <v>8</v>
      </c>
      <c r="AK488" s="4" t="n">
        <f aca="false">ROUND(SUMPRODUCT(G488:AI488,Gene_Weights!$B$2:$AD$2),3)</f>
        <v>-6.66</v>
      </c>
      <c r="AL488" s="2" t="n">
        <v>12</v>
      </c>
      <c r="AM488" s="2" t="n">
        <v>4</v>
      </c>
      <c r="AN488" s="2" t="n">
        <v>33.33</v>
      </c>
      <c r="AO488" s="5" t="n">
        <v>55.12</v>
      </c>
      <c r="AP488" s="5" t="n">
        <v>56.02</v>
      </c>
      <c r="AQ488" s="5" t="n">
        <v>56.92</v>
      </c>
      <c r="AR488" s="5" t="n">
        <v>57.82</v>
      </c>
      <c r="AS488" s="5" t="n">
        <v>58.72</v>
      </c>
      <c r="AT488" s="5" t="n">
        <v>59.62</v>
      </c>
      <c r="AU488" s="5" t="n">
        <v>60.52</v>
      </c>
      <c r="AV488" s="5" t="s">
        <v>51</v>
      </c>
    </row>
    <row r="489" customFormat="false" ht="15" hidden="false" customHeight="false" outlineLevel="0" collapsed="false">
      <c r="A489" s="2" t="s">
        <v>137</v>
      </c>
      <c r="B489" s="2" t="n">
        <v>2009</v>
      </c>
      <c r="C489" s="2" t="s">
        <v>52</v>
      </c>
      <c r="D489" s="2" t="n">
        <v>0</v>
      </c>
      <c r="E489" s="2" t="n">
        <v>16</v>
      </c>
      <c r="F489" s="2" t="s">
        <v>50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1</v>
      </c>
      <c r="L489" s="3" t="n">
        <v>1</v>
      </c>
      <c r="M489" s="3" t="n">
        <v>0</v>
      </c>
      <c r="N489" s="3" t="n">
        <v>1</v>
      </c>
      <c r="O489" s="3" t="n">
        <v>0</v>
      </c>
      <c r="P489" s="3" t="n">
        <v>0</v>
      </c>
      <c r="Q489" s="3" t="n">
        <v>0</v>
      </c>
      <c r="R489" s="3" t="n">
        <v>1</v>
      </c>
      <c r="S489" s="3" t="n">
        <v>1</v>
      </c>
      <c r="T489" s="3" t="n">
        <v>1</v>
      </c>
      <c r="U489" s="3" t="n">
        <v>0</v>
      </c>
      <c r="V489" s="3" t="n">
        <v>0</v>
      </c>
      <c r="W489" s="3" t="n">
        <v>0</v>
      </c>
      <c r="X489" s="3" t="n">
        <v>1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1</v>
      </c>
      <c r="AF489" s="3" t="n">
        <v>0</v>
      </c>
      <c r="AG489" s="3" t="n">
        <v>0</v>
      </c>
      <c r="AH489" s="3" t="n">
        <v>0</v>
      </c>
      <c r="AI489" s="3" t="n">
        <v>0</v>
      </c>
      <c r="AJ489" s="4" t="n">
        <f aca="false">SUM(G489:AI489)</f>
        <v>8</v>
      </c>
      <c r="AK489" s="4" t="n">
        <f aca="false">ROUND(SUMPRODUCT(G489:AI489,Gene_Weights!$B$2:$AD$2),3)</f>
        <v>-6.66</v>
      </c>
      <c r="AL489" s="2" t="n">
        <v>12</v>
      </c>
      <c r="AM489" s="2" t="n">
        <v>3</v>
      </c>
      <c r="AN489" s="2" t="n">
        <v>25</v>
      </c>
      <c r="AO489" s="5" t="n">
        <v>64.53</v>
      </c>
      <c r="AP489" s="5" t="n">
        <v>66.13</v>
      </c>
      <c r="AQ489" s="5" t="n">
        <v>67.73</v>
      </c>
      <c r="AR489" s="5" t="n">
        <v>69.33</v>
      </c>
      <c r="AS489" s="5" t="n">
        <v>70.93</v>
      </c>
      <c r="AT489" s="5" t="n">
        <v>72.53</v>
      </c>
      <c r="AU489" s="5" t="n">
        <v>74.13</v>
      </c>
      <c r="AV489" s="5" t="s">
        <v>51</v>
      </c>
    </row>
    <row r="490" customFormat="false" ht="15" hidden="false" customHeight="false" outlineLevel="0" collapsed="false">
      <c r="A490" s="2" t="s">
        <v>137</v>
      </c>
      <c r="B490" s="2" t="n">
        <v>2009</v>
      </c>
      <c r="C490" s="2" t="s">
        <v>53</v>
      </c>
      <c r="D490" s="2" t="n">
        <v>0</v>
      </c>
      <c r="E490" s="2" t="n">
        <v>4</v>
      </c>
      <c r="F490" s="2" t="s">
        <v>50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1</v>
      </c>
      <c r="L490" s="3" t="n">
        <v>1</v>
      </c>
      <c r="M490" s="3" t="n">
        <v>0</v>
      </c>
      <c r="N490" s="3" t="n">
        <v>1</v>
      </c>
      <c r="O490" s="3" t="n">
        <v>0</v>
      </c>
      <c r="P490" s="3" t="n">
        <v>0</v>
      </c>
      <c r="Q490" s="3" t="n">
        <v>0</v>
      </c>
      <c r="R490" s="3" t="n">
        <v>1</v>
      </c>
      <c r="S490" s="3" t="n">
        <v>1</v>
      </c>
      <c r="T490" s="3" t="n">
        <v>1</v>
      </c>
      <c r="U490" s="3" t="n">
        <v>0</v>
      </c>
      <c r="V490" s="3" t="n">
        <v>0</v>
      </c>
      <c r="W490" s="3" t="n">
        <v>0</v>
      </c>
      <c r="X490" s="3" t="n">
        <v>1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1</v>
      </c>
      <c r="AF490" s="3" t="n">
        <v>0</v>
      </c>
      <c r="AG490" s="3" t="n">
        <v>0</v>
      </c>
      <c r="AH490" s="3" t="n">
        <v>0</v>
      </c>
      <c r="AI490" s="3" t="n">
        <v>0</v>
      </c>
      <c r="AJ490" s="4" t="n">
        <f aca="false">SUM(G490:AI490)</f>
        <v>8</v>
      </c>
      <c r="AK490" s="4" t="n">
        <f aca="false">ROUND(SUMPRODUCT(G490:AI490,Gene_Weights!$B$2:$AD$2),3)</f>
        <v>-6.66</v>
      </c>
      <c r="AL490" s="2" t="n">
        <v>12</v>
      </c>
      <c r="AM490" s="2" t="n">
        <v>9</v>
      </c>
      <c r="AN490" s="2" t="n">
        <v>75</v>
      </c>
      <c r="AO490" s="5" t="n">
        <v>52.86</v>
      </c>
      <c r="AP490" s="5" t="n">
        <v>53.65</v>
      </c>
      <c r="AQ490" s="5" t="n">
        <v>54.45</v>
      </c>
      <c r="AR490" s="5" t="n">
        <v>55.24</v>
      </c>
      <c r="AS490" s="5" t="n">
        <v>56.03</v>
      </c>
      <c r="AT490" s="5" t="n">
        <v>56.83</v>
      </c>
      <c r="AU490" s="5" t="n">
        <v>57.62</v>
      </c>
      <c r="AV490" s="5" t="s">
        <v>51</v>
      </c>
    </row>
    <row r="491" customFormat="false" ht="15" hidden="false" customHeight="false" outlineLevel="0" collapsed="false">
      <c r="A491" s="2" t="s">
        <v>137</v>
      </c>
      <c r="B491" s="2" t="n">
        <v>2009</v>
      </c>
      <c r="C491" s="2" t="s">
        <v>54</v>
      </c>
      <c r="D491" s="2" t="n">
        <v>1</v>
      </c>
      <c r="E491" s="2" t="n">
        <v>2</v>
      </c>
      <c r="F491" s="2" t="s">
        <v>50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1</v>
      </c>
      <c r="L491" s="3" t="n">
        <v>1</v>
      </c>
      <c r="M491" s="3" t="n">
        <v>0</v>
      </c>
      <c r="N491" s="3" t="n">
        <v>1</v>
      </c>
      <c r="O491" s="3" t="n">
        <v>0</v>
      </c>
      <c r="P491" s="3" t="n">
        <v>0</v>
      </c>
      <c r="Q491" s="3" t="n">
        <v>0</v>
      </c>
      <c r="R491" s="3" t="n">
        <v>1</v>
      </c>
      <c r="S491" s="3" t="n">
        <v>1</v>
      </c>
      <c r="T491" s="3" t="n">
        <v>1</v>
      </c>
      <c r="U491" s="3" t="n">
        <v>0</v>
      </c>
      <c r="V491" s="3" t="n">
        <v>0</v>
      </c>
      <c r="W491" s="3" t="n">
        <v>0</v>
      </c>
      <c r="X491" s="3" t="n">
        <v>1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1</v>
      </c>
      <c r="AF491" s="3" t="n">
        <v>0</v>
      </c>
      <c r="AG491" s="3" t="n">
        <v>0</v>
      </c>
      <c r="AH491" s="3" t="n">
        <v>0</v>
      </c>
      <c r="AI491" s="3" t="n">
        <v>0</v>
      </c>
      <c r="AJ491" s="4" t="n">
        <f aca="false">SUM(G491:AI491)</f>
        <v>8</v>
      </c>
      <c r="AK491" s="4" t="n">
        <f aca="false">ROUND(SUMPRODUCT(G491:AI491,Gene_Weights!$B$2:$AD$2),3)</f>
        <v>-6.66</v>
      </c>
      <c r="AL491" s="2" t="n">
        <v>12</v>
      </c>
      <c r="AM491" s="2" t="n">
        <v>8</v>
      </c>
      <c r="AN491" s="2" t="n">
        <v>66.67</v>
      </c>
      <c r="AO491" s="5" t="n">
        <v>81.84</v>
      </c>
      <c r="AP491" s="5" t="n">
        <v>84.45</v>
      </c>
      <c r="AQ491" s="5" t="n">
        <v>87.06</v>
      </c>
      <c r="AR491" s="5" t="n">
        <v>89.67</v>
      </c>
      <c r="AS491" s="5" t="n">
        <v>92.27</v>
      </c>
      <c r="AT491" s="5" t="n">
        <v>94.88</v>
      </c>
      <c r="AU491" s="5" t="n">
        <v>97.49</v>
      </c>
      <c r="AV491" s="5" t="s">
        <v>51</v>
      </c>
    </row>
    <row r="492" customFormat="false" ht="15" hidden="false" customHeight="false" outlineLevel="0" collapsed="false">
      <c r="A492" s="2" t="s">
        <v>137</v>
      </c>
      <c r="B492" s="2" t="n">
        <v>2009</v>
      </c>
      <c r="C492" s="2" t="s">
        <v>55</v>
      </c>
      <c r="D492" s="2" t="n">
        <v>0</v>
      </c>
      <c r="E492" s="2" t="n">
        <v>4</v>
      </c>
      <c r="F492" s="2" t="s">
        <v>50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1</v>
      </c>
      <c r="L492" s="3" t="n">
        <v>1</v>
      </c>
      <c r="M492" s="3" t="n">
        <v>0</v>
      </c>
      <c r="N492" s="3" t="n">
        <v>1</v>
      </c>
      <c r="O492" s="3" t="n">
        <v>0</v>
      </c>
      <c r="P492" s="3" t="n">
        <v>0</v>
      </c>
      <c r="Q492" s="3" t="n">
        <v>0</v>
      </c>
      <c r="R492" s="3" t="n">
        <v>1</v>
      </c>
      <c r="S492" s="3" t="n">
        <v>1</v>
      </c>
      <c r="T492" s="3" t="n">
        <v>1</v>
      </c>
      <c r="U492" s="3" t="n">
        <v>0</v>
      </c>
      <c r="V492" s="3" t="n">
        <v>0</v>
      </c>
      <c r="W492" s="3" t="n">
        <v>0</v>
      </c>
      <c r="X492" s="3" t="n">
        <v>1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1</v>
      </c>
      <c r="AF492" s="3" t="n">
        <v>0</v>
      </c>
      <c r="AG492" s="3" t="n">
        <v>0</v>
      </c>
      <c r="AH492" s="3" t="n">
        <v>0</v>
      </c>
      <c r="AI492" s="3" t="n">
        <v>0</v>
      </c>
      <c r="AJ492" s="4" t="n">
        <f aca="false">SUM(G492:AI492)</f>
        <v>8</v>
      </c>
      <c r="AK492" s="4" t="n">
        <f aca="false">ROUND(SUMPRODUCT(G492:AI492,Gene_Weights!$B$2:$AD$2),3)</f>
        <v>-6.66</v>
      </c>
      <c r="AL492" s="2" t="n">
        <v>12</v>
      </c>
      <c r="AM492" s="2" t="n">
        <v>2</v>
      </c>
      <c r="AN492" s="2" t="n">
        <v>16.67</v>
      </c>
      <c r="AO492" s="5" t="n">
        <v>58.19</v>
      </c>
      <c r="AP492" s="5" t="n">
        <v>59.74</v>
      </c>
      <c r="AQ492" s="5" t="n">
        <v>61.3</v>
      </c>
      <c r="AR492" s="5" t="n">
        <v>62.86</v>
      </c>
      <c r="AS492" s="5" t="n">
        <v>64.42</v>
      </c>
      <c r="AT492" s="5" t="n">
        <v>65.98</v>
      </c>
      <c r="AU492" s="5" t="n">
        <v>67.53</v>
      </c>
      <c r="AV492" s="5" t="s">
        <v>51</v>
      </c>
    </row>
    <row r="493" customFormat="false" ht="15" hidden="false" customHeight="false" outlineLevel="0" collapsed="false">
      <c r="A493" s="2" t="s">
        <v>137</v>
      </c>
      <c r="B493" s="2" t="n">
        <v>2009</v>
      </c>
      <c r="C493" s="2" t="s">
        <v>56</v>
      </c>
      <c r="D493" s="2" t="n">
        <v>0</v>
      </c>
      <c r="E493" s="2" t="n">
        <v>4</v>
      </c>
      <c r="F493" s="2" t="s">
        <v>50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1</v>
      </c>
      <c r="L493" s="3" t="n">
        <v>1</v>
      </c>
      <c r="M493" s="3" t="n">
        <v>0</v>
      </c>
      <c r="N493" s="3" t="n">
        <v>1</v>
      </c>
      <c r="O493" s="3" t="n">
        <v>0</v>
      </c>
      <c r="P493" s="3" t="n">
        <v>0</v>
      </c>
      <c r="Q493" s="3" t="n">
        <v>0</v>
      </c>
      <c r="R493" s="3" t="n">
        <v>1</v>
      </c>
      <c r="S493" s="3" t="n">
        <v>1</v>
      </c>
      <c r="T493" s="3" t="n">
        <v>1</v>
      </c>
      <c r="U493" s="3" t="n">
        <v>0</v>
      </c>
      <c r="V493" s="3" t="n">
        <v>0</v>
      </c>
      <c r="W493" s="3" t="n">
        <v>0</v>
      </c>
      <c r="X493" s="3" t="n">
        <v>1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1</v>
      </c>
      <c r="AF493" s="3" t="n">
        <v>0</v>
      </c>
      <c r="AG493" s="3" t="n">
        <v>0</v>
      </c>
      <c r="AH493" s="3" t="n">
        <v>0</v>
      </c>
      <c r="AI493" s="3" t="n">
        <v>0</v>
      </c>
      <c r="AJ493" s="4" t="n">
        <f aca="false">SUM(G493:AI493)</f>
        <v>8</v>
      </c>
      <c r="AK493" s="4" t="n">
        <f aca="false">ROUND(SUMPRODUCT(G493:AI493,Gene_Weights!$B$2:$AD$2),3)</f>
        <v>-6.66</v>
      </c>
      <c r="AL493" s="2" t="n">
        <v>12</v>
      </c>
      <c r="AM493" s="2" t="n">
        <v>4</v>
      </c>
      <c r="AN493" s="2" t="n">
        <v>33.33</v>
      </c>
      <c r="AO493" s="5" t="n">
        <v>75.59</v>
      </c>
      <c r="AP493" s="5" t="n">
        <v>78.01</v>
      </c>
      <c r="AQ493" s="5" t="n">
        <v>80.42</v>
      </c>
      <c r="AR493" s="5" t="n">
        <v>82.83</v>
      </c>
      <c r="AS493" s="5" t="n">
        <v>85.24</v>
      </c>
      <c r="AT493" s="5" t="n">
        <v>87.66</v>
      </c>
      <c r="AU493" s="5" t="n">
        <v>90.07</v>
      </c>
      <c r="AV493" s="5" t="s">
        <v>51</v>
      </c>
    </row>
    <row r="494" customFormat="false" ht="15" hidden="false" customHeight="false" outlineLevel="0" collapsed="false">
      <c r="A494" s="2" t="s">
        <v>138</v>
      </c>
      <c r="B494" s="2" t="n">
        <v>2003</v>
      </c>
      <c r="C494" s="2" t="s">
        <v>49</v>
      </c>
      <c r="D494" s="2" t="n">
        <v>0</v>
      </c>
      <c r="E494" s="2" t="n">
        <v>16</v>
      </c>
      <c r="F494" s="2" t="s">
        <v>50</v>
      </c>
      <c r="G494" s="3" t="n">
        <v>1</v>
      </c>
      <c r="H494" s="3" t="n">
        <v>0</v>
      </c>
      <c r="I494" s="3" t="n">
        <v>1</v>
      </c>
      <c r="J494" s="3" t="n">
        <v>0</v>
      </c>
      <c r="K494" s="3" t="n">
        <v>0</v>
      </c>
      <c r="L494" s="3" t="n">
        <v>1</v>
      </c>
      <c r="M494" s="3" t="n">
        <v>0</v>
      </c>
      <c r="N494" s="3" t="n">
        <v>1</v>
      </c>
      <c r="O494" s="3" t="n">
        <v>0</v>
      </c>
      <c r="P494" s="3" t="n">
        <v>0</v>
      </c>
      <c r="Q494" s="3" t="n">
        <v>1</v>
      </c>
      <c r="R494" s="3" t="n">
        <v>0</v>
      </c>
      <c r="S494" s="3" t="n">
        <v>1</v>
      </c>
      <c r="T494" s="3" t="n">
        <v>0</v>
      </c>
      <c r="U494" s="3" t="n">
        <v>1</v>
      </c>
      <c r="V494" s="3" t="n">
        <v>0</v>
      </c>
      <c r="W494" s="3" t="n">
        <v>1</v>
      </c>
      <c r="X494" s="3" t="n">
        <v>1</v>
      </c>
      <c r="Y494" s="3" t="n">
        <v>0</v>
      </c>
      <c r="Z494" s="3" t="n">
        <v>1</v>
      </c>
      <c r="AA494" s="3" t="n">
        <v>1</v>
      </c>
      <c r="AB494" s="3" t="n">
        <v>1</v>
      </c>
      <c r="AC494" s="3" t="n">
        <v>0</v>
      </c>
      <c r="AD494" s="3" t="n">
        <v>1</v>
      </c>
      <c r="AE494" s="3" t="n">
        <v>1</v>
      </c>
      <c r="AF494" s="3" t="n">
        <v>1</v>
      </c>
      <c r="AG494" s="3" t="n">
        <v>1</v>
      </c>
      <c r="AH494" s="3" t="n">
        <v>1</v>
      </c>
      <c r="AI494" s="3" t="n">
        <v>0</v>
      </c>
      <c r="AJ494" s="4" t="n">
        <f aca="false">SUM(G494:AI494)</f>
        <v>17</v>
      </c>
      <c r="AK494" s="4" t="n">
        <f aca="false">ROUND(SUMPRODUCT(G494:AI494,Gene_Weights!$B$2:$AD$2),3)</f>
        <v>-9.81</v>
      </c>
      <c r="AL494" s="2" t="n">
        <v>7</v>
      </c>
      <c r="AM494" s="2" t="n">
        <v>2</v>
      </c>
      <c r="AN494" s="2" t="n">
        <v>28.57</v>
      </c>
      <c r="AO494" s="5" t="n">
        <v>55.12</v>
      </c>
      <c r="AP494" s="5" t="n">
        <v>56.02</v>
      </c>
      <c r="AQ494" s="5" t="n">
        <v>56.92</v>
      </c>
      <c r="AR494" s="5" t="n">
        <v>57.82</v>
      </c>
      <c r="AS494" s="5" t="n">
        <v>58.72</v>
      </c>
      <c r="AT494" s="5" t="n">
        <v>59.62</v>
      </c>
      <c r="AU494" s="5" t="n">
        <v>60.52</v>
      </c>
      <c r="AV494" s="5" t="s">
        <v>51</v>
      </c>
    </row>
    <row r="495" customFormat="false" ht="15" hidden="false" customHeight="false" outlineLevel="0" collapsed="false">
      <c r="A495" s="2" t="s">
        <v>138</v>
      </c>
      <c r="B495" s="2" t="n">
        <v>2003</v>
      </c>
      <c r="C495" s="2" t="s">
        <v>52</v>
      </c>
      <c r="D495" s="2" t="n">
        <v>0</v>
      </c>
      <c r="E495" s="2" t="n">
        <v>16</v>
      </c>
      <c r="F495" s="2" t="s">
        <v>50</v>
      </c>
      <c r="G495" s="3" t="n">
        <v>1</v>
      </c>
      <c r="H495" s="3" t="n">
        <v>0</v>
      </c>
      <c r="I495" s="3" t="n">
        <v>1</v>
      </c>
      <c r="J495" s="3" t="n">
        <v>0</v>
      </c>
      <c r="K495" s="3" t="n">
        <v>0</v>
      </c>
      <c r="L495" s="3" t="n">
        <v>1</v>
      </c>
      <c r="M495" s="3" t="n">
        <v>0</v>
      </c>
      <c r="N495" s="3" t="n">
        <v>1</v>
      </c>
      <c r="O495" s="3" t="n">
        <v>0</v>
      </c>
      <c r="P495" s="3" t="n">
        <v>0</v>
      </c>
      <c r="Q495" s="3" t="n">
        <v>1</v>
      </c>
      <c r="R495" s="3" t="n">
        <v>0</v>
      </c>
      <c r="S495" s="3" t="n">
        <v>1</v>
      </c>
      <c r="T495" s="3" t="n">
        <v>0</v>
      </c>
      <c r="U495" s="3" t="n">
        <v>1</v>
      </c>
      <c r="V495" s="3" t="n">
        <v>0</v>
      </c>
      <c r="W495" s="3" t="n">
        <v>1</v>
      </c>
      <c r="X495" s="3" t="n">
        <v>1</v>
      </c>
      <c r="Y495" s="3" t="n">
        <v>0</v>
      </c>
      <c r="Z495" s="3" t="n">
        <v>1</v>
      </c>
      <c r="AA495" s="3" t="n">
        <v>1</v>
      </c>
      <c r="AB495" s="3" t="n">
        <v>1</v>
      </c>
      <c r="AC495" s="3" t="n">
        <v>0</v>
      </c>
      <c r="AD495" s="3" t="n">
        <v>1</v>
      </c>
      <c r="AE495" s="3" t="n">
        <v>1</v>
      </c>
      <c r="AF495" s="3" t="n">
        <v>1</v>
      </c>
      <c r="AG495" s="3" t="n">
        <v>1</v>
      </c>
      <c r="AH495" s="3" t="n">
        <v>1</v>
      </c>
      <c r="AI495" s="3" t="n">
        <v>0</v>
      </c>
      <c r="AJ495" s="4" t="n">
        <f aca="false">SUM(G495:AI495)</f>
        <v>17</v>
      </c>
      <c r="AK495" s="4" t="n">
        <f aca="false">ROUND(SUMPRODUCT(G495:AI495,Gene_Weights!$B$2:$AD$2),3)</f>
        <v>-9.81</v>
      </c>
      <c r="AL495" s="2" t="n">
        <v>7</v>
      </c>
      <c r="AM495" s="2" t="n">
        <v>2</v>
      </c>
      <c r="AN495" s="2" t="n">
        <v>28.57</v>
      </c>
      <c r="AO495" s="5" t="n">
        <v>64.53</v>
      </c>
      <c r="AP495" s="5" t="n">
        <v>66.13</v>
      </c>
      <c r="AQ495" s="5" t="n">
        <v>67.73</v>
      </c>
      <c r="AR495" s="5" t="n">
        <v>69.33</v>
      </c>
      <c r="AS495" s="5" t="n">
        <v>70.93</v>
      </c>
      <c r="AT495" s="5" t="n">
        <v>72.53</v>
      </c>
      <c r="AU495" s="5" t="n">
        <v>74.13</v>
      </c>
      <c r="AV495" s="5" t="s">
        <v>51</v>
      </c>
    </row>
    <row r="496" customFormat="false" ht="15" hidden="false" customHeight="false" outlineLevel="0" collapsed="false">
      <c r="A496" s="2" t="s">
        <v>138</v>
      </c>
      <c r="B496" s="2" t="n">
        <v>2003</v>
      </c>
      <c r="C496" s="2" t="s">
        <v>53</v>
      </c>
      <c r="D496" s="2" t="n">
        <v>1</v>
      </c>
      <c r="E496" s="2" t="n">
        <v>2</v>
      </c>
      <c r="F496" s="2" t="s">
        <v>50</v>
      </c>
      <c r="G496" s="3" t="n">
        <v>1</v>
      </c>
      <c r="H496" s="3" t="n">
        <v>0</v>
      </c>
      <c r="I496" s="3" t="n">
        <v>1</v>
      </c>
      <c r="J496" s="3" t="n">
        <v>0</v>
      </c>
      <c r="K496" s="3" t="n">
        <v>0</v>
      </c>
      <c r="L496" s="3" t="n">
        <v>1</v>
      </c>
      <c r="M496" s="3" t="n">
        <v>0</v>
      </c>
      <c r="N496" s="3" t="n">
        <v>1</v>
      </c>
      <c r="O496" s="3" t="n">
        <v>0</v>
      </c>
      <c r="P496" s="3" t="n">
        <v>0</v>
      </c>
      <c r="Q496" s="3" t="n">
        <v>1</v>
      </c>
      <c r="R496" s="3" t="n">
        <v>0</v>
      </c>
      <c r="S496" s="3" t="n">
        <v>1</v>
      </c>
      <c r="T496" s="3" t="n">
        <v>0</v>
      </c>
      <c r="U496" s="3" t="n">
        <v>1</v>
      </c>
      <c r="V496" s="3" t="n">
        <v>0</v>
      </c>
      <c r="W496" s="3" t="n">
        <v>1</v>
      </c>
      <c r="X496" s="3" t="n">
        <v>1</v>
      </c>
      <c r="Y496" s="3" t="n">
        <v>0</v>
      </c>
      <c r="Z496" s="3" t="n">
        <v>1</v>
      </c>
      <c r="AA496" s="3" t="n">
        <v>1</v>
      </c>
      <c r="AB496" s="3" t="n">
        <v>1</v>
      </c>
      <c r="AC496" s="3" t="n">
        <v>0</v>
      </c>
      <c r="AD496" s="3" t="n">
        <v>1</v>
      </c>
      <c r="AE496" s="3" t="n">
        <v>1</v>
      </c>
      <c r="AF496" s="3" t="n">
        <v>1</v>
      </c>
      <c r="AG496" s="3" t="n">
        <v>1</v>
      </c>
      <c r="AH496" s="3" t="n">
        <v>1</v>
      </c>
      <c r="AI496" s="3" t="n">
        <v>0</v>
      </c>
      <c r="AJ496" s="4" t="n">
        <f aca="false">SUM(G496:AI496)</f>
        <v>17</v>
      </c>
      <c r="AK496" s="4" t="n">
        <f aca="false">ROUND(SUMPRODUCT(G496:AI496,Gene_Weights!$B$2:$AD$2),3)</f>
        <v>-9.81</v>
      </c>
      <c r="AL496" s="2" t="n">
        <v>7</v>
      </c>
      <c r="AM496" s="2" t="n">
        <v>3</v>
      </c>
      <c r="AN496" s="2" t="n">
        <v>42.86</v>
      </c>
      <c r="AO496" s="5" t="n">
        <v>52.86</v>
      </c>
      <c r="AP496" s="5" t="n">
        <v>53.65</v>
      </c>
      <c r="AQ496" s="5" t="n">
        <v>54.45</v>
      </c>
      <c r="AR496" s="5" t="n">
        <v>55.24</v>
      </c>
      <c r="AS496" s="5" t="n">
        <v>56.03</v>
      </c>
      <c r="AT496" s="5" t="n">
        <v>56.83</v>
      </c>
      <c r="AU496" s="5" t="n">
        <v>57.62</v>
      </c>
      <c r="AV496" s="5" t="s">
        <v>51</v>
      </c>
    </row>
    <row r="497" customFormat="false" ht="15" hidden="false" customHeight="false" outlineLevel="0" collapsed="false">
      <c r="A497" s="2" t="s">
        <v>138</v>
      </c>
      <c r="B497" s="2" t="n">
        <v>2003</v>
      </c>
      <c r="C497" s="2" t="s">
        <v>54</v>
      </c>
      <c r="D497" s="2" t="n">
        <v>1</v>
      </c>
      <c r="E497" s="2" t="n">
        <v>4</v>
      </c>
      <c r="F497" s="2" t="s">
        <v>50</v>
      </c>
      <c r="G497" s="3" t="n">
        <v>1</v>
      </c>
      <c r="H497" s="3" t="n">
        <v>0</v>
      </c>
      <c r="I497" s="3" t="n">
        <v>1</v>
      </c>
      <c r="J497" s="3" t="n">
        <v>0</v>
      </c>
      <c r="K497" s="3" t="n">
        <v>0</v>
      </c>
      <c r="L497" s="3" t="n">
        <v>1</v>
      </c>
      <c r="M497" s="3" t="n">
        <v>0</v>
      </c>
      <c r="N497" s="3" t="n">
        <v>1</v>
      </c>
      <c r="O497" s="3" t="n">
        <v>0</v>
      </c>
      <c r="P497" s="3" t="n">
        <v>0</v>
      </c>
      <c r="Q497" s="3" t="n">
        <v>1</v>
      </c>
      <c r="R497" s="3" t="n">
        <v>0</v>
      </c>
      <c r="S497" s="3" t="n">
        <v>1</v>
      </c>
      <c r="T497" s="3" t="n">
        <v>0</v>
      </c>
      <c r="U497" s="3" t="n">
        <v>1</v>
      </c>
      <c r="V497" s="3" t="n">
        <v>0</v>
      </c>
      <c r="W497" s="3" t="n">
        <v>1</v>
      </c>
      <c r="X497" s="3" t="n">
        <v>1</v>
      </c>
      <c r="Y497" s="3" t="n">
        <v>0</v>
      </c>
      <c r="Z497" s="3" t="n">
        <v>1</v>
      </c>
      <c r="AA497" s="3" t="n">
        <v>1</v>
      </c>
      <c r="AB497" s="3" t="n">
        <v>1</v>
      </c>
      <c r="AC497" s="3" t="n">
        <v>0</v>
      </c>
      <c r="AD497" s="3" t="n">
        <v>1</v>
      </c>
      <c r="AE497" s="3" t="n">
        <v>1</v>
      </c>
      <c r="AF497" s="3" t="n">
        <v>1</v>
      </c>
      <c r="AG497" s="3" t="n">
        <v>1</v>
      </c>
      <c r="AH497" s="3" t="n">
        <v>1</v>
      </c>
      <c r="AI497" s="3" t="n">
        <v>0</v>
      </c>
      <c r="AJ497" s="4" t="n">
        <f aca="false">SUM(G497:AI497)</f>
        <v>17</v>
      </c>
      <c r="AK497" s="4" t="n">
        <f aca="false">ROUND(SUMPRODUCT(G497:AI497,Gene_Weights!$B$2:$AD$2),3)</f>
        <v>-9.81</v>
      </c>
      <c r="AL497" s="2" t="n">
        <v>7</v>
      </c>
      <c r="AM497" s="2" t="n">
        <v>3</v>
      </c>
      <c r="AN497" s="2" t="n">
        <v>42.86</v>
      </c>
      <c r="AO497" s="5" t="n">
        <v>81.84</v>
      </c>
      <c r="AP497" s="5" t="n">
        <v>84.45</v>
      </c>
      <c r="AQ497" s="5" t="n">
        <v>87.06</v>
      </c>
      <c r="AR497" s="5" t="n">
        <v>89.67</v>
      </c>
      <c r="AS497" s="5" t="n">
        <v>92.27</v>
      </c>
      <c r="AT497" s="5" t="n">
        <v>94.88</v>
      </c>
      <c r="AU497" s="5" t="n">
        <v>97.49</v>
      </c>
      <c r="AV497" s="5" t="s">
        <v>51</v>
      </c>
    </row>
    <row r="498" customFormat="false" ht="15" hidden="false" customHeight="false" outlineLevel="0" collapsed="false">
      <c r="A498" s="2" t="s">
        <v>138</v>
      </c>
      <c r="B498" s="2" t="n">
        <v>2003</v>
      </c>
      <c r="C498" s="2" t="s">
        <v>55</v>
      </c>
      <c r="D498" s="2" t="n">
        <v>0</v>
      </c>
      <c r="E498" s="2" t="n">
        <v>16</v>
      </c>
      <c r="F498" s="2" t="s">
        <v>50</v>
      </c>
      <c r="G498" s="3" t="n">
        <v>1</v>
      </c>
      <c r="H498" s="3" t="n">
        <v>0</v>
      </c>
      <c r="I498" s="3" t="n">
        <v>1</v>
      </c>
      <c r="J498" s="3" t="n">
        <v>0</v>
      </c>
      <c r="K498" s="3" t="n">
        <v>0</v>
      </c>
      <c r="L498" s="3" t="n">
        <v>1</v>
      </c>
      <c r="M498" s="3" t="n">
        <v>0</v>
      </c>
      <c r="N498" s="3" t="n">
        <v>1</v>
      </c>
      <c r="O498" s="3" t="n">
        <v>0</v>
      </c>
      <c r="P498" s="3" t="n">
        <v>0</v>
      </c>
      <c r="Q498" s="3" t="n">
        <v>1</v>
      </c>
      <c r="R498" s="3" t="n">
        <v>0</v>
      </c>
      <c r="S498" s="3" t="n">
        <v>1</v>
      </c>
      <c r="T498" s="3" t="n">
        <v>0</v>
      </c>
      <c r="U498" s="3" t="n">
        <v>1</v>
      </c>
      <c r="V498" s="3" t="n">
        <v>0</v>
      </c>
      <c r="W498" s="3" t="n">
        <v>1</v>
      </c>
      <c r="X498" s="3" t="n">
        <v>1</v>
      </c>
      <c r="Y498" s="3" t="n">
        <v>0</v>
      </c>
      <c r="Z498" s="3" t="n">
        <v>1</v>
      </c>
      <c r="AA498" s="3" t="n">
        <v>1</v>
      </c>
      <c r="AB498" s="3" t="n">
        <v>1</v>
      </c>
      <c r="AC498" s="3" t="n">
        <v>0</v>
      </c>
      <c r="AD498" s="3" t="n">
        <v>1</v>
      </c>
      <c r="AE498" s="3" t="n">
        <v>1</v>
      </c>
      <c r="AF498" s="3" t="n">
        <v>1</v>
      </c>
      <c r="AG498" s="3" t="n">
        <v>1</v>
      </c>
      <c r="AH498" s="3" t="n">
        <v>1</v>
      </c>
      <c r="AI498" s="3" t="n">
        <v>0</v>
      </c>
      <c r="AJ498" s="4" t="n">
        <f aca="false">SUM(G498:AI498)</f>
        <v>17</v>
      </c>
      <c r="AK498" s="4" t="n">
        <f aca="false">ROUND(SUMPRODUCT(G498:AI498,Gene_Weights!$B$2:$AD$2),3)</f>
        <v>-9.81</v>
      </c>
      <c r="AL498" s="2" t="n">
        <v>7</v>
      </c>
      <c r="AM498" s="2" t="n">
        <v>1</v>
      </c>
      <c r="AN498" s="2" t="n">
        <v>14.29</v>
      </c>
      <c r="AO498" s="5" t="n">
        <v>58.19</v>
      </c>
      <c r="AP498" s="5" t="n">
        <v>59.74</v>
      </c>
      <c r="AQ498" s="5" t="n">
        <v>61.3</v>
      </c>
      <c r="AR498" s="5" t="n">
        <v>62.86</v>
      </c>
      <c r="AS498" s="5" t="n">
        <v>64.42</v>
      </c>
      <c r="AT498" s="5" t="n">
        <v>65.98</v>
      </c>
      <c r="AU498" s="5" t="n">
        <v>67.53</v>
      </c>
      <c r="AV498" s="5" t="s">
        <v>51</v>
      </c>
    </row>
    <row r="499" customFormat="false" ht="15" hidden="false" customHeight="false" outlineLevel="0" collapsed="false">
      <c r="A499" s="2" t="s">
        <v>138</v>
      </c>
      <c r="B499" s="2" t="n">
        <v>2003</v>
      </c>
      <c r="C499" s="2" t="s">
        <v>56</v>
      </c>
      <c r="D499" s="2" t="n">
        <v>0</v>
      </c>
      <c r="E499" s="2" t="n">
        <v>16</v>
      </c>
      <c r="F499" s="2" t="s">
        <v>50</v>
      </c>
      <c r="G499" s="3" t="n">
        <v>1</v>
      </c>
      <c r="H499" s="3" t="n">
        <v>0</v>
      </c>
      <c r="I499" s="3" t="n">
        <v>1</v>
      </c>
      <c r="J499" s="3" t="n">
        <v>0</v>
      </c>
      <c r="K499" s="3" t="n">
        <v>0</v>
      </c>
      <c r="L499" s="3" t="n">
        <v>1</v>
      </c>
      <c r="M499" s="3" t="n">
        <v>0</v>
      </c>
      <c r="N499" s="3" t="n">
        <v>1</v>
      </c>
      <c r="O499" s="3" t="n">
        <v>0</v>
      </c>
      <c r="P499" s="3" t="n">
        <v>0</v>
      </c>
      <c r="Q499" s="3" t="n">
        <v>1</v>
      </c>
      <c r="R499" s="3" t="n">
        <v>0</v>
      </c>
      <c r="S499" s="3" t="n">
        <v>1</v>
      </c>
      <c r="T499" s="3" t="n">
        <v>0</v>
      </c>
      <c r="U499" s="3" t="n">
        <v>1</v>
      </c>
      <c r="V499" s="3" t="n">
        <v>0</v>
      </c>
      <c r="W499" s="3" t="n">
        <v>1</v>
      </c>
      <c r="X499" s="3" t="n">
        <v>1</v>
      </c>
      <c r="Y499" s="3" t="n">
        <v>0</v>
      </c>
      <c r="Z499" s="3" t="n">
        <v>1</v>
      </c>
      <c r="AA499" s="3" t="n">
        <v>1</v>
      </c>
      <c r="AB499" s="3" t="n">
        <v>1</v>
      </c>
      <c r="AC499" s="3" t="n">
        <v>0</v>
      </c>
      <c r="AD499" s="3" t="n">
        <v>1</v>
      </c>
      <c r="AE499" s="3" t="n">
        <v>1</v>
      </c>
      <c r="AF499" s="3" t="n">
        <v>1</v>
      </c>
      <c r="AG499" s="3" t="n">
        <v>1</v>
      </c>
      <c r="AH499" s="3" t="n">
        <v>1</v>
      </c>
      <c r="AI499" s="3" t="n">
        <v>0</v>
      </c>
      <c r="AJ499" s="4" t="n">
        <f aca="false">SUM(G499:AI499)</f>
        <v>17</v>
      </c>
      <c r="AK499" s="4" t="n">
        <f aca="false">ROUND(SUMPRODUCT(G499:AI499,Gene_Weights!$B$2:$AD$2),3)</f>
        <v>-9.81</v>
      </c>
      <c r="AL499" s="2" t="n">
        <v>7</v>
      </c>
      <c r="AM499" s="2" t="n">
        <v>1</v>
      </c>
      <c r="AN499" s="2" t="n">
        <v>14.29</v>
      </c>
      <c r="AO499" s="5" t="n">
        <v>75.59</v>
      </c>
      <c r="AP499" s="5" t="n">
        <v>78.01</v>
      </c>
      <c r="AQ499" s="5" t="n">
        <v>80.42</v>
      </c>
      <c r="AR499" s="5" t="n">
        <v>82.83</v>
      </c>
      <c r="AS499" s="5" t="n">
        <v>85.24</v>
      </c>
      <c r="AT499" s="5" t="n">
        <v>87.66</v>
      </c>
      <c r="AU499" s="5" t="n">
        <v>90.07</v>
      </c>
      <c r="AV499" s="5" t="s">
        <v>51</v>
      </c>
    </row>
    <row r="500" customFormat="false" ht="15" hidden="false" customHeight="false" outlineLevel="0" collapsed="false">
      <c r="A500" s="2" t="s">
        <v>139</v>
      </c>
      <c r="B500" s="2" t="n">
        <v>2009</v>
      </c>
      <c r="C500" s="2" t="s">
        <v>49</v>
      </c>
      <c r="D500" s="2" t="n">
        <v>1</v>
      </c>
      <c r="E500" s="2" t="n">
        <v>32</v>
      </c>
      <c r="F500" s="2" t="s">
        <v>50</v>
      </c>
      <c r="G500" s="3" t="n">
        <v>0</v>
      </c>
      <c r="H500" s="3" t="n">
        <v>0</v>
      </c>
      <c r="I500" s="3" t="n">
        <v>1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1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</v>
      </c>
      <c r="U500" s="3" t="n">
        <v>1</v>
      </c>
      <c r="V500" s="3" t="n">
        <v>1</v>
      </c>
      <c r="W500" s="3" t="n">
        <v>0</v>
      </c>
      <c r="X500" s="3" t="n">
        <v>0</v>
      </c>
      <c r="Y500" s="3" t="n">
        <v>1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1</v>
      </c>
      <c r="AI500" s="3" t="n">
        <v>0</v>
      </c>
      <c r="AJ500" s="4" t="n">
        <f aca="false">SUM(G500:AI500)</f>
        <v>7</v>
      </c>
      <c r="AK500" s="4" t="n">
        <f aca="false">ROUND(SUMPRODUCT(G500:AI500,Gene_Weights!$B$2:$AD$2),3)</f>
        <v>-5.5</v>
      </c>
      <c r="AL500" s="2" t="n">
        <v>12</v>
      </c>
      <c r="AM500" s="2" t="n">
        <v>4</v>
      </c>
      <c r="AN500" s="2" t="n">
        <v>33.33</v>
      </c>
      <c r="AO500" s="5" t="n">
        <v>55.12</v>
      </c>
      <c r="AP500" s="5" t="n">
        <v>56.02</v>
      </c>
      <c r="AQ500" s="5" t="n">
        <v>56.92</v>
      </c>
      <c r="AR500" s="5" t="n">
        <v>57.82</v>
      </c>
      <c r="AS500" s="5" t="n">
        <v>58.72</v>
      </c>
      <c r="AT500" s="5" t="n">
        <v>59.62</v>
      </c>
      <c r="AU500" s="5" t="n">
        <v>60.52</v>
      </c>
      <c r="AV500" s="5" t="s">
        <v>51</v>
      </c>
    </row>
    <row r="501" customFormat="false" ht="15" hidden="false" customHeight="false" outlineLevel="0" collapsed="false">
      <c r="A501" s="2" t="s">
        <v>139</v>
      </c>
      <c r="B501" s="2" t="n">
        <v>2009</v>
      </c>
      <c r="C501" s="2" t="s">
        <v>52</v>
      </c>
      <c r="D501" s="2" t="n">
        <v>0</v>
      </c>
      <c r="E501" s="2" t="n">
        <v>32</v>
      </c>
      <c r="F501" s="2" t="s">
        <v>50</v>
      </c>
      <c r="G501" s="3" t="n">
        <v>0</v>
      </c>
      <c r="H501" s="3" t="n">
        <v>0</v>
      </c>
      <c r="I501" s="3" t="n">
        <v>1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1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1</v>
      </c>
      <c r="U501" s="3" t="n">
        <v>1</v>
      </c>
      <c r="V501" s="3" t="n">
        <v>1</v>
      </c>
      <c r="W501" s="3" t="n">
        <v>0</v>
      </c>
      <c r="X501" s="3" t="n">
        <v>0</v>
      </c>
      <c r="Y501" s="3" t="n">
        <v>1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1</v>
      </c>
      <c r="AI501" s="3" t="n">
        <v>0</v>
      </c>
      <c r="AJ501" s="4" t="n">
        <f aca="false">SUM(G501:AI501)</f>
        <v>7</v>
      </c>
      <c r="AK501" s="4" t="n">
        <f aca="false">ROUND(SUMPRODUCT(G501:AI501,Gene_Weights!$B$2:$AD$2),3)</f>
        <v>-5.5</v>
      </c>
      <c r="AL501" s="2" t="n">
        <v>12</v>
      </c>
      <c r="AM501" s="2" t="n">
        <v>3</v>
      </c>
      <c r="AN501" s="2" t="n">
        <v>25</v>
      </c>
      <c r="AO501" s="5" t="n">
        <v>64.53</v>
      </c>
      <c r="AP501" s="5" t="n">
        <v>66.13</v>
      </c>
      <c r="AQ501" s="5" t="n">
        <v>67.73</v>
      </c>
      <c r="AR501" s="5" t="n">
        <v>69.33</v>
      </c>
      <c r="AS501" s="5" t="n">
        <v>70.93</v>
      </c>
      <c r="AT501" s="5" t="n">
        <v>72.53</v>
      </c>
      <c r="AU501" s="5" t="n">
        <v>74.13</v>
      </c>
      <c r="AV501" s="5" t="s">
        <v>51</v>
      </c>
    </row>
    <row r="502" customFormat="false" ht="15" hidden="false" customHeight="false" outlineLevel="0" collapsed="false">
      <c r="A502" s="2" t="s">
        <v>139</v>
      </c>
      <c r="B502" s="2" t="n">
        <v>2009</v>
      </c>
      <c r="C502" s="2" t="s">
        <v>53</v>
      </c>
      <c r="D502" s="2" t="n">
        <v>1</v>
      </c>
      <c r="E502" s="2" t="n">
        <v>16</v>
      </c>
      <c r="F502" s="2" t="s">
        <v>50</v>
      </c>
      <c r="G502" s="3" t="n">
        <v>0</v>
      </c>
      <c r="H502" s="3" t="n">
        <v>0</v>
      </c>
      <c r="I502" s="3" t="n">
        <v>1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1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1</v>
      </c>
      <c r="U502" s="3" t="n">
        <v>1</v>
      </c>
      <c r="V502" s="3" t="n">
        <v>1</v>
      </c>
      <c r="W502" s="3" t="n">
        <v>0</v>
      </c>
      <c r="X502" s="3" t="n">
        <v>0</v>
      </c>
      <c r="Y502" s="3" t="n">
        <v>1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1</v>
      </c>
      <c r="AI502" s="3" t="n">
        <v>0</v>
      </c>
      <c r="AJ502" s="4" t="n">
        <f aca="false">SUM(G502:AI502)</f>
        <v>7</v>
      </c>
      <c r="AK502" s="4" t="n">
        <f aca="false">ROUND(SUMPRODUCT(G502:AI502,Gene_Weights!$B$2:$AD$2),3)</f>
        <v>-5.5</v>
      </c>
      <c r="AL502" s="2" t="n">
        <v>12</v>
      </c>
      <c r="AM502" s="2" t="n">
        <v>9</v>
      </c>
      <c r="AN502" s="2" t="n">
        <v>75</v>
      </c>
      <c r="AO502" s="5" t="n">
        <v>52.86</v>
      </c>
      <c r="AP502" s="5" t="n">
        <v>53.65</v>
      </c>
      <c r="AQ502" s="5" t="n">
        <v>54.45</v>
      </c>
      <c r="AR502" s="5" t="n">
        <v>55.24</v>
      </c>
      <c r="AS502" s="5" t="n">
        <v>56.03</v>
      </c>
      <c r="AT502" s="5" t="n">
        <v>56.83</v>
      </c>
      <c r="AU502" s="5" t="n">
        <v>57.62</v>
      </c>
      <c r="AV502" s="5" t="s">
        <v>51</v>
      </c>
    </row>
    <row r="503" customFormat="false" ht="15" hidden="false" customHeight="false" outlineLevel="0" collapsed="false">
      <c r="A503" s="2" t="s">
        <v>139</v>
      </c>
      <c r="B503" s="2" t="n">
        <v>2009</v>
      </c>
      <c r="C503" s="2" t="s">
        <v>54</v>
      </c>
      <c r="D503" s="2" t="n">
        <v>1</v>
      </c>
      <c r="E503" s="2" t="n">
        <v>32</v>
      </c>
      <c r="F503" s="2" t="s">
        <v>50</v>
      </c>
      <c r="G503" s="3" t="n">
        <v>0</v>
      </c>
      <c r="H503" s="3" t="n">
        <v>0</v>
      </c>
      <c r="I503" s="3" t="n">
        <v>1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1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1</v>
      </c>
      <c r="U503" s="3" t="n">
        <v>1</v>
      </c>
      <c r="V503" s="3" t="n">
        <v>1</v>
      </c>
      <c r="W503" s="3" t="n">
        <v>0</v>
      </c>
      <c r="X503" s="3" t="n">
        <v>0</v>
      </c>
      <c r="Y503" s="3" t="n">
        <v>1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1</v>
      </c>
      <c r="AI503" s="3" t="n">
        <v>0</v>
      </c>
      <c r="AJ503" s="4" t="n">
        <f aca="false">SUM(G503:AI503)</f>
        <v>7</v>
      </c>
      <c r="AK503" s="4" t="n">
        <f aca="false">ROUND(SUMPRODUCT(G503:AI503,Gene_Weights!$B$2:$AD$2),3)</f>
        <v>-5.5</v>
      </c>
      <c r="AL503" s="2" t="n">
        <v>12</v>
      </c>
      <c r="AM503" s="2" t="n">
        <v>8</v>
      </c>
      <c r="AN503" s="2" t="n">
        <v>66.67</v>
      </c>
      <c r="AO503" s="5" t="n">
        <v>81.84</v>
      </c>
      <c r="AP503" s="5" t="n">
        <v>84.45</v>
      </c>
      <c r="AQ503" s="5" t="n">
        <v>87.06</v>
      </c>
      <c r="AR503" s="5" t="n">
        <v>89.67</v>
      </c>
      <c r="AS503" s="5" t="n">
        <v>92.27</v>
      </c>
      <c r="AT503" s="5" t="n">
        <v>94.88</v>
      </c>
      <c r="AU503" s="5" t="n">
        <v>97.49</v>
      </c>
      <c r="AV503" s="5" t="s">
        <v>51</v>
      </c>
    </row>
    <row r="504" customFormat="false" ht="15" hidden="false" customHeight="false" outlineLevel="0" collapsed="false">
      <c r="A504" s="2" t="s">
        <v>139</v>
      </c>
      <c r="B504" s="2" t="n">
        <v>2009</v>
      </c>
      <c r="C504" s="2" t="s">
        <v>55</v>
      </c>
      <c r="D504" s="2" t="n">
        <v>0</v>
      </c>
      <c r="E504" s="2" t="n">
        <v>2</v>
      </c>
      <c r="F504" s="2" t="s">
        <v>50</v>
      </c>
      <c r="G504" s="3" t="n">
        <v>0</v>
      </c>
      <c r="H504" s="3" t="n">
        <v>0</v>
      </c>
      <c r="I504" s="3" t="n">
        <v>1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1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1</v>
      </c>
      <c r="U504" s="3" t="n">
        <v>1</v>
      </c>
      <c r="V504" s="3" t="n">
        <v>1</v>
      </c>
      <c r="W504" s="3" t="n">
        <v>0</v>
      </c>
      <c r="X504" s="3" t="n">
        <v>0</v>
      </c>
      <c r="Y504" s="3" t="n">
        <v>1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1</v>
      </c>
      <c r="AI504" s="3" t="n">
        <v>0</v>
      </c>
      <c r="AJ504" s="4" t="n">
        <f aca="false">SUM(G504:AI504)</f>
        <v>7</v>
      </c>
      <c r="AK504" s="4" t="n">
        <f aca="false">ROUND(SUMPRODUCT(G504:AI504,Gene_Weights!$B$2:$AD$2),3)</f>
        <v>-5.5</v>
      </c>
      <c r="AL504" s="2" t="n">
        <v>12</v>
      </c>
      <c r="AM504" s="2" t="n">
        <v>2</v>
      </c>
      <c r="AN504" s="2" t="n">
        <v>16.67</v>
      </c>
      <c r="AO504" s="5" t="n">
        <v>58.19</v>
      </c>
      <c r="AP504" s="5" t="n">
        <v>59.74</v>
      </c>
      <c r="AQ504" s="5" t="n">
        <v>61.3</v>
      </c>
      <c r="AR504" s="5" t="n">
        <v>62.86</v>
      </c>
      <c r="AS504" s="5" t="n">
        <v>64.42</v>
      </c>
      <c r="AT504" s="5" t="n">
        <v>65.98</v>
      </c>
      <c r="AU504" s="5" t="n">
        <v>67.53</v>
      </c>
      <c r="AV504" s="5" t="s">
        <v>51</v>
      </c>
    </row>
    <row r="505" customFormat="false" ht="15" hidden="false" customHeight="false" outlineLevel="0" collapsed="false">
      <c r="A505" s="2" t="s">
        <v>139</v>
      </c>
      <c r="B505" s="2" t="n">
        <v>2009</v>
      </c>
      <c r="C505" s="2" t="s">
        <v>56</v>
      </c>
      <c r="D505" s="2" t="n">
        <v>0</v>
      </c>
      <c r="E505" s="2" t="n">
        <v>2</v>
      </c>
      <c r="F505" s="2" t="s">
        <v>50</v>
      </c>
      <c r="G505" s="3" t="n">
        <v>0</v>
      </c>
      <c r="H505" s="3" t="n">
        <v>0</v>
      </c>
      <c r="I505" s="3" t="n">
        <v>1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1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1</v>
      </c>
      <c r="U505" s="3" t="n">
        <v>1</v>
      </c>
      <c r="V505" s="3" t="n">
        <v>1</v>
      </c>
      <c r="W505" s="3" t="n">
        <v>0</v>
      </c>
      <c r="X505" s="3" t="n">
        <v>0</v>
      </c>
      <c r="Y505" s="3" t="n">
        <v>1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1</v>
      </c>
      <c r="AI505" s="3" t="n">
        <v>0</v>
      </c>
      <c r="AJ505" s="4" t="n">
        <f aca="false">SUM(G505:AI505)</f>
        <v>7</v>
      </c>
      <c r="AK505" s="4" t="n">
        <f aca="false">ROUND(SUMPRODUCT(G505:AI505,Gene_Weights!$B$2:$AD$2),3)</f>
        <v>-5.5</v>
      </c>
      <c r="AL505" s="2" t="n">
        <v>12</v>
      </c>
      <c r="AM505" s="2" t="n">
        <v>4</v>
      </c>
      <c r="AN505" s="2" t="n">
        <v>33.33</v>
      </c>
      <c r="AO505" s="5" t="n">
        <v>75.59</v>
      </c>
      <c r="AP505" s="5" t="n">
        <v>78.01</v>
      </c>
      <c r="AQ505" s="5" t="n">
        <v>80.42</v>
      </c>
      <c r="AR505" s="5" t="n">
        <v>82.83</v>
      </c>
      <c r="AS505" s="5" t="n">
        <v>85.24</v>
      </c>
      <c r="AT505" s="5" t="n">
        <v>87.66</v>
      </c>
      <c r="AU505" s="5" t="n">
        <v>90.07</v>
      </c>
      <c r="AV505" s="5" t="s">
        <v>51</v>
      </c>
    </row>
    <row r="506" customFormat="false" ht="15" hidden="false" customHeight="false" outlineLevel="0" collapsed="false">
      <c r="A506" s="2" t="s">
        <v>140</v>
      </c>
      <c r="B506" s="2" t="n">
        <v>2011</v>
      </c>
      <c r="C506" s="2" t="s">
        <v>49</v>
      </c>
      <c r="D506" s="2" t="n">
        <v>0</v>
      </c>
      <c r="E506" s="2" t="n">
        <v>4</v>
      </c>
      <c r="F506" s="2" t="s">
        <v>50</v>
      </c>
      <c r="G506" s="3" t="n">
        <v>1</v>
      </c>
      <c r="H506" s="3" t="n">
        <v>0</v>
      </c>
      <c r="I506" s="3" t="n">
        <v>1</v>
      </c>
      <c r="J506" s="3" t="n">
        <v>0</v>
      </c>
      <c r="K506" s="3" t="n">
        <v>0</v>
      </c>
      <c r="L506" s="3" t="n">
        <v>0</v>
      </c>
      <c r="M506" s="3" t="n">
        <v>1</v>
      </c>
      <c r="N506" s="3" t="n">
        <v>0</v>
      </c>
      <c r="O506" s="3" t="n">
        <v>1</v>
      </c>
      <c r="P506" s="3" t="n">
        <v>0</v>
      </c>
      <c r="Q506" s="3" t="n">
        <v>0</v>
      </c>
      <c r="R506" s="3" t="n">
        <v>1</v>
      </c>
      <c r="S506" s="3" t="n">
        <v>0</v>
      </c>
      <c r="T506" s="3" t="n">
        <v>1</v>
      </c>
      <c r="U506" s="3" t="n">
        <v>0</v>
      </c>
      <c r="V506" s="3" t="n">
        <v>1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1</v>
      </c>
      <c r="AC506" s="3" t="n">
        <v>0</v>
      </c>
      <c r="AD506" s="3" t="n">
        <v>0</v>
      </c>
      <c r="AE506" s="3" t="n">
        <v>1</v>
      </c>
      <c r="AF506" s="3" t="n">
        <v>0</v>
      </c>
      <c r="AG506" s="3" t="n">
        <v>0</v>
      </c>
      <c r="AH506" s="3" t="n">
        <v>0</v>
      </c>
      <c r="AI506" s="3" t="n">
        <v>1</v>
      </c>
      <c r="AJ506" s="4" t="n">
        <f aca="false">SUM(G506:AI506)</f>
        <v>10</v>
      </c>
      <c r="AK506" s="4" t="n">
        <f aca="false">ROUND(SUMPRODUCT(G506:AI506,Gene_Weights!$B$2:$AD$2),3)</f>
        <v>-7.04</v>
      </c>
      <c r="AL506" s="2" t="n">
        <v>11</v>
      </c>
      <c r="AM506" s="2" t="n">
        <v>5</v>
      </c>
      <c r="AN506" s="2" t="n">
        <v>45.45</v>
      </c>
      <c r="AO506" s="5" t="n">
        <v>55.12</v>
      </c>
      <c r="AP506" s="5" t="n">
        <v>56.02</v>
      </c>
      <c r="AQ506" s="5" t="n">
        <v>56.92</v>
      </c>
      <c r="AR506" s="5" t="n">
        <v>57.82</v>
      </c>
      <c r="AS506" s="5" t="n">
        <v>58.72</v>
      </c>
      <c r="AT506" s="5" t="n">
        <v>59.62</v>
      </c>
      <c r="AU506" s="5" t="n">
        <v>60.52</v>
      </c>
      <c r="AV506" s="5" t="s">
        <v>51</v>
      </c>
    </row>
    <row r="507" customFormat="false" ht="15" hidden="false" customHeight="false" outlineLevel="0" collapsed="false">
      <c r="A507" s="2" t="s">
        <v>140</v>
      </c>
      <c r="B507" s="2" t="n">
        <v>2011</v>
      </c>
      <c r="C507" s="2" t="s">
        <v>52</v>
      </c>
      <c r="D507" s="2" t="n">
        <v>0</v>
      </c>
      <c r="E507" s="2" t="n">
        <v>2</v>
      </c>
      <c r="F507" s="2" t="s">
        <v>50</v>
      </c>
      <c r="G507" s="3" t="n">
        <v>1</v>
      </c>
      <c r="H507" s="3" t="n">
        <v>0</v>
      </c>
      <c r="I507" s="3" t="n">
        <v>1</v>
      </c>
      <c r="J507" s="3" t="n">
        <v>0</v>
      </c>
      <c r="K507" s="3" t="n">
        <v>0</v>
      </c>
      <c r="L507" s="3" t="n">
        <v>0</v>
      </c>
      <c r="M507" s="3" t="n">
        <v>1</v>
      </c>
      <c r="N507" s="3" t="n">
        <v>0</v>
      </c>
      <c r="O507" s="3" t="n">
        <v>1</v>
      </c>
      <c r="P507" s="3" t="n">
        <v>0</v>
      </c>
      <c r="Q507" s="3" t="n">
        <v>0</v>
      </c>
      <c r="R507" s="3" t="n">
        <v>1</v>
      </c>
      <c r="S507" s="3" t="n">
        <v>0</v>
      </c>
      <c r="T507" s="3" t="n">
        <v>1</v>
      </c>
      <c r="U507" s="3" t="n">
        <v>0</v>
      </c>
      <c r="V507" s="3" t="n">
        <v>1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1</v>
      </c>
      <c r="AC507" s="3" t="n">
        <v>0</v>
      </c>
      <c r="AD507" s="3" t="n">
        <v>0</v>
      </c>
      <c r="AE507" s="3" t="n">
        <v>1</v>
      </c>
      <c r="AF507" s="3" t="n">
        <v>0</v>
      </c>
      <c r="AG507" s="3" t="n">
        <v>0</v>
      </c>
      <c r="AH507" s="3" t="n">
        <v>0</v>
      </c>
      <c r="AI507" s="3" t="n">
        <v>1</v>
      </c>
      <c r="AJ507" s="4" t="n">
        <f aca="false">SUM(G507:AI507)</f>
        <v>10</v>
      </c>
      <c r="AK507" s="4" t="n">
        <f aca="false">ROUND(SUMPRODUCT(G507:AI507,Gene_Weights!$B$2:$AD$2),3)</f>
        <v>-7.04</v>
      </c>
      <c r="AL507" s="2" t="n">
        <v>11</v>
      </c>
      <c r="AM507" s="2" t="n">
        <v>4</v>
      </c>
      <c r="AN507" s="2" t="n">
        <v>36.36</v>
      </c>
      <c r="AO507" s="5" t="n">
        <v>64.53</v>
      </c>
      <c r="AP507" s="5" t="n">
        <v>66.13</v>
      </c>
      <c r="AQ507" s="5" t="n">
        <v>67.73</v>
      </c>
      <c r="AR507" s="5" t="n">
        <v>69.33</v>
      </c>
      <c r="AS507" s="5" t="n">
        <v>70.93</v>
      </c>
      <c r="AT507" s="5" t="n">
        <v>72.53</v>
      </c>
      <c r="AU507" s="5" t="n">
        <v>74.13</v>
      </c>
      <c r="AV507" s="5" t="s">
        <v>51</v>
      </c>
    </row>
    <row r="508" customFormat="false" ht="15" hidden="false" customHeight="false" outlineLevel="0" collapsed="false">
      <c r="A508" s="2" t="s">
        <v>140</v>
      </c>
      <c r="B508" s="2" t="n">
        <v>2011</v>
      </c>
      <c r="C508" s="2" t="s">
        <v>53</v>
      </c>
      <c r="D508" s="2" t="n">
        <v>1</v>
      </c>
      <c r="E508" s="2" t="n">
        <v>2</v>
      </c>
      <c r="F508" s="2" t="s">
        <v>50</v>
      </c>
      <c r="G508" s="3" t="n">
        <v>1</v>
      </c>
      <c r="H508" s="3" t="n">
        <v>0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1</v>
      </c>
      <c r="N508" s="3" t="n">
        <v>0</v>
      </c>
      <c r="O508" s="3" t="n">
        <v>1</v>
      </c>
      <c r="P508" s="3" t="n">
        <v>0</v>
      </c>
      <c r="Q508" s="3" t="n">
        <v>0</v>
      </c>
      <c r="R508" s="3" t="n">
        <v>1</v>
      </c>
      <c r="S508" s="3" t="n">
        <v>0</v>
      </c>
      <c r="T508" s="3" t="n">
        <v>1</v>
      </c>
      <c r="U508" s="3" t="n">
        <v>0</v>
      </c>
      <c r="V508" s="3" t="n">
        <v>1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1</v>
      </c>
      <c r="AC508" s="3" t="n">
        <v>0</v>
      </c>
      <c r="AD508" s="3" t="n">
        <v>0</v>
      </c>
      <c r="AE508" s="3" t="n">
        <v>1</v>
      </c>
      <c r="AF508" s="3" t="n">
        <v>0</v>
      </c>
      <c r="AG508" s="3" t="n">
        <v>0</v>
      </c>
      <c r="AH508" s="3" t="n">
        <v>0</v>
      </c>
      <c r="AI508" s="3" t="n">
        <v>1</v>
      </c>
      <c r="AJ508" s="4" t="n">
        <f aca="false">SUM(G508:AI508)</f>
        <v>10</v>
      </c>
      <c r="AK508" s="4" t="n">
        <f aca="false">ROUND(SUMPRODUCT(G508:AI508,Gene_Weights!$B$2:$AD$2),3)</f>
        <v>-7.04</v>
      </c>
      <c r="AL508" s="2" t="n">
        <v>11</v>
      </c>
      <c r="AM508" s="2" t="n">
        <v>6</v>
      </c>
      <c r="AN508" s="2" t="n">
        <v>54.55</v>
      </c>
      <c r="AO508" s="5" t="n">
        <v>52.86</v>
      </c>
      <c r="AP508" s="5" t="n">
        <v>53.65</v>
      </c>
      <c r="AQ508" s="5" t="n">
        <v>54.45</v>
      </c>
      <c r="AR508" s="5" t="n">
        <v>55.24</v>
      </c>
      <c r="AS508" s="5" t="n">
        <v>56.03</v>
      </c>
      <c r="AT508" s="5" t="n">
        <v>56.83</v>
      </c>
      <c r="AU508" s="5" t="n">
        <v>57.62</v>
      </c>
      <c r="AV508" s="5" t="s">
        <v>51</v>
      </c>
    </row>
    <row r="509" customFormat="false" ht="15" hidden="false" customHeight="false" outlineLevel="0" collapsed="false">
      <c r="A509" s="2" t="s">
        <v>140</v>
      </c>
      <c r="B509" s="2" t="n">
        <v>2011</v>
      </c>
      <c r="C509" s="2" t="s">
        <v>54</v>
      </c>
      <c r="D509" s="2" t="n">
        <v>1</v>
      </c>
      <c r="E509" s="2" t="n">
        <v>32</v>
      </c>
      <c r="F509" s="2" t="s">
        <v>50</v>
      </c>
      <c r="G509" s="3" t="n">
        <v>1</v>
      </c>
      <c r="H509" s="3" t="n">
        <v>0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1</v>
      </c>
      <c r="N509" s="3" t="n">
        <v>0</v>
      </c>
      <c r="O509" s="3" t="n">
        <v>1</v>
      </c>
      <c r="P509" s="3" t="n">
        <v>0</v>
      </c>
      <c r="Q509" s="3" t="n">
        <v>0</v>
      </c>
      <c r="R509" s="3" t="n">
        <v>1</v>
      </c>
      <c r="S509" s="3" t="n">
        <v>0</v>
      </c>
      <c r="T509" s="3" t="n">
        <v>1</v>
      </c>
      <c r="U509" s="3" t="n">
        <v>0</v>
      </c>
      <c r="V509" s="3" t="n">
        <v>1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1</v>
      </c>
      <c r="AC509" s="3" t="n">
        <v>0</v>
      </c>
      <c r="AD509" s="3" t="n">
        <v>0</v>
      </c>
      <c r="AE509" s="3" t="n">
        <v>1</v>
      </c>
      <c r="AF509" s="3" t="n">
        <v>0</v>
      </c>
      <c r="AG509" s="3" t="n">
        <v>0</v>
      </c>
      <c r="AH509" s="3" t="n">
        <v>0</v>
      </c>
      <c r="AI509" s="3" t="n">
        <v>1</v>
      </c>
      <c r="AJ509" s="4" t="n">
        <f aca="false">SUM(G509:AI509)</f>
        <v>10</v>
      </c>
      <c r="AK509" s="4" t="n">
        <f aca="false">ROUND(SUMPRODUCT(G509:AI509,Gene_Weights!$B$2:$AD$2),3)</f>
        <v>-7.04</v>
      </c>
      <c r="AL509" s="2" t="n">
        <v>11</v>
      </c>
      <c r="AM509" s="2" t="n">
        <v>4</v>
      </c>
      <c r="AN509" s="2" t="n">
        <v>36.36</v>
      </c>
      <c r="AO509" s="5" t="n">
        <v>81.84</v>
      </c>
      <c r="AP509" s="5" t="n">
        <v>84.45</v>
      </c>
      <c r="AQ509" s="5" t="n">
        <v>87.06</v>
      </c>
      <c r="AR509" s="5" t="n">
        <v>89.67</v>
      </c>
      <c r="AS509" s="5" t="n">
        <v>92.27</v>
      </c>
      <c r="AT509" s="5" t="n">
        <v>94.88</v>
      </c>
      <c r="AU509" s="5" t="n">
        <v>97.49</v>
      </c>
      <c r="AV509" s="5" t="s">
        <v>51</v>
      </c>
    </row>
    <row r="510" customFormat="false" ht="15" hidden="false" customHeight="false" outlineLevel="0" collapsed="false">
      <c r="A510" s="2" t="s">
        <v>140</v>
      </c>
      <c r="B510" s="2" t="n">
        <v>2011</v>
      </c>
      <c r="C510" s="2" t="s">
        <v>55</v>
      </c>
      <c r="D510" s="2" t="n">
        <v>1</v>
      </c>
      <c r="E510" s="2" t="n">
        <v>2</v>
      </c>
      <c r="F510" s="2" t="s">
        <v>50</v>
      </c>
      <c r="G510" s="3" t="n">
        <v>1</v>
      </c>
      <c r="H510" s="3" t="n">
        <v>0</v>
      </c>
      <c r="I510" s="3" t="n">
        <v>1</v>
      </c>
      <c r="J510" s="3" t="n">
        <v>0</v>
      </c>
      <c r="K510" s="3" t="n">
        <v>0</v>
      </c>
      <c r="L510" s="3" t="n">
        <v>0</v>
      </c>
      <c r="M510" s="3" t="n">
        <v>1</v>
      </c>
      <c r="N510" s="3" t="n">
        <v>0</v>
      </c>
      <c r="O510" s="3" t="n">
        <v>1</v>
      </c>
      <c r="P510" s="3" t="n">
        <v>0</v>
      </c>
      <c r="Q510" s="3" t="n">
        <v>0</v>
      </c>
      <c r="R510" s="3" t="n">
        <v>1</v>
      </c>
      <c r="S510" s="3" t="n">
        <v>0</v>
      </c>
      <c r="T510" s="3" t="n">
        <v>1</v>
      </c>
      <c r="U510" s="3" t="n">
        <v>0</v>
      </c>
      <c r="V510" s="3" t="n">
        <v>1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1</v>
      </c>
      <c r="AC510" s="3" t="n">
        <v>0</v>
      </c>
      <c r="AD510" s="3" t="n">
        <v>0</v>
      </c>
      <c r="AE510" s="3" t="n">
        <v>1</v>
      </c>
      <c r="AF510" s="3" t="n">
        <v>0</v>
      </c>
      <c r="AG510" s="3" t="n">
        <v>0</v>
      </c>
      <c r="AH510" s="3" t="n">
        <v>0</v>
      </c>
      <c r="AI510" s="3" t="n">
        <v>1</v>
      </c>
      <c r="AJ510" s="4" t="n">
        <f aca="false">SUM(G510:AI510)</f>
        <v>10</v>
      </c>
      <c r="AK510" s="4" t="n">
        <f aca="false">ROUND(SUMPRODUCT(G510:AI510,Gene_Weights!$B$2:$AD$2),3)</f>
        <v>-7.04</v>
      </c>
      <c r="AL510" s="2" t="n">
        <v>11</v>
      </c>
      <c r="AM510" s="2" t="n">
        <v>7</v>
      </c>
      <c r="AN510" s="2" t="n">
        <v>63.64</v>
      </c>
      <c r="AO510" s="5" t="n">
        <v>58.19</v>
      </c>
      <c r="AP510" s="5" t="n">
        <v>59.74</v>
      </c>
      <c r="AQ510" s="5" t="n">
        <v>61.3</v>
      </c>
      <c r="AR510" s="5" t="n">
        <v>62.86</v>
      </c>
      <c r="AS510" s="5" t="n">
        <v>64.42</v>
      </c>
      <c r="AT510" s="5" t="n">
        <v>65.98</v>
      </c>
      <c r="AU510" s="5" t="n">
        <v>67.53</v>
      </c>
      <c r="AV510" s="5" t="s">
        <v>51</v>
      </c>
    </row>
    <row r="511" customFormat="false" ht="15" hidden="false" customHeight="false" outlineLevel="0" collapsed="false">
      <c r="A511" s="2" t="s">
        <v>140</v>
      </c>
      <c r="B511" s="2" t="n">
        <v>2011</v>
      </c>
      <c r="C511" s="2" t="s">
        <v>56</v>
      </c>
      <c r="D511" s="2" t="n">
        <v>1</v>
      </c>
      <c r="E511" s="2" t="n">
        <v>4</v>
      </c>
      <c r="F511" s="2" t="s">
        <v>50</v>
      </c>
      <c r="G511" s="3" t="n">
        <v>1</v>
      </c>
      <c r="H511" s="3" t="n">
        <v>0</v>
      </c>
      <c r="I511" s="3" t="n">
        <v>1</v>
      </c>
      <c r="J511" s="3" t="n">
        <v>0</v>
      </c>
      <c r="K511" s="3" t="n">
        <v>0</v>
      </c>
      <c r="L511" s="3" t="n">
        <v>0</v>
      </c>
      <c r="M511" s="3" t="n">
        <v>1</v>
      </c>
      <c r="N511" s="3" t="n">
        <v>0</v>
      </c>
      <c r="O511" s="3" t="n">
        <v>1</v>
      </c>
      <c r="P511" s="3" t="n">
        <v>0</v>
      </c>
      <c r="Q511" s="3" t="n">
        <v>0</v>
      </c>
      <c r="R511" s="3" t="n">
        <v>1</v>
      </c>
      <c r="S511" s="3" t="n">
        <v>0</v>
      </c>
      <c r="T511" s="3" t="n">
        <v>1</v>
      </c>
      <c r="U511" s="3" t="n">
        <v>0</v>
      </c>
      <c r="V511" s="3" t="n">
        <v>1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1</v>
      </c>
      <c r="AC511" s="3" t="n">
        <v>0</v>
      </c>
      <c r="AD511" s="3" t="n">
        <v>0</v>
      </c>
      <c r="AE511" s="3" t="n">
        <v>1</v>
      </c>
      <c r="AF511" s="3" t="n">
        <v>0</v>
      </c>
      <c r="AG511" s="3" t="n">
        <v>0</v>
      </c>
      <c r="AH511" s="3" t="n">
        <v>0</v>
      </c>
      <c r="AI511" s="3" t="n">
        <v>1</v>
      </c>
      <c r="AJ511" s="4" t="n">
        <f aca="false">SUM(G511:AI511)</f>
        <v>10</v>
      </c>
      <c r="AK511" s="4" t="n">
        <f aca="false">ROUND(SUMPRODUCT(G511:AI511,Gene_Weights!$B$2:$AD$2),3)</f>
        <v>-7.04</v>
      </c>
      <c r="AL511" s="2" t="n">
        <v>11</v>
      </c>
      <c r="AM511" s="2" t="n">
        <v>7</v>
      </c>
      <c r="AN511" s="2" t="n">
        <v>63.64</v>
      </c>
      <c r="AO511" s="5" t="n">
        <v>75.59</v>
      </c>
      <c r="AP511" s="5" t="n">
        <v>78.01</v>
      </c>
      <c r="AQ511" s="5" t="n">
        <v>80.42</v>
      </c>
      <c r="AR511" s="5" t="n">
        <v>82.83</v>
      </c>
      <c r="AS511" s="5" t="n">
        <v>85.24</v>
      </c>
      <c r="AT511" s="5" t="n">
        <v>87.66</v>
      </c>
      <c r="AU511" s="5" t="n">
        <v>90.07</v>
      </c>
      <c r="AV511" s="5" t="s">
        <v>51</v>
      </c>
    </row>
    <row r="512" customFormat="false" ht="15" hidden="false" customHeight="false" outlineLevel="0" collapsed="false">
      <c r="A512" s="2" t="s">
        <v>141</v>
      </c>
      <c r="B512" s="2" t="n">
        <v>2020</v>
      </c>
      <c r="C512" s="2" t="s">
        <v>49</v>
      </c>
      <c r="D512" s="2" t="n">
        <v>1</v>
      </c>
      <c r="E512" s="2" t="n">
        <v>16</v>
      </c>
      <c r="F512" s="2" t="s">
        <v>50</v>
      </c>
      <c r="G512" s="3" t="n">
        <v>1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1</v>
      </c>
      <c r="M512" s="3" t="n">
        <v>0</v>
      </c>
      <c r="N512" s="3" t="n">
        <v>0</v>
      </c>
      <c r="O512" s="3" t="n">
        <v>1</v>
      </c>
      <c r="P512" s="3" t="n">
        <v>0</v>
      </c>
      <c r="Q512" s="3" t="n">
        <v>1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1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1</v>
      </c>
      <c r="AF512" s="3" t="n">
        <v>0</v>
      </c>
      <c r="AG512" s="3" t="n">
        <v>0</v>
      </c>
      <c r="AH512" s="3" t="n">
        <v>0</v>
      </c>
      <c r="AI512" s="3" t="n">
        <v>0</v>
      </c>
      <c r="AJ512" s="4" t="n">
        <f aca="false">SUM(G512:AI512)</f>
        <v>8</v>
      </c>
      <c r="AK512" s="4" t="n">
        <f aca="false">ROUND(SUMPRODUCT(G512:AI512,Gene_Weights!$B$2:$AD$2),3)</f>
        <v>-4.5</v>
      </c>
      <c r="AL512" s="2" t="n">
        <v>5</v>
      </c>
      <c r="AM512" s="2" t="n">
        <v>2</v>
      </c>
      <c r="AN512" s="2" t="n">
        <v>40</v>
      </c>
      <c r="AO512" s="5" t="n">
        <v>55.12</v>
      </c>
      <c r="AP512" s="5" t="n">
        <v>56.02</v>
      </c>
      <c r="AQ512" s="5" t="n">
        <v>56.92</v>
      </c>
      <c r="AR512" s="5" t="n">
        <v>57.82</v>
      </c>
      <c r="AS512" s="5" t="n">
        <v>58.72</v>
      </c>
      <c r="AT512" s="5" t="n">
        <v>59.62</v>
      </c>
      <c r="AU512" s="5" t="n">
        <v>60.52</v>
      </c>
      <c r="AV512" s="5" t="s">
        <v>51</v>
      </c>
    </row>
    <row r="513" customFormat="false" ht="15" hidden="false" customHeight="false" outlineLevel="0" collapsed="false">
      <c r="A513" s="2" t="s">
        <v>141</v>
      </c>
      <c r="B513" s="2" t="n">
        <v>2020</v>
      </c>
      <c r="C513" s="2" t="s">
        <v>52</v>
      </c>
      <c r="D513" s="2" t="n">
        <v>1</v>
      </c>
      <c r="E513" s="2" t="n">
        <v>2</v>
      </c>
      <c r="F513" s="2" t="s">
        <v>50</v>
      </c>
      <c r="G513" s="3" t="n">
        <v>1</v>
      </c>
      <c r="H513" s="3" t="n">
        <v>1</v>
      </c>
      <c r="I513" s="3" t="n">
        <v>1</v>
      </c>
      <c r="J513" s="3" t="n">
        <v>0</v>
      </c>
      <c r="K513" s="3" t="n">
        <v>0</v>
      </c>
      <c r="L513" s="3" t="n">
        <v>1</v>
      </c>
      <c r="M513" s="3" t="n">
        <v>0</v>
      </c>
      <c r="N513" s="3" t="n">
        <v>0</v>
      </c>
      <c r="O513" s="3" t="n">
        <v>1</v>
      </c>
      <c r="P513" s="3" t="n">
        <v>0</v>
      </c>
      <c r="Q513" s="3" t="n">
        <v>1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1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1</v>
      </c>
      <c r="AF513" s="3" t="n">
        <v>0</v>
      </c>
      <c r="AG513" s="3" t="n">
        <v>0</v>
      </c>
      <c r="AH513" s="3" t="n">
        <v>0</v>
      </c>
      <c r="AI513" s="3" t="n">
        <v>0</v>
      </c>
      <c r="AJ513" s="4" t="n">
        <f aca="false">SUM(G513:AI513)</f>
        <v>8</v>
      </c>
      <c r="AK513" s="4" t="n">
        <f aca="false">ROUND(SUMPRODUCT(G513:AI513,Gene_Weights!$B$2:$AD$2),3)</f>
        <v>-4.5</v>
      </c>
      <c r="AL513" s="2" t="n">
        <v>5</v>
      </c>
      <c r="AM513" s="2" t="n">
        <v>4</v>
      </c>
      <c r="AN513" s="2" t="n">
        <v>80</v>
      </c>
      <c r="AO513" s="5" t="n">
        <v>64.53</v>
      </c>
      <c r="AP513" s="5" t="n">
        <v>66.13</v>
      </c>
      <c r="AQ513" s="5" t="n">
        <v>67.73</v>
      </c>
      <c r="AR513" s="5" t="n">
        <v>69.33</v>
      </c>
      <c r="AS513" s="5" t="n">
        <v>70.93</v>
      </c>
      <c r="AT513" s="5" t="n">
        <v>72.53</v>
      </c>
      <c r="AU513" s="5" t="n">
        <v>74.13</v>
      </c>
      <c r="AV513" s="5" t="s">
        <v>51</v>
      </c>
    </row>
    <row r="514" customFormat="false" ht="15" hidden="false" customHeight="false" outlineLevel="0" collapsed="false">
      <c r="A514" s="2" t="s">
        <v>141</v>
      </c>
      <c r="B514" s="2" t="n">
        <v>2020</v>
      </c>
      <c r="C514" s="2" t="s">
        <v>53</v>
      </c>
      <c r="D514" s="2" t="n">
        <v>0</v>
      </c>
      <c r="E514" s="2" t="n">
        <v>4</v>
      </c>
      <c r="F514" s="2" t="s">
        <v>50</v>
      </c>
      <c r="G514" s="3" t="n">
        <v>1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1</v>
      </c>
      <c r="M514" s="3" t="n">
        <v>0</v>
      </c>
      <c r="N514" s="3" t="n">
        <v>0</v>
      </c>
      <c r="O514" s="3" t="n">
        <v>1</v>
      </c>
      <c r="P514" s="3" t="n">
        <v>0</v>
      </c>
      <c r="Q514" s="3" t="n">
        <v>1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1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1</v>
      </c>
      <c r="AF514" s="3" t="n">
        <v>0</v>
      </c>
      <c r="AG514" s="3" t="n">
        <v>0</v>
      </c>
      <c r="AH514" s="3" t="n">
        <v>0</v>
      </c>
      <c r="AI514" s="3" t="n">
        <v>0</v>
      </c>
      <c r="AJ514" s="4" t="n">
        <f aca="false">SUM(G514:AI514)</f>
        <v>8</v>
      </c>
      <c r="AK514" s="4" t="n">
        <f aca="false">ROUND(SUMPRODUCT(G514:AI514,Gene_Weights!$B$2:$AD$2),3)</f>
        <v>-4.5</v>
      </c>
      <c r="AL514" s="2" t="n">
        <v>5</v>
      </c>
      <c r="AM514" s="2" t="n">
        <v>0</v>
      </c>
      <c r="AN514" s="2" t="n">
        <v>0</v>
      </c>
      <c r="AO514" s="5" t="n">
        <v>52.86</v>
      </c>
      <c r="AP514" s="5" t="n">
        <v>53.65</v>
      </c>
      <c r="AQ514" s="5" t="n">
        <v>54.45</v>
      </c>
      <c r="AR514" s="5" t="n">
        <v>55.24</v>
      </c>
      <c r="AS514" s="5" t="n">
        <v>56.03</v>
      </c>
      <c r="AT514" s="5" t="n">
        <v>56.83</v>
      </c>
      <c r="AU514" s="5" t="n">
        <v>57.62</v>
      </c>
      <c r="AV514" s="5" t="s">
        <v>51</v>
      </c>
    </row>
    <row r="515" customFormat="false" ht="15" hidden="false" customHeight="false" outlineLevel="0" collapsed="false">
      <c r="A515" s="2" t="s">
        <v>141</v>
      </c>
      <c r="B515" s="2" t="n">
        <v>2020</v>
      </c>
      <c r="C515" s="2" t="s">
        <v>54</v>
      </c>
      <c r="D515" s="2" t="n">
        <v>0</v>
      </c>
      <c r="E515" s="2" t="n">
        <v>2</v>
      </c>
      <c r="F515" s="2" t="s">
        <v>50</v>
      </c>
      <c r="G515" s="3" t="n">
        <v>1</v>
      </c>
      <c r="H515" s="3" t="n">
        <v>1</v>
      </c>
      <c r="I515" s="3" t="n">
        <v>1</v>
      </c>
      <c r="J515" s="3" t="n">
        <v>0</v>
      </c>
      <c r="K515" s="3" t="n">
        <v>0</v>
      </c>
      <c r="L515" s="3" t="n">
        <v>1</v>
      </c>
      <c r="M515" s="3" t="n">
        <v>0</v>
      </c>
      <c r="N515" s="3" t="n">
        <v>0</v>
      </c>
      <c r="O515" s="3" t="n">
        <v>1</v>
      </c>
      <c r="P515" s="3" t="n">
        <v>0</v>
      </c>
      <c r="Q515" s="3" t="n">
        <v>1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1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1</v>
      </c>
      <c r="AF515" s="3" t="n">
        <v>0</v>
      </c>
      <c r="AG515" s="3" t="n">
        <v>0</v>
      </c>
      <c r="AH515" s="3" t="n">
        <v>0</v>
      </c>
      <c r="AI515" s="3" t="n">
        <v>0</v>
      </c>
      <c r="AJ515" s="4" t="n">
        <f aca="false">SUM(G515:AI515)</f>
        <v>8</v>
      </c>
      <c r="AK515" s="4" t="n">
        <f aca="false">ROUND(SUMPRODUCT(G515:AI515,Gene_Weights!$B$2:$AD$2),3)</f>
        <v>-4.5</v>
      </c>
      <c r="AL515" s="2" t="n">
        <v>5</v>
      </c>
      <c r="AM515" s="2" t="n">
        <v>3</v>
      </c>
      <c r="AN515" s="2" t="n">
        <v>60</v>
      </c>
      <c r="AO515" s="5" t="n">
        <v>81.84</v>
      </c>
      <c r="AP515" s="5" t="n">
        <v>84.45</v>
      </c>
      <c r="AQ515" s="5" t="n">
        <v>87.06</v>
      </c>
      <c r="AR515" s="5" t="n">
        <v>89.67</v>
      </c>
      <c r="AS515" s="5" t="n">
        <v>92.27</v>
      </c>
      <c r="AT515" s="5" t="n">
        <v>94.88</v>
      </c>
      <c r="AU515" s="5" t="n">
        <v>97.49</v>
      </c>
      <c r="AV515" s="5" t="s">
        <v>51</v>
      </c>
    </row>
    <row r="516" customFormat="false" ht="15" hidden="false" customHeight="false" outlineLevel="0" collapsed="false">
      <c r="A516" s="2" t="s">
        <v>141</v>
      </c>
      <c r="B516" s="2" t="n">
        <v>2020</v>
      </c>
      <c r="C516" s="2" t="s">
        <v>55</v>
      </c>
      <c r="D516" s="2" t="n">
        <v>0</v>
      </c>
      <c r="E516" s="2" t="n">
        <v>16</v>
      </c>
      <c r="F516" s="2" t="s">
        <v>50</v>
      </c>
      <c r="G516" s="3" t="n">
        <v>1</v>
      </c>
      <c r="H516" s="3" t="n">
        <v>1</v>
      </c>
      <c r="I516" s="3" t="n">
        <v>1</v>
      </c>
      <c r="J516" s="3" t="n">
        <v>0</v>
      </c>
      <c r="K516" s="3" t="n">
        <v>0</v>
      </c>
      <c r="L516" s="3" t="n">
        <v>1</v>
      </c>
      <c r="M516" s="3" t="n">
        <v>0</v>
      </c>
      <c r="N516" s="3" t="n">
        <v>0</v>
      </c>
      <c r="O516" s="3" t="n">
        <v>1</v>
      </c>
      <c r="P516" s="3" t="n">
        <v>0</v>
      </c>
      <c r="Q516" s="3" t="n">
        <v>1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1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1</v>
      </c>
      <c r="AF516" s="3" t="n">
        <v>0</v>
      </c>
      <c r="AG516" s="3" t="n">
        <v>0</v>
      </c>
      <c r="AH516" s="3" t="n">
        <v>0</v>
      </c>
      <c r="AI516" s="3" t="n">
        <v>0</v>
      </c>
      <c r="AJ516" s="4" t="n">
        <f aca="false">SUM(G516:AI516)</f>
        <v>8</v>
      </c>
      <c r="AK516" s="4" t="n">
        <f aca="false">ROUND(SUMPRODUCT(G516:AI516,Gene_Weights!$B$2:$AD$2),3)</f>
        <v>-4.5</v>
      </c>
      <c r="AL516" s="2" t="n">
        <v>5</v>
      </c>
      <c r="AM516" s="2" t="n">
        <v>1</v>
      </c>
      <c r="AN516" s="2" t="n">
        <v>20</v>
      </c>
      <c r="AO516" s="5" t="n">
        <v>58.19</v>
      </c>
      <c r="AP516" s="5" t="n">
        <v>59.74</v>
      </c>
      <c r="AQ516" s="5" t="n">
        <v>61.3</v>
      </c>
      <c r="AR516" s="5" t="n">
        <v>62.86</v>
      </c>
      <c r="AS516" s="5" t="n">
        <v>64.42</v>
      </c>
      <c r="AT516" s="5" t="n">
        <v>65.98</v>
      </c>
      <c r="AU516" s="5" t="n">
        <v>67.53</v>
      </c>
      <c r="AV516" s="5" t="s">
        <v>51</v>
      </c>
    </row>
    <row r="517" customFormat="false" ht="15" hidden="false" customHeight="false" outlineLevel="0" collapsed="false">
      <c r="A517" s="2" t="s">
        <v>141</v>
      </c>
      <c r="B517" s="2" t="n">
        <v>2020</v>
      </c>
      <c r="C517" s="2" t="s">
        <v>56</v>
      </c>
      <c r="D517" s="2" t="n">
        <v>1</v>
      </c>
      <c r="E517" s="2" t="n">
        <v>2</v>
      </c>
      <c r="F517" s="2" t="s">
        <v>50</v>
      </c>
      <c r="G517" s="3" t="n">
        <v>1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1</v>
      </c>
      <c r="M517" s="3" t="n">
        <v>0</v>
      </c>
      <c r="N517" s="3" t="n">
        <v>0</v>
      </c>
      <c r="O517" s="3" t="n">
        <v>1</v>
      </c>
      <c r="P517" s="3" t="n">
        <v>0</v>
      </c>
      <c r="Q517" s="3" t="n">
        <v>1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1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1</v>
      </c>
      <c r="AF517" s="3" t="n">
        <v>0</v>
      </c>
      <c r="AG517" s="3" t="n">
        <v>0</v>
      </c>
      <c r="AH517" s="3" t="n">
        <v>0</v>
      </c>
      <c r="AI517" s="3" t="n">
        <v>0</v>
      </c>
      <c r="AJ517" s="4" t="n">
        <f aca="false">SUM(G517:AI517)</f>
        <v>8</v>
      </c>
      <c r="AK517" s="4" t="n">
        <f aca="false">ROUND(SUMPRODUCT(G517:AI517,Gene_Weights!$B$2:$AD$2),3)</f>
        <v>-4.5</v>
      </c>
      <c r="AL517" s="2" t="n">
        <v>5</v>
      </c>
      <c r="AM517" s="2" t="n">
        <v>4</v>
      </c>
      <c r="AN517" s="2" t="n">
        <v>80</v>
      </c>
      <c r="AO517" s="5" t="n">
        <v>75.59</v>
      </c>
      <c r="AP517" s="5" t="n">
        <v>78.01</v>
      </c>
      <c r="AQ517" s="5" t="n">
        <v>80.42</v>
      </c>
      <c r="AR517" s="5" t="n">
        <v>82.83</v>
      </c>
      <c r="AS517" s="5" t="n">
        <v>85.24</v>
      </c>
      <c r="AT517" s="5" t="n">
        <v>87.66</v>
      </c>
      <c r="AU517" s="5" t="n">
        <v>90.07</v>
      </c>
      <c r="AV517" s="5" t="s">
        <v>51</v>
      </c>
    </row>
    <row r="518" customFormat="false" ht="15" hidden="false" customHeight="false" outlineLevel="0" collapsed="false">
      <c r="A518" s="2" t="s">
        <v>142</v>
      </c>
      <c r="B518" s="2" t="n">
        <v>2023</v>
      </c>
      <c r="C518" s="2" t="s">
        <v>49</v>
      </c>
      <c r="D518" s="2" t="n">
        <v>0</v>
      </c>
      <c r="E518" s="2" t="n">
        <v>4</v>
      </c>
      <c r="F518" s="2" t="s">
        <v>50</v>
      </c>
      <c r="G518" s="3" t="n">
        <v>0</v>
      </c>
      <c r="H518" s="3" t="n">
        <v>1</v>
      </c>
      <c r="I518" s="3" t="n">
        <v>0</v>
      </c>
      <c r="J518" s="3" t="n">
        <v>0</v>
      </c>
      <c r="K518" s="3" t="n">
        <v>1</v>
      </c>
      <c r="L518" s="3" t="n">
        <v>1</v>
      </c>
      <c r="M518" s="3" t="n">
        <v>1</v>
      </c>
      <c r="N518" s="3" t="n">
        <v>0</v>
      </c>
      <c r="O518" s="3" t="n">
        <v>1</v>
      </c>
      <c r="P518" s="3" t="n">
        <v>0</v>
      </c>
      <c r="Q518" s="3" t="n">
        <v>1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1</v>
      </c>
      <c r="Y518" s="3" t="n">
        <v>1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1</v>
      </c>
      <c r="AG518" s="3" t="n">
        <v>0</v>
      </c>
      <c r="AH518" s="3" t="n">
        <v>0</v>
      </c>
      <c r="AI518" s="3" t="n">
        <v>0</v>
      </c>
      <c r="AJ518" s="4" t="n">
        <f aca="false">SUM(G518:AI518)</f>
        <v>9</v>
      </c>
      <c r="AK518" s="4" t="n">
        <f aca="false">ROUND(SUMPRODUCT(G518:AI518,Gene_Weights!$B$2:$AD$2),3)</f>
        <v>-7.34</v>
      </c>
      <c r="AL518" s="2" t="n">
        <v>9</v>
      </c>
      <c r="AM518" s="2" t="n">
        <v>5</v>
      </c>
      <c r="AN518" s="2" t="n">
        <v>55.56</v>
      </c>
      <c r="AO518" s="5" t="n">
        <v>55.12</v>
      </c>
      <c r="AP518" s="5" t="n">
        <v>56.02</v>
      </c>
      <c r="AQ518" s="5" t="n">
        <v>56.92</v>
      </c>
      <c r="AR518" s="5" t="n">
        <v>57.82</v>
      </c>
      <c r="AS518" s="5" t="n">
        <v>58.72</v>
      </c>
      <c r="AT518" s="5" t="n">
        <v>59.62</v>
      </c>
      <c r="AU518" s="5" t="n">
        <v>60.52</v>
      </c>
      <c r="AV518" s="5" t="s">
        <v>51</v>
      </c>
    </row>
    <row r="519" customFormat="false" ht="15" hidden="false" customHeight="false" outlineLevel="0" collapsed="false">
      <c r="A519" s="2" t="s">
        <v>142</v>
      </c>
      <c r="B519" s="2" t="n">
        <v>2023</v>
      </c>
      <c r="C519" s="2" t="s">
        <v>52</v>
      </c>
      <c r="D519" s="2" t="n">
        <v>1</v>
      </c>
      <c r="E519" s="2" t="n">
        <v>16</v>
      </c>
      <c r="F519" s="2" t="s">
        <v>50</v>
      </c>
      <c r="G519" s="3" t="n">
        <v>0</v>
      </c>
      <c r="H519" s="3" t="n">
        <v>1</v>
      </c>
      <c r="I519" s="3" t="n">
        <v>0</v>
      </c>
      <c r="J519" s="3" t="n">
        <v>0</v>
      </c>
      <c r="K519" s="3" t="n">
        <v>1</v>
      </c>
      <c r="L519" s="3" t="n">
        <v>1</v>
      </c>
      <c r="M519" s="3" t="n">
        <v>1</v>
      </c>
      <c r="N519" s="3" t="n">
        <v>0</v>
      </c>
      <c r="O519" s="3" t="n">
        <v>1</v>
      </c>
      <c r="P519" s="3" t="n">
        <v>0</v>
      </c>
      <c r="Q519" s="3" t="n">
        <v>1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1</v>
      </c>
      <c r="Y519" s="3" t="n">
        <v>1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1</v>
      </c>
      <c r="AG519" s="3" t="n">
        <v>0</v>
      </c>
      <c r="AH519" s="3" t="n">
        <v>0</v>
      </c>
      <c r="AI519" s="3" t="n">
        <v>0</v>
      </c>
      <c r="AJ519" s="4" t="n">
        <f aca="false">SUM(G519:AI519)</f>
        <v>9</v>
      </c>
      <c r="AK519" s="4" t="n">
        <f aca="false">ROUND(SUMPRODUCT(G519:AI519,Gene_Weights!$B$2:$AD$2),3)</f>
        <v>-7.34</v>
      </c>
      <c r="AL519" s="2" t="n">
        <v>9</v>
      </c>
      <c r="AM519" s="2" t="n">
        <v>7</v>
      </c>
      <c r="AN519" s="2" t="n">
        <v>77.78</v>
      </c>
      <c r="AO519" s="5" t="n">
        <v>64.53</v>
      </c>
      <c r="AP519" s="5" t="n">
        <v>66.13</v>
      </c>
      <c r="AQ519" s="5" t="n">
        <v>67.73</v>
      </c>
      <c r="AR519" s="5" t="n">
        <v>69.33</v>
      </c>
      <c r="AS519" s="5" t="n">
        <v>70.93</v>
      </c>
      <c r="AT519" s="5" t="n">
        <v>72.53</v>
      </c>
      <c r="AU519" s="5" t="n">
        <v>74.13</v>
      </c>
      <c r="AV519" s="5" t="s">
        <v>51</v>
      </c>
    </row>
    <row r="520" customFormat="false" ht="15" hidden="false" customHeight="false" outlineLevel="0" collapsed="false">
      <c r="A520" s="2" t="s">
        <v>142</v>
      </c>
      <c r="B520" s="2" t="n">
        <v>2023</v>
      </c>
      <c r="C520" s="2" t="s">
        <v>53</v>
      </c>
      <c r="D520" s="2" t="n">
        <v>0</v>
      </c>
      <c r="E520" s="2" t="n">
        <v>2</v>
      </c>
      <c r="F520" s="2" t="s">
        <v>50</v>
      </c>
      <c r="G520" s="3" t="n">
        <v>0</v>
      </c>
      <c r="H520" s="3" t="n">
        <v>1</v>
      </c>
      <c r="I520" s="3" t="n">
        <v>0</v>
      </c>
      <c r="J520" s="3" t="n">
        <v>0</v>
      </c>
      <c r="K520" s="3" t="n">
        <v>1</v>
      </c>
      <c r="L520" s="3" t="n">
        <v>1</v>
      </c>
      <c r="M520" s="3" t="n">
        <v>1</v>
      </c>
      <c r="N520" s="3" t="n">
        <v>0</v>
      </c>
      <c r="O520" s="3" t="n">
        <v>1</v>
      </c>
      <c r="P520" s="3" t="n">
        <v>0</v>
      </c>
      <c r="Q520" s="3" t="n">
        <v>1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1</v>
      </c>
      <c r="Y520" s="3" t="n">
        <v>1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1</v>
      </c>
      <c r="AG520" s="3" t="n">
        <v>0</v>
      </c>
      <c r="AH520" s="3" t="n">
        <v>0</v>
      </c>
      <c r="AI520" s="3" t="n">
        <v>0</v>
      </c>
      <c r="AJ520" s="4" t="n">
        <f aca="false">SUM(G520:AI520)</f>
        <v>9</v>
      </c>
      <c r="AK520" s="4" t="n">
        <f aca="false">ROUND(SUMPRODUCT(G520:AI520,Gene_Weights!$B$2:$AD$2),3)</f>
        <v>-7.34</v>
      </c>
      <c r="AL520" s="2" t="n">
        <v>9</v>
      </c>
      <c r="AM520" s="2" t="n">
        <v>5</v>
      </c>
      <c r="AN520" s="2" t="n">
        <v>55.56</v>
      </c>
      <c r="AO520" s="5" t="n">
        <v>52.86</v>
      </c>
      <c r="AP520" s="5" t="n">
        <v>53.65</v>
      </c>
      <c r="AQ520" s="5" t="n">
        <v>54.45</v>
      </c>
      <c r="AR520" s="5" t="n">
        <v>55.24</v>
      </c>
      <c r="AS520" s="5" t="n">
        <v>56.03</v>
      </c>
      <c r="AT520" s="5" t="n">
        <v>56.83</v>
      </c>
      <c r="AU520" s="5" t="n">
        <v>57.62</v>
      </c>
      <c r="AV520" s="5" t="s">
        <v>51</v>
      </c>
    </row>
    <row r="521" customFormat="false" ht="15" hidden="false" customHeight="false" outlineLevel="0" collapsed="false">
      <c r="A521" s="2" t="s">
        <v>142</v>
      </c>
      <c r="B521" s="2" t="n">
        <v>2023</v>
      </c>
      <c r="C521" s="2" t="s">
        <v>54</v>
      </c>
      <c r="D521" s="2" t="n">
        <v>1</v>
      </c>
      <c r="E521" s="2" t="n">
        <v>16</v>
      </c>
      <c r="F521" s="2" t="s">
        <v>50</v>
      </c>
      <c r="G521" s="3" t="n">
        <v>0</v>
      </c>
      <c r="H521" s="3" t="n">
        <v>1</v>
      </c>
      <c r="I521" s="3" t="n">
        <v>0</v>
      </c>
      <c r="J521" s="3" t="n">
        <v>0</v>
      </c>
      <c r="K521" s="3" t="n">
        <v>1</v>
      </c>
      <c r="L521" s="3" t="n">
        <v>1</v>
      </c>
      <c r="M521" s="3" t="n">
        <v>1</v>
      </c>
      <c r="N521" s="3" t="n">
        <v>0</v>
      </c>
      <c r="O521" s="3" t="n">
        <v>1</v>
      </c>
      <c r="P521" s="3" t="n">
        <v>0</v>
      </c>
      <c r="Q521" s="3" t="n">
        <v>1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1</v>
      </c>
      <c r="Y521" s="3" t="n">
        <v>1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1</v>
      </c>
      <c r="AG521" s="3" t="n">
        <v>0</v>
      </c>
      <c r="AH521" s="3" t="n">
        <v>0</v>
      </c>
      <c r="AI521" s="3" t="n">
        <v>0</v>
      </c>
      <c r="AJ521" s="4" t="n">
        <f aca="false">SUM(G521:AI521)</f>
        <v>9</v>
      </c>
      <c r="AK521" s="4" t="n">
        <f aca="false">ROUND(SUMPRODUCT(G521:AI521,Gene_Weights!$B$2:$AD$2),3)</f>
        <v>-7.34</v>
      </c>
      <c r="AL521" s="2" t="n">
        <v>9</v>
      </c>
      <c r="AM521" s="2" t="n">
        <v>7</v>
      </c>
      <c r="AN521" s="2" t="n">
        <v>77.78</v>
      </c>
      <c r="AO521" s="5" t="n">
        <v>81.84</v>
      </c>
      <c r="AP521" s="5" t="n">
        <v>84.45</v>
      </c>
      <c r="AQ521" s="5" t="n">
        <v>87.06</v>
      </c>
      <c r="AR521" s="5" t="n">
        <v>89.67</v>
      </c>
      <c r="AS521" s="5" t="n">
        <v>92.27</v>
      </c>
      <c r="AT521" s="5" t="n">
        <v>94.88</v>
      </c>
      <c r="AU521" s="5" t="n">
        <v>97.49</v>
      </c>
      <c r="AV521" s="5" t="s">
        <v>51</v>
      </c>
    </row>
    <row r="522" customFormat="false" ht="15" hidden="false" customHeight="false" outlineLevel="0" collapsed="false">
      <c r="A522" s="2" t="s">
        <v>142</v>
      </c>
      <c r="B522" s="2" t="n">
        <v>2023</v>
      </c>
      <c r="C522" s="2" t="s">
        <v>55</v>
      </c>
      <c r="D522" s="2" t="n">
        <v>1</v>
      </c>
      <c r="E522" s="2" t="n">
        <v>16</v>
      </c>
      <c r="F522" s="2" t="s">
        <v>50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1</v>
      </c>
      <c r="L522" s="3" t="n">
        <v>1</v>
      </c>
      <c r="M522" s="3" t="n">
        <v>1</v>
      </c>
      <c r="N522" s="3" t="n">
        <v>0</v>
      </c>
      <c r="O522" s="3" t="n">
        <v>1</v>
      </c>
      <c r="P522" s="3" t="n">
        <v>0</v>
      </c>
      <c r="Q522" s="3" t="n">
        <v>1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1</v>
      </c>
      <c r="Y522" s="3" t="n">
        <v>1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1</v>
      </c>
      <c r="AG522" s="3" t="n">
        <v>0</v>
      </c>
      <c r="AH522" s="3" t="n">
        <v>0</v>
      </c>
      <c r="AI522" s="3" t="n">
        <v>0</v>
      </c>
      <c r="AJ522" s="4" t="n">
        <f aca="false">SUM(G522:AI522)</f>
        <v>9</v>
      </c>
      <c r="AK522" s="4" t="n">
        <f aca="false">ROUND(SUMPRODUCT(G522:AI522,Gene_Weights!$B$2:$AD$2),3)</f>
        <v>-7.34</v>
      </c>
      <c r="AL522" s="2" t="n">
        <v>9</v>
      </c>
      <c r="AM522" s="2" t="n">
        <v>2</v>
      </c>
      <c r="AN522" s="2" t="n">
        <v>22.22</v>
      </c>
      <c r="AO522" s="5" t="n">
        <v>58.19</v>
      </c>
      <c r="AP522" s="5" t="n">
        <v>59.74</v>
      </c>
      <c r="AQ522" s="5" t="n">
        <v>61.3</v>
      </c>
      <c r="AR522" s="5" t="n">
        <v>62.86</v>
      </c>
      <c r="AS522" s="5" t="n">
        <v>64.42</v>
      </c>
      <c r="AT522" s="5" t="n">
        <v>65.98</v>
      </c>
      <c r="AU522" s="5" t="n">
        <v>67.53</v>
      </c>
      <c r="AV522" s="5" t="s">
        <v>51</v>
      </c>
    </row>
    <row r="523" customFormat="false" ht="15" hidden="false" customHeight="false" outlineLevel="0" collapsed="false">
      <c r="A523" s="2" t="s">
        <v>142</v>
      </c>
      <c r="B523" s="2" t="n">
        <v>2023</v>
      </c>
      <c r="C523" s="2" t="s">
        <v>56</v>
      </c>
      <c r="D523" s="2" t="n">
        <v>1</v>
      </c>
      <c r="E523" s="2" t="n">
        <v>2</v>
      </c>
      <c r="F523" s="2" t="s">
        <v>50</v>
      </c>
      <c r="G523" s="3" t="n">
        <v>0</v>
      </c>
      <c r="H523" s="3" t="n">
        <v>1</v>
      </c>
      <c r="I523" s="3" t="n">
        <v>0</v>
      </c>
      <c r="J523" s="3" t="n">
        <v>0</v>
      </c>
      <c r="K523" s="3" t="n">
        <v>1</v>
      </c>
      <c r="L523" s="3" t="n">
        <v>1</v>
      </c>
      <c r="M523" s="3" t="n">
        <v>1</v>
      </c>
      <c r="N523" s="3" t="n">
        <v>0</v>
      </c>
      <c r="O523" s="3" t="n">
        <v>1</v>
      </c>
      <c r="P523" s="3" t="n">
        <v>0</v>
      </c>
      <c r="Q523" s="3" t="n">
        <v>1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1</v>
      </c>
      <c r="Y523" s="3" t="n">
        <v>1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1</v>
      </c>
      <c r="AG523" s="3" t="n">
        <v>0</v>
      </c>
      <c r="AH523" s="3" t="n">
        <v>0</v>
      </c>
      <c r="AI523" s="3" t="n">
        <v>0</v>
      </c>
      <c r="AJ523" s="4" t="n">
        <f aca="false">SUM(G523:AI523)</f>
        <v>9</v>
      </c>
      <c r="AK523" s="4" t="n">
        <f aca="false">ROUND(SUMPRODUCT(G523:AI523,Gene_Weights!$B$2:$AD$2),3)</f>
        <v>-7.34</v>
      </c>
      <c r="AL523" s="2" t="n">
        <v>9</v>
      </c>
      <c r="AM523" s="2" t="n">
        <v>5</v>
      </c>
      <c r="AN523" s="2" t="n">
        <v>55.56</v>
      </c>
      <c r="AO523" s="5" t="n">
        <v>75.59</v>
      </c>
      <c r="AP523" s="5" t="n">
        <v>78.01</v>
      </c>
      <c r="AQ523" s="5" t="n">
        <v>80.42</v>
      </c>
      <c r="AR523" s="5" t="n">
        <v>82.83</v>
      </c>
      <c r="AS523" s="5" t="n">
        <v>85.24</v>
      </c>
      <c r="AT523" s="5" t="n">
        <v>87.66</v>
      </c>
      <c r="AU523" s="5" t="n">
        <v>90.07</v>
      </c>
      <c r="AV523" s="5" t="s">
        <v>51</v>
      </c>
    </row>
    <row r="524" customFormat="false" ht="15" hidden="false" customHeight="false" outlineLevel="0" collapsed="false">
      <c r="A524" s="2" t="s">
        <v>143</v>
      </c>
      <c r="B524" s="2" t="n">
        <v>2004</v>
      </c>
      <c r="C524" s="2" t="s">
        <v>49</v>
      </c>
      <c r="D524" s="2" t="n">
        <v>1</v>
      </c>
      <c r="E524" s="2" t="n">
        <v>2</v>
      </c>
      <c r="F524" s="2" t="s">
        <v>50</v>
      </c>
      <c r="G524" s="3" t="n">
        <v>0</v>
      </c>
      <c r="H524" s="3" t="n">
        <v>0</v>
      </c>
      <c r="I524" s="3" t="n">
        <v>0</v>
      </c>
      <c r="J524" s="3" t="n">
        <v>1</v>
      </c>
      <c r="K524" s="3" t="n">
        <v>0</v>
      </c>
      <c r="L524" s="3" t="n">
        <v>0</v>
      </c>
      <c r="M524" s="3" t="n">
        <v>0</v>
      </c>
      <c r="N524" s="3" t="n">
        <v>1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1</v>
      </c>
      <c r="W524" s="3" t="n">
        <v>0</v>
      </c>
      <c r="X524" s="3" t="n">
        <v>1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1</v>
      </c>
      <c r="AF524" s="3" t="n">
        <v>1</v>
      </c>
      <c r="AG524" s="3" t="n">
        <v>0</v>
      </c>
      <c r="AH524" s="3" t="n">
        <v>0</v>
      </c>
      <c r="AI524" s="3" t="n">
        <v>0</v>
      </c>
      <c r="AJ524" s="4" t="n">
        <f aca="false">SUM(G524:AI524)</f>
        <v>6</v>
      </c>
      <c r="AK524" s="4" t="n">
        <f aca="false">ROUND(SUMPRODUCT(G524:AI524,Gene_Weights!$B$2:$AD$2),3)</f>
        <v>-3.08</v>
      </c>
      <c r="AL524" s="2" t="n">
        <v>5</v>
      </c>
      <c r="AM524" s="2" t="n">
        <v>2</v>
      </c>
      <c r="AN524" s="2" t="n">
        <v>40</v>
      </c>
      <c r="AO524" s="5" t="n">
        <v>55.12</v>
      </c>
      <c r="AP524" s="5" t="n">
        <v>56.02</v>
      </c>
      <c r="AQ524" s="5" t="n">
        <v>56.92</v>
      </c>
      <c r="AR524" s="5" t="n">
        <v>57.82</v>
      </c>
      <c r="AS524" s="5" t="n">
        <v>58.72</v>
      </c>
      <c r="AT524" s="5" t="n">
        <v>59.62</v>
      </c>
      <c r="AU524" s="5" t="n">
        <v>60.52</v>
      </c>
      <c r="AV524" s="5" t="s">
        <v>51</v>
      </c>
    </row>
    <row r="525" customFormat="false" ht="15" hidden="false" customHeight="false" outlineLevel="0" collapsed="false">
      <c r="A525" s="2" t="s">
        <v>143</v>
      </c>
      <c r="B525" s="2" t="n">
        <v>2004</v>
      </c>
      <c r="C525" s="2" t="s">
        <v>52</v>
      </c>
      <c r="D525" s="2" t="n">
        <v>0</v>
      </c>
      <c r="E525" s="2" t="n">
        <v>2</v>
      </c>
      <c r="F525" s="2" t="s">
        <v>50</v>
      </c>
      <c r="G525" s="3" t="n">
        <v>0</v>
      </c>
      <c r="H525" s="3" t="n">
        <v>0</v>
      </c>
      <c r="I525" s="3" t="n">
        <v>0</v>
      </c>
      <c r="J525" s="3" t="n">
        <v>1</v>
      </c>
      <c r="K525" s="3" t="n">
        <v>0</v>
      </c>
      <c r="L525" s="3" t="n">
        <v>0</v>
      </c>
      <c r="M525" s="3" t="n">
        <v>0</v>
      </c>
      <c r="N525" s="3" t="n">
        <v>1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1</v>
      </c>
      <c r="W525" s="3" t="n">
        <v>0</v>
      </c>
      <c r="X525" s="3" t="n">
        <v>1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1</v>
      </c>
      <c r="AF525" s="3" t="n">
        <v>1</v>
      </c>
      <c r="AG525" s="3" t="n">
        <v>0</v>
      </c>
      <c r="AH525" s="3" t="n">
        <v>0</v>
      </c>
      <c r="AI525" s="3" t="n">
        <v>0</v>
      </c>
      <c r="AJ525" s="4" t="n">
        <f aca="false">SUM(G525:AI525)</f>
        <v>6</v>
      </c>
      <c r="AK525" s="4" t="n">
        <f aca="false">ROUND(SUMPRODUCT(G525:AI525,Gene_Weights!$B$2:$AD$2),3)</f>
        <v>-3.08</v>
      </c>
      <c r="AL525" s="2" t="n">
        <v>5</v>
      </c>
      <c r="AM525" s="2" t="n">
        <v>1</v>
      </c>
      <c r="AN525" s="2" t="n">
        <v>20</v>
      </c>
      <c r="AO525" s="5" t="n">
        <v>64.53</v>
      </c>
      <c r="AP525" s="5" t="n">
        <v>66.13</v>
      </c>
      <c r="AQ525" s="5" t="n">
        <v>67.73</v>
      </c>
      <c r="AR525" s="5" t="n">
        <v>69.33</v>
      </c>
      <c r="AS525" s="5" t="n">
        <v>70.93</v>
      </c>
      <c r="AT525" s="5" t="n">
        <v>72.53</v>
      </c>
      <c r="AU525" s="5" t="n">
        <v>74.13</v>
      </c>
      <c r="AV525" s="5" t="s">
        <v>51</v>
      </c>
    </row>
    <row r="526" customFormat="false" ht="15" hidden="false" customHeight="false" outlineLevel="0" collapsed="false">
      <c r="A526" s="2" t="s">
        <v>143</v>
      </c>
      <c r="B526" s="2" t="n">
        <v>2004</v>
      </c>
      <c r="C526" s="2" t="s">
        <v>53</v>
      </c>
      <c r="D526" s="2" t="n">
        <v>0</v>
      </c>
      <c r="E526" s="2" t="n">
        <v>16</v>
      </c>
      <c r="F526" s="2" t="s">
        <v>50</v>
      </c>
      <c r="G526" s="3" t="n">
        <v>0</v>
      </c>
      <c r="H526" s="3" t="n">
        <v>0</v>
      </c>
      <c r="I526" s="3" t="n">
        <v>0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1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1</v>
      </c>
      <c r="W526" s="3" t="n">
        <v>0</v>
      </c>
      <c r="X526" s="3" t="n">
        <v>1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1</v>
      </c>
      <c r="AF526" s="3" t="n">
        <v>1</v>
      </c>
      <c r="AG526" s="3" t="n">
        <v>0</v>
      </c>
      <c r="AH526" s="3" t="n">
        <v>0</v>
      </c>
      <c r="AI526" s="3" t="n">
        <v>0</v>
      </c>
      <c r="AJ526" s="4" t="n">
        <f aca="false">SUM(G526:AI526)</f>
        <v>6</v>
      </c>
      <c r="AK526" s="4" t="n">
        <f aca="false">ROUND(SUMPRODUCT(G526:AI526,Gene_Weights!$B$2:$AD$2),3)</f>
        <v>-3.08</v>
      </c>
      <c r="AL526" s="2" t="n">
        <v>5</v>
      </c>
      <c r="AM526" s="2" t="n">
        <v>1</v>
      </c>
      <c r="AN526" s="2" t="n">
        <v>20</v>
      </c>
      <c r="AO526" s="5" t="n">
        <v>52.86</v>
      </c>
      <c r="AP526" s="5" t="n">
        <v>53.65</v>
      </c>
      <c r="AQ526" s="5" t="n">
        <v>54.45</v>
      </c>
      <c r="AR526" s="5" t="n">
        <v>55.24</v>
      </c>
      <c r="AS526" s="5" t="n">
        <v>56.03</v>
      </c>
      <c r="AT526" s="5" t="n">
        <v>56.83</v>
      </c>
      <c r="AU526" s="5" t="n">
        <v>57.62</v>
      </c>
      <c r="AV526" s="5" t="s">
        <v>51</v>
      </c>
    </row>
    <row r="527" customFormat="false" ht="15" hidden="false" customHeight="false" outlineLevel="0" collapsed="false">
      <c r="A527" s="2" t="s">
        <v>143</v>
      </c>
      <c r="B527" s="2" t="n">
        <v>2004</v>
      </c>
      <c r="C527" s="2" t="s">
        <v>54</v>
      </c>
      <c r="D527" s="2" t="n">
        <v>0</v>
      </c>
      <c r="E527" s="2" t="n">
        <v>32</v>
      </c>
      <c r="F527" s="2" t="s">
        <v>50</v>
      </c>
      <c r="G527" s="3" t="n">
        <v>0</v>
      </c>
      <c r="H527" s="3" t="n">
        <v>0</v>
      </c>
      <c r="I527" s="3" t="n">
        <v>0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1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1</v>
      </c>
      <c r="W527" s="3" t="n">
        <v>0</v>
      </c>
      <c r="X527" s="3" t="n">
        <v>1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1</v>
      </c>
      <c r="AF527" s="3" t="n">
        <v>1</v>
      </c>
      <c r="AG527" s="3" t="n">
        <v>0</v>
      </c>
      <c r="AH527" s="3" t="n">
        <v>0</v>
      </c>
      <c r="AI527" s="3" t="n">
        <v>0</v>
      </c>
      <c r="AJ527" s="4" t="n">
        <f aca="false">SUM(G527:AI527)</f>
        <v>6</v>
      </c>
      <c r="AK527" s="4" t="n">
        <f aca="false">ROUND(SUMPRODUCT(G527:AI527,Gene_Weights!$B$2:$AD$2),3)</f>
        <v>-3.08</v>
      </c>
      <c r="AL527" s="2" t="n">
        <v>5</v>
      </c>
      <c r="AM527" s="2" t="n">
        <v>1</v>
      </c>
      <c r="AN527" s="2" t="n">
        <v>20</v>
      </c>
      <c r="AO527" s="5" t="n">
        <v>81.84</v>
      </c>
      <c r="AP527" s="5" t="n">
        <v>84.45</v>
      </c>
      <c r="AQ527" s="5" t="n">
        <v>87.06</v>
      </c>
      <c r="AR527" s="5" t="n">
        <v>89.67</v>
      </c>
      <c r="AS527" s="5" t="n">
        <v>92.27</v>
      </c>
      <c r="AT527" s="5" t="n">
        <v>94.88</v>
      </c>
      <c r="AU527" s="5" t="n">
        <v>97.49</v>
      </c>
      <c r="AV527" s="5" t="s">
        <v>51</v>
      </c>
    </row>
    <row r="528" customFormat="false" ht="15" hidden="false" customHeight="false" outlineLevel="0" collapsed="false">
      <c r="A528" s="2" t="s">
        <v>143</v>
      </c>
      <c r="B528" s="2" t="n">
        <v>2004</v>
      </c>
      <c r="C528" s="2" t="s">
        <v>55</v>
      </c>
      <c r="D528" s="2" t="n">
        <v>1</v>
      </c>
      <c r="E528" s="2" t="n">
        <v>2</v>
      </c>
      <c r="F528" s="2" t="s">
        <v>50</v>
      </c>
      <c r="G528" s="3" t="n">
        <v>0</v>
      </c>
      <c r="H528" s="3" t="n">
        <v>0</v>
      </c>
      <c r="I528" s="3" t="n">
        <v>0</v>
      </c>
      <c r="J528" s="3" t="n">
        <v>1</v>
      </c>
      <c r="K528" s="3" t="n">
        <v>0</v>
      </c>
      <c r="L528" s="3" t="n">
        <v>0</v>
      </c>
      <c r="M528" s="3" t="n">
        <v>0</v>
      </c>
      <c r="N528" s="3" t="n">
        <v>1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1</v>
      </c>
      <c r="W528" s="3" t="n">
        <v>0</v>
      </c>
      <c r="X528" s="3" t="n">
        <v>1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1</v>
      </c>
      <c r="AF528" s="3" t="n">
        <v>1</v>
      </c>
      <c r="AG528" s="3" t="n">
        <v>0</v>
      </c>
      <c r="AH528" s="3" t="n">
        <v>0</v>
      </c>
      <c r="AI528" s="3" t="n">
        <v>0</v>
      </c>
      <c r="AJ528" s="4" t="n">
        <f aca="false">SUM(G528:AI528)</f>
        <v>6</v>
      </c>
      <c r="AK528" s="4" t="n">
        <f aca="false">ROUND(SUMPRODUCT(G528:AI528,Gene_Weights!$B$2:$AD$2),3)</f>
        <v>-3.08</v>
      </c>
      <c r="AL528" s="2" t="n">
        <v>5</v>
      </c>
      <c r="AM528" s="2" t="n">
        <v>3</v>
      </c>
      <c r="AN528" s="2" t="n">
        <v>60</v>
      </c>
      <c r="AO528" s="5" t="n">
        <v>58.19</v>
      </c>
      <c r="AP528" s="5" t="n">
        <v>59.74</v>
      </c>
      <c r="AQ528" s="5" t="n">
        <v>61.3</v>
      </c>
      <c r="AR528" s="5" t="n">
        <v>62.86</v>
      </c>
      <c r="AS528" s="5" t="n">
        <v>64.42</v>
      </c>
      <c r="AT528" s="5" t="n">
        <v>65.98</v>
      </c>
      <c r="AU528" s="5" t="n">
        <v>67.53</v>
      </c>
      <c r="AV528" s="5" t="s">
        <v>51</v>
      </c>
    </row>
    <row r="529" customFormat="false" ht="15" hidden="false" customHeight="false" outlineLevel="0" collapsed="false">
      <c r="A529" s="2" t="s">
        <v>143</v>
      </c>
      <c r="B529" s="2" t="n">
        <v>2004</v>
      </c>
      <c r="C529" s="2" t="s">
        <v>56</v>
      </c>
      <c r="D529" s="2" t="n">
        <v>1</v>
      </c>
      <c r="E529" s="2" t="n">
        <v>32</v>
      </c>
      <c r="F529" s="2" t="s">
        <v>50</v>
      </c>
      <c r="G529" s="3" t="n">
        <v>0</v>
      </c>
      <c r="H529" s="3" t="n">
        <v>0</v>
      </c>
      <c r="I529" s="3" t="n">
        <v>0</v>
      </c>
      <c r="J529" s="3" t="n">
        <v>1</v>
      </c>
      <c r="K529" s="3" t="n">
        <v>0</v>
      </c>
      <c r="L529" s="3" t="n">
        <v>0</v>
      </c>
      <c r="M529" s="3" t="n">
        <v>0</v>
      </c>
      <c r="N529" s="3" t="n">
        <v>1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1</v>
      </c>
      <c r="W529" s="3" t="n">
        <v>0</v>
      </c>
      <c r="X529" s="3" t="n">
        <v>1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1</v>
      </c>
      <c r="AF529" s="3" t="n">
        <v>1</v>
      </c>
      <c r="AG529" s="3" t="n">
        <v>0</v>
      </c>
      <c r="AH529" s="3" t="n">
        <v>0</v>
      </c>
      <c r="AI529" s="3" t="n">
        <v>0</v>
      </c>
      <c r="AJ529" s="4" t="n">
        <f aca="false">SUM(G529:AI529)</f>
        <v>6</v>
      </c>
      <c r="AK529" s="4" t="n">
        <f aca="false">ROUND(SUMPRODUCT(G529:AI529,Gene_Weights!$B$2:$AD$2),3)</f>
        <v>-3.08</v>
      </c>
      <c r="AL529" s="2" t="n">
        <v>5</v>
      </c>
      <c r="AM529" s="2" t="n">
        <v>1</v>
      </c>
      <c r="AN529" s="2" t="n">
        <v>20</v>
      </c>
      <c r="AO529" s="5" t="n">
        <v>75.59</v>
      </c>
      <c r="AP529" s="5" t="n">
        <v>78.01</v>
      </c>
      <c r="AQ529" s="5" t="n">
        <v>80.42</v>
      </c>
      <c r="AR529" s="5" t="n">
        <v>82.83</v>
      </c>
      <c r="AS529" s="5" t="n">
        <v>85.24</v>
      </c>
      <c r="AT529" s="5" t="n">
        <v>87.66</v>
      </c>
      <c r="AU529" s="5" t="n">
        <v>90.07</v>
      </c>
      <c r="AV529" s="5" t="s">
        <v>51</v>
      </c>
    </row>
    <row r="530" customFormat="false" ht="15" hidden="false" customHeight="false" outlineLevel="0" collapsed="false">
      <c r="A530" s="2" t="s">
        <v>144</v>
      </c>
      <c r="B530" s="2" t="n">
        <v>2006</v>
      </c>
      <c r="C530" s="2" t="s">
        <v>49</v>
      </c>
      <c r="D530" s="2" t="n">
        <v>1</v>
      </c>
      <c r="E530" s="2" t="n">
        <v>4</v>
      </c>
      <c r="F530" s="2" t="s">
        <v>50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1</v>
      </c>
      <c r="X530" s="3" t="n">
        <v>0</v>
      </c>
      <c r="Y530" s="3" t="n">
        <v>1</v>
      </c>
      <c r="Z530" s="3" t="n">
        <v>1</v>
      </c>
      <c r="AA530" s="3" t="n">
        <v>1</v>
      </c>
      <c r="AB530" s="3" t="n">
        <v>1</v>
      </c>
      <c r="AC530" s="3" t="n">
        <v>0</v>
      </c>
      <c r="AD530" s="3" t="n">
        <v>0</v>
      </c>
      <c r="AE530" s="3" t="n">
        <v>1</v>
      </c>
      <c r="AF530" s="3" t="n">
        <v>1</v>
      </c>
      <c r="AG530" s="3" t="n">
        <v>0</v>
      </c>
      <c r="AH530" s="3" t="n">
        <v>1</v>
      </c>
      <c r="AI530" s="3" t="n">
        <v>0</v>
      </c>
      <c r="AJ530" s="4" t="n">
        <f aca="false">SUM(G530:AI530)</f>
        <v>9</v>
      </c>
      <c r="AK530" s="4" t="n">
        <f aca="false">ROUND(SUMPRODUCT(G530:AI530,Gene_Weights!$B$2:$AD$2),3)</f>
        <v>-3.81</v>
      </c>
      <c r="AL530" s="2" t="n">
        <v>6</v>
      </c>
      <c r="AM530" s="2" t="n">
        <v>3</v>
      </c>
      <c r="AN530" s="2" t="n">
        <v>50</v>
      </c>
      <c r="AO530" s="5" t="n">
        <v>55.12</v>
      </c>
      <c r="AP530" s="5" t="n">
        <v>56.02</v>
      </c>
      <c r="AQ530" s="5" t="n">
        <v>56.92</v>
      </c>
      <c r="AR530" s="5" t="n">
        <v>57.82</v>
      </c>
      <c r="AS530" s="5" t="n">
        <v>58.72</v>
      </c>
      <c r="AT530" s="5" t="n">
        <v>59.62</v>
      </c>
      <c r="AU530" s="5" t="n">
        <v>60.52</v>
      </c>
      <c r="AV530" s="5" t="s">
        <v>51</v>
      </c>
    </row>
    <row r="531" customFormat="false" ht="15" hidden="false" customHeight="false" outlineLevel="0" collapsed="false">
      <c r="A531" s="2" t="s">
        <v>144</v>
      </c>
      <c r="B531" s="2" t="n">
        <v>2006</v>
      </c>
      <c r="C531" s="2" t="s">
        <v>52</v>
      </c>
      <c r="D531" s="2" t="n">
        <v>0</v>
      </c>
      <c r="E531" s="2" t="n">
        <v>16</v>
      </c>
      <c r="F531" s="2" t="s">
        <v>50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1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1</v>
      </c>
      <c r="X531" s="3" t="n">
        <v>0</v>
      </c>
      <c r="Y531" s="3" t="n">
        <v>1</v>
      </c>
      <c r="Z531" s="3" t="n">
        <v>1</v>
      </c>
      <c r="AA531" s="3" t="n">
        <v>1</v>
      </c>
      <c r="AB531" s="3" t="n">
        <v>1</v>
      </c>
      <c r="AC531" s="3" t="n">
        <v>0</v>
      </c>
      <c r="AD531" s="3" t="n">
        <v>0</v>
      </c>
      <c r="AE531" s="3" t="n">
        <v>1</v>
      </c>
      <c r="AF531" s="3" t="n">
        <v>1</v>
      </c>
      <c r="AG531" s="3" t="n">
        <v>0</v>
      </c>
      <c r="AH531" s="3" t="n">
        <v>1</v>
      </c>
      <c r="AI531" s="3" t="n">
        <v>0</v>
      </c>
      <c r="AJ531" s="4" t="n">
        <f aca="false">SUM(G531:AI531)</f>
        <v>9</v>
      </c>
      <c r="AK531" s="4" t="n">
        <f aca="false">ROUND(SUMPRODUCT(G531:AI531,Gene_Weights!$B$2:$AD$2),3)</f>
        <v>-3.81</v>
      </c>
      <c r="AL531" s="2" t="n">
        <v>6</v>
      </c>
      <c r="AM531" s="2" t="n">
        <v>1</v>
      </c>
      <c r="AN531" s="2" t="n">
        <v>16.67</v>
      </c>
      <c r="AO531" s="5" t="n">
        <v>64.53</v>
      </c>
      <c r="AP531" s="5" t="n">
        <v>66.13</v>
      </c>
      <c r="AQ531" s="5" t="n">
        <v>67.73</v>
      </c>
      <c r="AR531" s="5" t="n">
        <v>69.33</v>
      </c>
      <c r="AS531" s="5" t="n">
        <v>70.93</v>
      </c>
      <c r="AT531" s="5" t="n">
        <v>72.53</v>
      </c>
      <c r="AU531" s="5" t="n">
        <v>74.13</v>
      </c>
      <c r="AV531" s="5" t="s">
        <v>51</v>
      </c>
    </row>
    <row r="532" customFormat="false" ht="15" hidden="false" customHeight="false" outlineLevel="0" collapsed="false">
      <c r="A532" s="2" t="s">
        <v>144</v>
      </c>
      <c r="B532" s="2" t="n">
        <v>2006</v>
      </c>
      <c r="C532" s="2" t="s">
        <v>53</v>
      </c>
      <c r="D532" s="2" t="n">
        <v>0</v>
      </c>
      <c r="E532" s="2" t="n">
        <v>2</v>
      </c>
      <c r="F532" s="2" t="s">
        <v>50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1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1</v>
      </c>
      <c r="X532" s="3" t="n">
        <v>0</v>
      </c>
      <c r="Y532" s="3" t="n">
        <v>1</v>
      </c>
      <c r="Z532" s="3" t="n">
        <v>1</v>
      </c>
      <c r="AA532" s="3" t="n">
        <v>1</v>
      </c>
      <c r="AB532" s="3" t="n">
        <v>1</v>
      </c>
      <c r="AC532" s="3" t="n">
        <v>0</v>
      </c>
      <c r="AD532" s="3" t="n">
        <v>0</v>
      </c>
      <c r="AE532" s="3" t="n">
        <v>1</v>
      </c>
      <c r="AF532" s="3" t="n">
        <v>1</v>
      </c>
      <c r="AG532" s="3" t="n">
        <v>0</v>
      </c>
      <c r="AH532" s="3" t="n">
        <v>1</v>
      </c>
      <c r="AI532" s="3" t="n">
        <v>0</v>
      </c>
      <c r="AJ532" s="4" t="n">
        <f aca="false">SUM(G532:AI532)</f>
        <v>9</v>
      </c>
      <c r="AK532" s="4" t="n">
        <f aca="false">ROUND(SUMPRODUCT(G532:AI532,Gene_Weights!$B$2:$AD$2),3)</f>
        <v>-3.81</v>
      </c>
      <c r="AL532" s="2" t="n">
        <v>6</v>
      </c>
      <c r="AM532" s="2" t="n">
        <v>0</v>
      </c>
      <c r="AN532" s="2" t="n">
        <v>0</v>
      </c>
      <c r="AO532" s="5" t="n">
        <v>52.86</v>
      </c>
      <c r="AP532" s="5" t="n">
        <v>53.65</v>
      </c>
      <c r="AQ532" s="5" t="n">
        <v>54.45</v>
      </c>
      <c r="AR532" s="5" t="n">
        <v>55.24</v>
      </c>
      <c r="AS532" s="5" t="n">
        <v>56.03</v>
      </c>
      <c r="AT532" s="5" t="n">
        <v>56.83</v>
      </c>
      <c r="AU532" s="5" t="n">
        <v>57.62</v>
      </c>
      <c r="AV532" s="5" t="s">
        <v>51</v>
      </c>
    </row>
    <row r="533" customFormat="false" ht="15" hidden="false" customHeight="false" outlineLevel="0" collapsed="false">
      <c r="A533" s="2" t="s">
        <v>144</v>
      </c>
      <c r="B533" s="2" t="n">
        <v>2006</v>
      </c>
      <c r="C533" s="2" t="s">
        <v>54</v>
      </c>
      <c r="D533" s="2" t="n">
        <v>1</v>
      </c>
      <c r="E533" s="2" t="n">
        <v>32</v>
      </c>
      <c r="F533" s="2" t="s">
        <v>50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1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1</v>
      </c>
      <c r="X533" s="3" t="n">
        <v>0</v>
      </c>
      <c r="Y533" s="3" t="n">
        <v>1</v>
      </c>
      <c r="Z533" s="3" t="n">
        <v>1</v>
      </c>
      <c r="AA533" s="3" t="n">
        <v>1</v>
      </c>
      <c r="AB533" s="3" t="n">
        <v>1</v>
      </c>
      <c r="AC533" s="3" t="n">
        <v>0</v>
      </c>
      <c r="AD533" s="3" t="n">
        <v>0</v>
      </c>
      <c r="AE533" s="3" t="n">
        <v>1</v>
      </c>
      <c r="AF533" s="3" t="n">
        <v>1</v>
      </c>
      <c r="AG533" s="3" t="n">
        <v>0</v>
      </c>
      <c r="AH533" s="3" t="n">
        <v>1</v>
      </c>
      <c r="AI533" s="3" t="n">
        <v>0</v>
      </c>
      <c r="AJ533" s="4" t="n">
        <f aca="false">SUM(G533:AI533)</f>
        <v>9</v>
      </c>
      <c r="AK533" s="4" t="n">
        <f aca="false">ROUND(SUMPRODUCT(G533:AI533,Gene_Weights!$B$2:$AD$2),3)</f>
        <v>-3.81</v>
      </c>
      <c r="AL533" s="2" t="n">
        <v>6</v>
      </c>
      <c r="AM533" s="2" t="n">
        <v>2</v>
      </c>
      <c r="AN533" s="2" t="n">
        <v>33.33</v>
      </c>
      <c r="AO533" s="5" t="n">
        <v>81.84</v>
      </c>
      <c r="AP533" s="5" t="n">
        <v>84.45</v>
      </c>
      <c r="AQ533" s="5" t="n">
        <v>87.06</v>
      </c>
      <c r="AR533" s="5" t="n">
        <v>89.67</v>
      </c>
      <c r="AS533" s="5" t="n">
        <v>92.27</v>
      </c>
      <c r="AT533" s="5" t="n">
        <v>94.88</v>
      </c>
      <c r="AU533" s="5" t="n">
        <v>97.49</v>
      </c>
      <c r="AV533" s="5" t="s">
        <v>51</v>
      </c>
    </row>
    <row r="534" customFormat="false" ht="15" hidden="false" customHeight="false" outlineLevel="0" collapsed="false">
      <c r="A534" s="2" t="s">
        <v>144</v>
      </c>
      <c r="B534" s="2" t="n">
        <v>2006</v>
      </c>
      <c r="C534" s="2" t="s">
        <v>55</v>
      </c>
      <c r="D534" s="2" t="n">
        <v>1</v>
      </c>
      <c r="E534" s="2" t="n">
        <v>16</v>
      </c>
      <c r="F534" s="2" t="s">
        <v>50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1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1</v>
      </c>
      <c r="X534" s="3" t="n">
        <v>0</v>
      </c>
      <c r="Y534" s="3" t="n">
        <v>1</v>
      </c>
      <c r="Z534" s="3" t="n">
        <v>1</v>
      </c>
      <c r="AA534" s="3" t="n">
        <v>1</v>
      </c>
      <c r="AB534" s="3" t="n">
        <v>1</v>
      </c>
      <c r="AC534" s="3" t="n">
        <v>0</v>
      </c>
      <c r="AD534" s="3" t="n">
        <v>0</v>
      </c>
      <c r="AE534" s="3" t="n">
        <v>1</v>
      </c>
      <c r="AF534" s="3" t="n">
        <v>1</v>
      </c>
      <c r="AG534" s="3" t="n">
        <v>0</v>
      </c>
      <c r="AH534" s="3" t="n">
        <v>1</v>
      </c>
      <c r="AI534" s="3" t="n">
        <v>0</v>
      </c>
      <c r="AJ534" s="4" t="n">
        <f aca="false">SUM(G534:AI534)</f>
        <v>9</v>
      </c>
      <c r="AK534" s="4" t="n">
        <f aca="false">ROUND(SUMPRODUCT(G534:AI534,Gene_Weights!$B$2:$AD$2),3)</f>
        <v>-3.81</v>
      </c>
      <c r="AL534" s="2" t="n">
        <v>6</v>
      </c>
      <c r="AM534" s="2" t="n">
        <v>1</v>
      </c>
      <c r="AN534" s="2" t="n">
        <v>16.67</v>
      </c>
      <c r="AO534" s="5" t="n">
        <v>58.19</v>
      </c>
      <c r="AP534" s="5" t="n">
        <v>59.74</v>
      </c>
      <c r="AQ534" s="5" t="n">
        <v>61.3</v>
      </c>
      <c r="AR534" s="5" t="n">
        <v>62.86</v>
      </c>
      <c r="AS534" s="5" t="n">
        <v>64.42</v>
      </c>
      <c r="AT534" s="5" t="n">
        <v>65.98</v>
      </c>
      <c r="AU534" s="5" t="n">
        <v>67.53</v>
      </c>
      <c r="AV534" s="5" t="s">
        <v>51</v>
      </c>
    </row>
    <row r="535" customFormat="false" ht="15" hidden="false" customHeight="false" outlineLevel="0" collapsed="false">
      <c r="A535" s="2" t="s">
        <v>144</v>
      </c>
      <c r="B535" s="2" t="n">
        <v>2006</v>
      </c>
      <c r="C535" s="2" t="s">
        <v>56</v>
      </c>
      <c r="D535" s="2" t="n">
        <v>0</v>
      </c>
      <c r="E535" s="2" t="n">
        <v>32</v>
      </c>
      <c r="F535" s="2" t="s">
        <v>50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1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1</v>
      </c>
      <c r="X535" s="3" t="n">
        <v>0</v>
      </c>
      <c r="Y535" s="3" t="n">
        <v>1</v>
      </c>
      <c r="Z535" s="3" t="n">
        <v>1</v>
      </c>
      <c r="AA535" s="3" t="n">
        <v>1</v>
      </c>
      <c r="AB535" s="3" t="n">
        <v>1</v>
      </c>
      <c r="AC535" s="3" t="n">
        <v>0</v>
      </c>
      <c r="AD535" s="3" t="n">
        <v>0</v>
      </c>
      <c r="AE535" s="3" t="n">
        <v>1</v>
      </c>
      <c r="AF535" s="3" t="n">
        <v>1</v>
      </c>
      <c r="AG535" s="3" t="n">
        <v>0</v>
      </c>
      <c r="AH535" s="3" t="n">
        <v>1</v>
      </c>
      <c r="AI535" s="3" t="n">
        <v>0</v>
      </c>
      <c r="AJ535" s="4" t="n">
        <f aca="false">SUM(G535:AI535)</f>
        <v>9</v>
      </c>
      <c r="AK535" s="4" t="n">
        <f aca="false">ROUND(SUMPRODUCT(G535:AI535,Gene_Weights!$B$2:$AD$2),3)</f>
        <v>-3.81</v>
      </c>
      <c r="AL535" s="2" t="n">
        <v>6</v>
      </c>
      <c r="AM535" s="2" t="n">
        <v>1</v>
      </c>
      <c r="AN535" s="2" t="n">
        <v>16.67</v>
      </c>
      <c r="AO535" s="5" t="n">
        <v>75.59</v>
      </c>
      <c r="AP535" s="5" t="n">
        <v>78.01</v>
      </c>
      <c r="AQ535" s="5" t="n">
        <v>80.42</v>
      </c>
      <c r="AR535" s="5" t="n">
        <v>82.83</v>
      </c>
      <c r="AS535" s="5" t="n">
        <v>85.24</v>
      </c>
      <c r="AT535" s="5" t="n">
        <v>87.66</v>
      </c>
      <c r="AU535" s="5" t="n">
        <v>90.07</v>
      </c>
      <c r="AV535" s="5" t="s">
        <v>51</v>
      </c>
    </row>
    <row r="536" customFormat="false" ht="15" hidden="false" customHeight="false" outlineLevel="0" collapsed="false">
      <c r="A536" s="2" t="s">
        <v>145</v>
      </c>
      <c r="B536" s="2" t="n">
        <v>2016</v>
      </c>
      <c r="C536" s="2" t="s">
        <v>49</v>
      </c>
      <c r="D536" s="2" t="n">
        <v>1</v>
      </c>
      <c r="E536" s="2" t="n">
        <v>4</v>
      </c>
      <c r="F536" s="2" t="s">
        <v>50</v>
      </c>
      <c r="G536" s="3" t="n">
        <v>0</v>
      </c>
      <c r="H536" s="3" t="n">
        <v>1</v>
      </c>
      <c r="I536" s="3" t="n">
        <v>0</v>
      </c>
      <c r="J536" s="3" t="n">
        <v>1</v>
      </c>
      <c r="K536" s="3" t="n">
        <v>0</v>
      </c>
      <c r="L536" s="3" t="n">
        <v>1</v>
      </c>
      <c r="M536" s="3" t="n">
        <v>0</v>
      </c>
      <c r="N536" s="3" t="n">
        <v>1</v>
      </c>
      <c r="O536" s="3" t="n">
        <v>0</v>
      </c>
      <c r="P536" s="3" t="n">
        <v>1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1</v>
      </c>
      <c r="Y536" s="3" t="n">
        <v>0</v>
      </c>
      <c r="Z536" s="3" t="n">
        <v>1</v>
      </c>
      <c r="AA536" s="3" t="n">
        <v>1</v>
      </c>
      <c r="AB536" s="3" t="n">
        <v>0</v>
      </c>
      <c r="AC536" s="3" t="n">
        <v>1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4" t="n">
        <f aca="false">SUM(G536:AI536)</f>
        <v>9</v>
      </c>
      <c r="AK536" s="4" t="n">
        <f aca="false">ROUND(SUMPRODUCT(G536:AI536,Gene_Weights!$B$2:$AD$2),3)</f>
        <v>-6.6</v>
      </c>
      <c r="AL536" s="2" t="n">
        <v>4</v>
      </c>
      <c r="AM536" s="2" t="n">
        <v>1</v>
      </c>
      <c r="AN536" s="2" t="n">
        <v>25</v>
      </c>
      <c r="AO536" s="5" t="n">
        <v>55.12</v>
      </c>
      <c r="AP536" s="5" t="n">
        <v>56.02</v>
      </c>
      <c r="AQ536" s="5" t="n">
        <v>56.92</v>
      </c>
      <c r="AR536" s="5" t="n">
        <v>57.82</v>
      </c>
      <c r="AS536" s="5" t="n">
        <v>58.72</v>
      </c>
      <c r="AT536" s="5" t="n">
        <v>59.62</v>
      </c>
      <c r="AU536" s="5" t="n">
        <v>60.52</v>
      </c>
      <c r="AV536" s="5" t="s">
        <v>51</v>
      </c>
    </row>
    <row r="537" customFormat="false" ht="15" hidden="false" customHeight="false" outlineLevel="0" collapsed="false">
      <c r="A537" s="2" t="s">
        <v>145</v>
      </c>
      <c r="B537" s="2" t="n">
        <v>2016</v>
      </c>
      <c r="C537" s="2" t="s">
        <v>52</v>
      </c>
      <c r="D537" s="2" t="n">
        <v>1</v>
      </c>
      <c r="E537" s="2" t="n">
        <v>2</v>
      </c>
      <c r="F537" s="2" t="s">
        <v>50</v>
      </c>
      <c r="G537" s="3" t="n">
        <v>0</v>
      </c>
      <c r="H537" s="3" t="n">
        <v>1</v>
      </c>
      <c r="I537" s="3" t="n">
        <v>0</v>
      </c>
      <c r="J537" s="3" t="n">
        <v>1</v>
      </c>
      <c r="K537" s="3" t="n">
        <v>0</v>
      </c>
      <c r="L537" s="3" t="n">
        <v>1</v>
      </c>
      <c r="M537" s="3" t="n">
        <v>0</v>
      </c>
      <c r="N537" s="3" t="n">
        <v>1</v>
      </c>
      <c r="O537" s="3" t="n">
        <v>0</v>
      </c>
      <c r="P537" s="3" t="n">
        <v>1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1</v>
      </c>
      <c r="Y537" s="3" t="n">
        <v>0</v>
      </c>
      <c r="Z537" s="3" t="n">
        <v>1</v>
      </c>
      <c r="AA537" s="3" t="n">
        <v>1</v>
      </c>
      <c r="AB537" s="3" t="n">
        <v>0</v>
      </c>
      <c r="AC537" s="3" t="n">
        <v>1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4" t="n">
        <f aca="false">SUM(G537:AI537)</f>
        <v>9</v>
      </c>
      <c r="AK537" s="4" t="n">
        <f aca="false">ROUND(SUMPRODUCT(G537:AI537,Gene_Weights!$B$2:$AD$2),3)</f>
        <v>-6.6</v>
      </c>
      <c r="AL537" s="2" t="n">
        <v>4</v>
      </c>
      <c r="AM537" s="2" t="n">
        <v>3</v>
      </c>
      <c r="AN537" s="2" t="n">
        <v>75</v>
      </c>
      <c r="AO537" s="5" t="n">
        <v>64.53</v>
      </c>
      <c r="AP537" s="5" t="n">
        <v>66.13</v>
      </c>
      <c r="AQ537" s="5" t="n">
        <v>67.73</v>
      </c>
      <c r="AR537" s="5" t="n">
        <v>69.33</v>
      </c>
      <c r="AS537" s="5" t="n">
        <v>70.93</v>
      </c>
      <c r="AT537" s="5" t="n">
        <v>72.53</v>
      </c>
      <c r="AU537" s="5" t="n">
        <v>74.13</v>
      </c>
      <c r="AV537" s="5" t="s">
        <v>51</v>
      </c>
    </row>
    <row r="538" customFormat="false" ht="15" hidden="false" customHeight="false" outlineLevel="0" collapsed="false">
      <c r="A538" s="2" t="s">
        <v>145</v>
      </c>
      <c r="B538" s="2" t="n">
        <v>2016</v>
      </c>
      <c r="C538" s="2" t="s">
        <v>53</v>
      </c>
      <c r="D538" s="2" t="n">
        <v>1</v>
      </c>
      <c r="E538" s="2" t="n">
        <v>32</v>
      </c>
      <c r="F538" s="2" t="s">
        <v>50</v>
      </c>
      <c r="G538" s="3" t="n">
        <v>0</v>
      </c>
      <c r="H538" s="3" t="n">
        <v>1</v>
      </c>
      <c r="I538" s="3" t="n">
        <v>0</v>
      </c>
      <c r="J538" s="3" t="n">
        <v>1</v>
      </c>
      <c r="K538" s="3" t="n">
        <v>0</v>
      </c>
      <c r="L538" s="3" t="n">
        <v>1</v>
      </c>
      <c r="M538" s="3" t="n">
        <v>0</v>
      </c>
      <c r="N538" s="3" t="n">
        <v>1</v>
      </c>
      <c r="O538" s="3" t="n">
        <v>0</v>
      </c>
      <c r="P538" s="3" t="n">
        <v>1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1</v>
      </c>
      <c r="Y538" s="3" t="n">
        <v>0</v>
      </c>
      <c r="Z538" s="3" t="n">
        <v>1</v>
      </c>
      <c r="AA538" s="3" t="n">
        <v>1</v>
      </c>
      <c r="AB538" s="3" t="n">
        <v>0</v>
      </c>
      <c r="AC538" s="3" t="n">
        <v>1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4" t="n">
        <f aca="false">SUM(G538:AI538)</f>
        <v>9</v>
      </c>
      <c r="AK538" s="4" t="n">
        <f aca="false">ROUND(SUMPRODUCT(G538:AI538,Gene_Weights!$B$2:$AD$2),3)</f>
        <v>-6.6</v>
      </c>
      <c r="AL538" s="2" t="n">
        <v>4</v>
      </c>
      <c r="AM538" s="2" t="n">
        <v>3</v>
      </c>
      <c r="AN538" s="2" t="n">
        <v>75</v>
      </c>
      <c r="AO538" s="5" t="n">
        <v>52.86</v>
      </c>
      <c r="AP538" s="5" t="n">
        <v>53.65</v>
      </c>
      <c r="AQ538" s="5" t="n">
        <v>54.45</v>
      </c>
      <c r="AR538" s="5" t="n">
        <v>55.24</v>
      </c>
      <c r="AS538" s="5" t="n">
        <v>56.03</v>
      </c>
      <c r="AT538" s="5" t="n">
        <v>56.83</v>
      </c>
      <c r="AU538" s="5" t="n">
        <v>57.62</v>
      </c>
      <c r="AV538" s="5" t="s">
        <v>51</v>
      </c>
    </row>
    <row r="539" customFormat="false" ht="15" hidden="false" customHeight="false" outlineLevel="0" collapsed="false">
      <c r="A539" s="2" t="s">
        <v>145</v>
      </c>
      <c r="B539" s="2" t="n">
        <v>2016</v>
      </c>
      <c r="C539" s="2" t="s">
        <v>54</v>
      </c>
      <c r="D539" s="2" t="n">
        <v>0</v>
      </c>
      <c r="E539" s="2" t="n">
        <v>4</v>
      </c>
      <c r="F539" s="2" t="s">
        <v>50</v>
      </c>
      <c r="G539" s="3" t="n">
        <v>0</v>
      </c>
      <c r="H539" s="3" t="n">
        <v>1</v>
      </c>
      <c r="I539" s="3" t="n">
        <v>0</v>
      </c>
      <c r="J539" s="3" t="n">
        <v>1</v>
      </c>
      <c r="K539" s="3" t="n">
        <v>0</v>
      </c>
      <c r="L539" s="3" t="n">
        <v>1</v>
      </c>
      <c r="M539" s="3" t="n">
        <v>0</v>
      </c>
      <c r="N539" s="3" t="n">
        <v>1</v>
      </c>
      <c r="O539" s="3" t="n">
        <v>0</v>
      </c>
      <c r="P539" s="3" t="n">
        <v>1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1</v>
      </c>
      <c r="Y539" s="3" t="n">
        <v>0</v>
      </c>
      <c r="Z539" s="3" t="n">
        <v>1</v>
      </c>
      <c r="AA539" s="3" t="n">
        <v>1</v>
      </c>
      <c r="AB539" s="3" t="n">
        <v>0</v>
      </c>
      <c r="AC539" s="3" t="n">
        <v>1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4" t="n">
        <f aca="false">SUM(G539:AI539)</f>
        <v>9</v>
      </c>
      <c r="AK539" s="4" t="n">
        <f aca="false">ROUND(SUMPRODUCT(G539:AI539,Gene_Weights!$B$2:$AD$2),3)</f>
        <v>-6.6</v>
      </c>
      <c r="AL539" s="2" t="n">
        <v>4</v>
      </c>
      <c r="AM539" s="2" t="n">
        <v>2</v>
      </c>
      <c r="AN539" s="2" t="n">
        <v>50</v>
      </c>
      <c r="AO539" s="5" t="n">
        <v>81.84</v>
      </c>
      <c r="AP539" s="5" t="n">
        <v>84.45</v>
      </c>
      <c r="AQ539" s="5" t="n">
        <v>87.06</v>
      </c>
      <c r="AR539" s="5" t="n">
        <v>89.67</v>
      </c>
      <c r="AS539" s="5" t="n">
        <v>92.27</v>
      </c>
      <c r="AT539" s="5" t="n">
        <v>94.88</v>
      </c>
      <c r="AU539" s="5" t="n">
        <v>97.49</v>
      </c>
      <c r="AV539" s="5" t="s">
        <v>51</v>
      </c>
    </row>
    <row r="540" customFormat="false" ht="15" hidden="false" customHeight="false" outlineLevel="0" collapsed="false">
      <c r="A540" s="2" t="s">
        <v>145</v>
      </c>
      <c r="B540" s="2" t="n">
        <v>2016</v>
      </c>
      <c r="C540" s="2" t="s">
        <v>55</v>
      </c>
      <c r="D540" s="2" t="n">
        <v>1</v>
      </c>
      <c r="E540" s="2" t="n">
        <v>16</v>
      </c>
      <c r="F540" s="2" t="s">
        <v>50</v>
      </c>
      <c r="G540" s="3" t="n">
        <v>0</v>
      </c>
      <c r="H540" s="3" t="n">
        <v>1</v>
      </c>
      <c r="I540" s="3" t="n">
        <v>0</v>
      </c>
      <c r="J540" s="3" t="n">
        <v>1</v>
      </c>
      <c r="K540" s="3" t="n">
        <v>0</v>
      </c>
      <c r="L540" s="3" t="n">
        <v>1</v>
      </c>
      <c r="M540" s="3" t="n">
        <v>0</v>
      </c>
      <c r="N540" s="3" t="n">
        <v>1</v>
      </c>
      <c r="O540" s="3" t="n">
        <v>0</v>
      </c>
      <c r="P540" s="3" t="n">
        <v>1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1</v>
      </c>
      <c r="Y540" s="3" t="n">
        <v>0</v>
      </c>
      <c r="Z540" s="3" t="n">
        <v>1</v>
      </c>
      <c r="AA540" s="3" t="n">
        <v>1</v>
      </c>
      <c r="AB540" s="3" t="n">
        <v>0</v>
      </c>
      <c r="AC540" s="3" t="n">
        <v>1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4" t="n">
        <f aca="false">SUM(G540:AI540)</f>
        <v>9</v>
      </c>
      <c r="AK540" s="4" t="n">
        <f aca="false">ROUND(SUMPRODUCT(G540:AI540,Gene_Weights!$B$2:$AD$2),3)</f>
        <v>-6.6</v>
      </c>
      <c r="AL540" s="2" t="n">
        <v>4</v>
      </c>
      <c r="AM540" s="2" t="n">
        <v>2</v>
      </c>
      <c r="AN540" s="2" t="n">
        <v>50</v>
      </c>
      <c r="AO540" s="5" t="n">
        <v>58.19</v>
      </c>
      <c r="AP540" s="5" t="n">
        <v>59.74</v>
      </c>
      <c r="AQ540" s="5" t="n">
        <v>61.3</v>
      </c>
      <c r="AR540" s="5" t="n">
        <v>62.86</v>
      </c>
      <c r="AS540" s="5" t="n">
        <v>64.42</v>
      </c>
      <c r="AT540" s="5" t="n">
        <v>65.98</v>
      </c>
      <c r="AU540" s="5" t="n">
        <v>67.53</v>
      </c>
      <c r="AV540" s="5" t="s">
        <v>51</v>
      </c>
    </row>
    <row r="541" customFormat="false" ht="15" hidden="false" customHeight="false" outlineLevel="0" collapsed="false">
      <c r="A541" s="2" t="s">
        <v>145</v>
      </c>
      <c r="B541" s="2" t="n">
        <v>2016</v>
      </c>
      <c r="C541" s="2" t="s">
        <v>56</v>
      </c>
      <c r="D541" s="2" t="n">
        <v>1</v>
      </c>
      <c r="E541" s="2" t="n">
        <v>4</v>
      </c>
      <c r="F541" s="2" t="s">
        <v>50</v>
      </c>
      <c r="G541" s="3" t="n">
        <v>0</v>
      </c>
      <c r="H541" s="3" t="n">
        <v>1</v>
      </c>
      <c r="I541" s="3" t="n">
        <v>0</v>
      </c>
      <c r="J541" s="3" t="n">
        <v>1</v>
      </c>
      <c r="K541" s="3" t="n">
        <v>0</v>
      </c>
      <c r="L541" s="3" t="n">
        <v>1</v>
      </c>
      <c r="M541" s="3" t="n">
        <v>0</v>
      </c>
      <c r="N541" s="3" t="n">
        <v>1</v>
      </c>
      <c r="O541" s="3" t="n">
        <v>0</v>
      </c>
      <c r="P541" s="3" t="n">
        <v>1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1</v>
      </c>
      <c r="Y541" s="3" t="n">
        <v>0</v>
      </c>
      <c r="Z541" s="3" t="n">
        <v>1</v>
      </c>
      <c r="AA541" s="3" t="n">
        <v>1</v>
      </c>
      <c r="AB541" s="3" t="n">
        <v>0</v>
      </c>
      <c r="AC541" s="3" t="n">
        <v>1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4" t="n">
        <f aca="false">SUM(G541:AI541)</f>
        <v>9</v>
      </c>
      <c r="AK541" s="4" t="n">
        <f aca="false">ROUND(SUMPRODUCT(G541:AI541,Gene_Weights!$B$2:$AD$2),3)</f>
        <v>-6.6</v>
      </c>
      <c r="AL541" s="2" t="n">
        <v>4</v>
      </c>
      <c r="AM541" s="2" t="n">
        <v>2</v>
      </c>
      <c r="AN541" s="2" t="n">
        <v>50</v>
      </c>
      <c r="AO541" s="5" t="n">
        <v>75.59</v>
      </c>
      <c r="AP541" s="5" t="n">
        <v>78.01</v>
      </c>
      <c r="AQ541" s="5" t="n">
        <v>80.42</v>
      </c>
      <c r="AR541" s="5" t="n">
        <v>82.83</v>
      </c>
      <c r="AS541" s="5" t="n">
        <v>85.24</v>
      </c>
      <c r="AT541" s="5" t="n">
        <v>87.66</v>
      </c>
      <c r="AU541" s="5" t="n">
        <v>90.07</v>
      </c>
      <c r="AV541" s="5" t="s">
        <v>51</v>
      </c>
    </row>
    <row r="542" customFormat="false" ht="15" hidden="false" customHeight="false" outlineLevel="0" collapsed="false">
      <c r="A542" s="2" t="s">
        <v>146</v>
      </c>
      <c r="B542" s="2" t="n">
        <v>2019</v>
      </c>
      <c r="C542" s="2" t="s">
        <v>49</v>
      </c>
      <c r="D542" s="2" t="n">
        <v>1</v>
      </c>
      <c r="E542" s="2" t="n">
        <v>4</v>
      </c>
      <c r="F542" s="2" t="s">
        <v>50</v>
      </c>
      <c r="G542" s="3" t="n">
        <v>0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1</v>
      </c>
      <c r="Q542" s="3" t="n">
        <v>0</v>
      </c>
      <c r="R542" s="3" t="n">
        <v>0</v>
      </c>
      <c r="S542" s="3" t="n">
        <v>1</v>
      </c>
      <c r="T542" s="3" t="n">
        <v>0</v>
      </c>
      <c r="U542" s="3" t="n">
        <v>1</v>
      </c>
      <c r="V542" s="3" t="n">
        <v>0</v>
      </c>
      <c r="W542" s="3" t="n">
        <v>0</v>
      </c>
      <c r="X542" s="3" t="n">
        <v>1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1</v>
      </c>
      <c r="AE542" s="3" t="n">
        <v>1</v>
      </c>
      <c r="AF542" s="3" t="n">
        <v>0</v>
      </c>
      <c r="AG542" s="3" t="n">
        <v>1</v>
      </c>
      <c r="AH542" s="3" t="n">
        <v>0</v>
      </c>
      <c r="AI542" s="3" t="n">
        <v>1</v>
      </c>
      <c r="AJ542" s="4" t="n">
        <f aca="false">SUM(G542:AI542)</f>
        <v>10</v>
      </c>
      <c r="AK542" s="4" t="n">
        <f aca="false">ROUND(SUMPRODUCT(G542:AI542,Gene_Weights!$B$2:$AD$2),3)</f>
        <v>-5.62</v>
      </c>
      <c r="AL542" s="2" t="n">
        <v>7</v>
      </c>
      <c r="AM542" s="2" t="n">
        <v>4</v>
      </c>
      <c r="AN542" s="2" t="n">
        <v>57.14</v>
      </c>
      <c r="AO542" s="5" t="n">
        <v>55.12</v>
      </c>
      <c r="AP542" s="5" t="n">
        <v>56.02</v>
      </c>
      <c r="AQ542" s="5" t="n">
        <v>56.92</v>
      </c>
      <c r="AR542" s="5" t="n">
        <v>57.82</v>
      </c>
      <c r="AS542" s="5" t="n">
        <v>58.72</v>
      </c>
      <c r="AT542" s="5" t="n">
        <v>59.62</v>
      </c>
      <c r="AU542" s="5" t="n">
        <v>60.52</v>
      </c>
      <c r="AV542" s="5" t="s">
        <v>51</v>
      </c>
    </row>
    <row r="543" customFormat="false" ht="15" hidden="false" customHeight="false" outlineLevel="0" collapsed="false">
      <c r="A543" s="2" t="s">
        <v>146</v>
      </c>
      <c r="B543" s="2" t="n">
        <v>2019</v>
      </c>
      <c r="C543" s="2" t="s">
        <v>52</v>
      </c>
      <c r="D543" s="2" t="n">
        <v>1</v>
      </c>
      <c r="E543" s="2" t="n">
        <v>16</v>
      </c>
      <c r="F543" s="2" t="s">
        <v>50</v>
      </c>
      <c r="G543" s="3" t="n">
        <v>0</v>
      </c>
      <c r="H543" s="3" t="n">
        <v>1</v>
      </c>
      <c r="I543" s="3" t="n">
        <v>1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1</v>
      </c>
      <c r="Q543" s="3" t="n">
        <v>0</v>
      </c>
      <c r="R543" s="3" t="n">
        <v>0</v>
      </c>
      <c r="S543" s="3" t="n">
        <v>1</v>
      </c>
      <c r="T543" s="3" t="n">
        <v>0</v>
      </c>
      <c r="U543" s="3" t="n">
        <v>1</v>
      </c>
      <c r="V543" s="3" t="n">
        <v>0</v>
      </c>
      <c r="W543" s="3" t="n">
        <v>0</v>
      </c>
      <c r="X543" s="3" t="n">
        <v>1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1</v>
      </c>
      <c r="AE543" s="3" t="n">
        <v>1</v>
      </c>
      <c r="AF543" s="3" t="n">
        <v>0</v>
      </c>
      <c r="AG543" s="3" t="n">
        <v>1</v>
      </c>
      <c r="AH543" s="3" t="n">
        <v>0</v>
      </c>
      <c r="AI543" s="3" t="n">
        <v>1</v>
      </c>
      <c r="AJ543" s="4" t="n">
        <f aca="false">SUM(G543:AI543)</f>
        <v>10</v>
      </c>
      <c r="AK543" s="4" t="n">
        <f aca="false">ROUND(SUMPRODUCT(G543:AI543,Gene_Weights!$B$2:$AD$2),3)</f>
        <v>-5.62</v>
      </c>
      <c r="AL543" s="2" t="n">
        <v>7</v>
      </c>
      <c r="AM543" s="2" t="n">
        <v>5</v>
      </c>
      <c r="AN543" s="2" t="n">
        <v>71.43</v>
      </c>
      <c r="AO543" s="5" t="n">
        <v>64.53</v>
      </c>
      <c r="AP543" s="5" t="n">
        <v>66.13</v>
      </c>
      <c r="AQ543" s="5" t="n">
        <v>67.73</v>
      </c>
      <c r="AR543" s="5" t="n">
        <v>69.33</v>
      </c>
      <c r="AS543" s="5" t="n">
        <v>70.93</v>
      </c>
      <c r="AT543" s="5" t="n">
        <v>72.53</v>
      </c>
      <c r="AU543" s="5" t="n">
        <v>74.13</v>
      </c>
      <c r="AV543" s="5" t="s">
        <v>51</v>
      </c>
    </row>
    <row r="544" customFormat="false" ht="15" hidden="false" customHeight="false" outlineLevel="0" collapsed="false">
      <c r="A544" s="2" t="s">
        <v>146</v>
      </c>
      <c r="B544" s="2" t="n">
        <v>2019</v>
      </c>
      <c r="C544" s="2" t="s">
        <v>53</v>
      </c>
      <c r="D544" s="2" t="n">
        <v>1</v>
      </c>
      <c r="E544" s="2" t="n">
        <v>2</v>
      </c>
      <c r="F544" s="2" t="s">
        <v>50</v>
      </c>
      <c r="G544" s="3" t="n">
        <v>0</v>
      </c>
      <c r="H544" s="3" t="n">
        <v>1</v>
      </c>
      <c r="I544" s="3" t="n">
        <v>1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1</v>
      </c>
      <c r="Q544" s="3" t="n">
        <v>0</v>
      </c>
      <c r="R544" s="3" t="n">
        <v>0</v>
      </c>
      <c r="S544" s="3" t="n">
        <v>1</v>
      </c>
      <c r="T544" s="3" t="n">
        <v>0</v>
      </c>
      <c r="U544" s="3" t="n">
        <v>1</v>
      </c>
      <c r="V544" s="3" t="n">
        <v>0</v>
      </c>
      <c r="W544" s="3" t="n">
        <v>0</v>
      </c>
      <c r="X544" s="3" t="n">
        <v>1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1</v>
      </c>
      <c r="AE544" s="3" t="n">
        <v>1</v>
      </c>
      <c r="AF544" s="3" t="n">
        <v>0</v>
      </c>
      <c r="AG544" s="3" t="n">
        <v>1</v>
      </c>
      <c r="AH544" s="3" t="n">
        <v>0</v>
      </c>
      <c r="AI544" s="3" t="n">
        <v>1</v>
      </c>
      <c r="AJ544" s="4" t="n">
        <f aca="false">SUM(G544:AI544)</f>
        <v>10</v>
      </c>
      <c r="AK544" s="4" t="n">
        <f aca="false">ROUND(SUMPRODUCT(G544:AI544,Gene_Weights!$B$2:$AD$2),3)</f>
        <v>-5.62</v>
      </c>
      <c r="AL544" s="2" t="n">
        <v>7</v>
      </c>
      <c r="AM544" s="2" t="n">
        <v>2</v>
      </c>
      <c r="AN544" s="2" t="n">
        <v>28.57</v>
      </c>
      <c r="AO544" s="5" t="n">
        <v>52.86</v>
      </c>
      <c r="AP544" s="5" t="n">
        <v>53.65</v>
      </c>
      <c r="AQ544" s="5" t="n">
        <v>54.45</v>
      </c>
      <c r="AR544" s="5" t="n">
        <v>55.24</v>
      </c>
      <c r="AS544" s="5" t="n">
        <v>56.03</v>
      </c>
      <c r="AT544" s="5" t="n">
        <v>56.83</v>
      </c>
      <c r="AU544" s="5" t="n">
        <v>57.62</v>
      </c>
      <c r="AV544" s="5" t="s">
        <v>51</v>
      </c>
    </row>
    <row r="545" customFormat="false" ht="15" hidden="false" customHeight="false" outlineLevel="0" collapsed="false">
      <c r="A545" s="2" t="s">
        <v>146</v>
      </c>
      <c r="B545" s="2" t="n">
        <v>2019</v>
      </c>
      <c r="C545" s="2" t="s">
        <v>54</v>
      </c>
      <c r="D545" s="2" t="n">
        <v>1</v>
      </c>
      <c r="E545" s="2" t="n">
        <v>16</v>
      </c>
      <c r="F545" s="2" t="s">
        <v>50</v>
      </c>
      <c r="G545" s="3" t="n">
        <v>0</v>
      </c>
      <c r="H545" s="3" t="n">
        <v>1</v>
      </c>
      <c r="I545" s="3" t="n">
        <v>1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1</v>
      </c>
      <c r="Q545" s="3" t="n">
        <v>0</v>
      </c>
      <c r="R545" s="3" t="n">
        <v>0</v>
      </c>
      <c r="S545" s="3" t="n">
        <v>1</v>
      </c>
      <c r="T545" s="3" t="n">
        <v>0</v>
      </c>
      <c r="U545" s="3" t="n">
        <v>1</v>
      </c>
      <c r="V545" s="3" t="n">
        <v>0</v>
      </c>
      <c r="W545" s="3" t="n">
        <v>0</v>
      </c>
      <c r="X545" s="3" t="n">
        <v>1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1</v>
      </c>
      <c r="AE545" s="3" t="n">
        <v>1</v>
      </c>
      <c r="AF545" s="3" t="n">
        <v>0</v>
      </c>
      <c r="AG545" s="3" t="n">
        <v>1</v>
      </c>
      <c r="AH545" s="3" t="n">
        <v>0</v>
      </c>
      <c r="AI545" s="3" t="n">
        <v>1</v>
      </c>
      <c r="AJ545" s="4" t="n">
        <f aca="false">SUM(G545:AI545)</f>
        <v>10</v>
      </c>
      <c r="AK545" s="4" t="n">
        <f aca="false">ROUND(SUMPRODUCT(G545:AI545,Gene_Weights!$B$2:$AD$2),3)</f>
        <v>-5.62</v>
      </c>
      <c r="AL545" s="2" t="n">
        <v>7</v>
      </c>
      <c r="AM545" s="2" t="n">
        <v>5</v>
      </c>
      <c r="AN545" s="2" t="n">
        <v>71.43</v>
      </c>
      <c r="AO545" s="5" t="n">
        <v>81.84</v>
      </c>
      <c r="AP545" s="5" t="n">
        <v>84.45</v>
      </c>
      <c r="AQ545" s="5" t="n">
        <v>87.06</v>
      </c>
      <c r="AR545" s="5" t="n">
        <v>89.67</v>
      </c>
      <c r="AS545" s="5" t="n">
        <v>92.27</v>
      </c>
      <c r="AT545" s="5" t="n">
        <v>94.88</v>
      </c>
      <c r="AU545" s="5" t="n">
        <v>97.49</v>
      </c>
      <c r="AV545" s="5" t="s">
        <v>51</v>
      </c>
    </row>
    <row r="546" customFormat="false" ht="15" hidden="false" customHeight="false" outlineLevel="0" collapsed="false">
      <c r="A546" s="2" t="s">
        <v>146</v>
      </c>
      <c r="B546" s="2" t="n">
        <v>2019</v>
      </c>
      <c r="C546" s="2" t="s">
        <v>55</v>
      </c>
      <c r="D546" s="2" t="n">
        <v>0</v>
      </c>
      <c r="E546" s="2" t="n">
        <v>32</v>
      </c>
      <c r="F546" s="2" t="s">
        <v>50</v>
      </c>
      <c r="G546" s="3" t="n">
        <v>0</v>
      </c>
      <c r="H546" s="3" t="n">
        <v>1</v>
      </c>
      <c r="I546" s="3" t="n">
        <v>1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1</v>
      </c>
      <c r="Q546" s="3" t="n">
        <v>0</v>
      </c>
      <c r="R546" s="3" t="n">
        <v>0</v>
      </c>
      <c r="S546" s="3" t="n">
        <v>1</v>
      </c>
      <c r="T546" s="3" t="n">
        <v>0</v>
      </c>
      <c r="U546" s="3" t="n">
        <v>1</v>
      </c>
      <c r="V546" s="3" t="n">
        <v>0</v>
      </c>
      <c r="W546" s="3" t="n">
        <v>0</v>
      </c>
      <c r="X546" s="3" t="n">
        <v>1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1</v>
      </c>
      <c r="AE546" s="3" t="n">
        <v>1</v>
      </c>
      <c r="AF546" s="3" t="n">
        <v>0</v>
      </c>
      <c r="AG546" s="3" t="n">
        <v>1</v>
      </c>
      <c r="AH546" s="3" t="n">
        <v>0</v>
      </c>
      <c r="AI546" s="3" t="n">
        <v>1</v>
      </c>
      <c r="AJ546" s="4" t="n">
        <f aca="false">SUM(G546:AI546)</f>
        <v>10</v>
      </c>
      <c r="AK546" s="4" t="n">
        <f aca="false">ROUND(SUMPRODUCT(G546:AI546,Gene_Weights!$B$2:$AD$2),3)</f>
        <v>-5.62</v>
      </c>
      <c r="AL546" s="2" t="n">
        <v>7</v>
      </c>
      <c r="AM546" s="2" t="n">
        <v>2</v>
      </c>
      <c r="AN546" s="2" t="n">
        <v>28.57</v>
      </c>
      <c r="AO546" s="5" t="n">
        <v>58.19</v>
      </c>
      <c r="AP546" s="5" t="n">
        <v>59.74</v>
      </c>
      <c r="AQ546" s="5" t="n">
        <v>61.3</v>
      </c>
      <c r="AR546" s="5" t="n">
        <v>62.86</v>
      </c>
      <c r="AS546" s="5" t="n">
        <v>64.42</v>
      </c>
      <c r="AT546" s="5" t="n">
        <v>65.98</v>
      </c>
      <c r="AU546" s="5" t="n">
        <v>67.53</v>
      </c>
      <c r="AV546" s="5" t="s">
        <v>51</v>
      </c>
    </row>
    <row r="547" customFormat="false" ht="15" hidden="false" customHeight="false" outlineLevel="0" collapsed="false">
      <c r="A547" s="2" t="s">
        <v>146</v>
      </c>
      <c r="B547" s="2" t="n">
        <v>2019</v>
      </c>
      <c r="C547" s="2" t="s">
        <v>56</v>
      </c>
      <c r="D547" s="2" t="n">
        <v>1</v>
      </c>
      <c r="E547" s="2" t="n">
        <v>16</v>
      </c>
      <c r="F547" s="2" t="s">
        <v>50</v>
      </c>
      <c r="G547" s="3" t="n">
        <v>0</v>
      </c>
      <c r="H547" s="3" t="n">
        <v>1</v>
      </c>
      <c r="I547" s="3" t="n">
        <v>1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1</v>
      </c>
      <c r="Q547" s="3" t="n">
        <v>0</v>
      </c>
      <c r="R547" s="3" t="n">
        <v>0</v>
      </c>
      <c r="S547" s="3" t="n">
        <v>1</v>
      </c>
      <c r="T547" s="3" t="n">
        <v>0</v>
      </c>
      <c r="U547" s="3" t="n">
        <v>1</v>
      </c>
      <c r="V547" s="3" t="n">
        <v>0</v>
      </c>
      <c r="W547" s="3" t="n">
        <v>0</v>
      </c>
      <c r="X547" s="3" t="n">
        <v>1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1</v>
      </c>
      <c r="AE547" s="3" t="n">
        <v>1</v>
      </c>
      <c r="AF547" s="3" t="n">
        <v>0</v>
      </c>
      <c r="AG547" s="3" t="n">
        <v>1</v>
      </c>
      <c r="AH547" s="3" t="n">
        <v>0</v>
      </c>
      <c r="AI547" s="3" t="n">
        <v>1</v>
      </c>
      <c r="AJ547" s="4" t="n">
        <f aca="false">SUM(G547:AI547)</f>
        <v>10</v>
      </c>
      <c r="AK547" s="4" t="n">
        <f aca="false">ROUND(SUMPRODUCT(G547:AI547,Gene_Weights!$B$2:$AD$2),3)</f>
        <v>-5.62</v>
      </c>
      <c r="AL547" s="2" t="n">
        <v>7</v>
      </c>
      <c r="AM547" s="2" t="n">
        <v>3</v>
      </c>
      <c r="AN547" s="2" t="n">
        <v>42.86</v>
      </c>
      <c r="AO547" s="5" t="n">
        <v>75.59</v>
      </c>
      <c r="AP547" s="5" t="n">
        <v>78.01</v>
      </c>
      <c r="AQ547" s="5" t="n">
        <v>80.42</v>
      </c>
      <c r="AR547" s="5" t="n">
        <v>82.83</v>
      </c>
      <c r="AS547" s="5" t="n">
        <v>85.24</v>
      </c>
      <c r="AT547" s="5" t="n">
        <v>87.66</v>
      </c>
      <c r="AU547" s="5" t="n">
        <v>90.07</v>
      </c>
      <c r="AV547" s="5" t="s">
        <v>51</v>
      </c>
    </row>
    <row r="548" customFormat="false" ht="15" hidden="false" customHeight="false" outlineLevel="0" collapsed="false">
      <c r="A548" s="2" t="s">
        <v>147</v>
      </c>
      <c r="B548" s="2" t="n">
        <v>2011</v>
      </c>
      <c r="C548" s="2" t="s">
        <v>49</v>
      </c>
      <c r="D548" s="2" t="n">
        <v>0</v>
      </c>
      <c r="E548" s="2" t="n">
        <v>2</v>
      </c>
      <c r="F548" s="2" t="s">
        <v>50</v>
      </c>
      <c r="G548" s="3" t="n">
        <v>0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1</v>
      </c>
      <c r="Q548" s="3" t="n">
        <v>1</v>
      </c>
      <c r="R548" s="3" t="n">
        <v>0</v>
      </c>
      <c r="S548" s="3" t="n">
        <v>1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1</v>
      </c>
      <c r="AA548" s="3" t="n">
        <v>1</v>
      </c>
      <c r="AB548" s="3" t="n">
        <v>1</v>
      </c>
      <c r="AC548" s="3" t="n">
        <v>0</v>
      </c>
      <c r="AD548" s="3" t="n">
        <v>1</v>
      </c>
      <c r="AE548" s="3" t="n">
        <v>0</v>
      </c>
      <c r="AF548" s="3" t="n">
        <v>1</v>
      </c>
      <c r="AG548" s="3" t="n">
        <v>0</v>
      </c>
      <c r="AH548" s="3" t="n">
        <v>0</v>
      </c>
      <c r="AI548" s="3" t="n">
        <v>1</v>
      </c>
      <c r="AJ548" s="4" t="n">
        <f aca="false">SUM(G548:AI548)</f>
        <v>10</v>
      </c>
      <c r="AK548" s="4" t="n">
        <f aca="false">ROUND(SUMPRODUCT(G548:AI548,Gene_Weights!$B$2:$AD$2),3)</f>
        <v>-5.61</v>
      </c>
      <c r="AL548" s="2" t="n">
        <v>11</v>
      </c>
      <c r="AM548" s="2" t="n">
        <v>5</v>
      </c>
      <c r="AN548" s="2" t="n">
        <v>45.45</v>
      </c>
      <c r="AO548" s="5" t="n">
        <v>55.12</v>
      </c>
      <c r="AP548" s="5" t="n">
        <v>56.02</v>
      </c>
      <c r="AQ548" s="5" t="n">
        <v>56.92</v>
      </c>
      <c r="AR548" s="5" t="n">
        <v>57.82</v>
      </c>
      <c r="AS548" s="5" t="n">
        <v>58.72</v>
      </c>
      <c r="AT548" s="5" t="n">
        <v>59.62</v>
      </c>
      <c r="AU548" s="5" t="n">
        <v>60.52</v>
      </c>
      <c r="AV548" s="5" t="s">
        <v>51</v>
      </c>
    </row>
    <row r="549" customFormat="false" ht="15" hidden="false" customHeight="false" outlineLevel="0" collapsed="false">
      <c r="A549" s="2" t="s">
        <v>147</v>
      </c>
      <c r="B549" s="2" t="n">
        <v>2011</v>
      </c>
      <c r="C549" s="2" t="s">
        <v>52</v>
      </c>
      <c r="D549" s="2" t="n">
        <v>1</v>
      </c>
      <c r="E549" s="2" t="n">
        <v>32</v>
      </c>
      <c r="F549" s="2" t="s">
        <v>50</v>
      </c>
      <c r="G549" s="3" t="n">
        <v>0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1</v>
      </c>
      <c r="Q549" s="3" t="n">
        <v>1</v>
      </c>
      <c r="R549" s="3" t="n">
        <v>0</v>
      </c>
      <c r="S549" s="3" t="n">
        <v>1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1</v>
      </c>
      <c r="AA549" s="3" t="n">
        <v>1</v>
      </c>
      <c r="AB549" s="3" t="n">
        <v>1</v>
      </c>
      <c r="AC549" s="3" t="n">
        <v>0</v>
      </c>
      <c r="AD549" s="3" t="n">
        <v>1</v>
      </c>
      <c r="AE549" s="3" t="n">
        <v>0</v>
      </c>
      <c r="AF549" s="3" t="n">
        <v>1</v>
      </c>
      <c r="AG549" s="3" t="n">
        <v>0</v>
      </c>
      <c r="AH549" s="3" t="n">
        <v>0</v>
      </c>
      <c r="AI549" s="3" t="n">
        <v>1</v>
      </c>
      <c r="AJ549" s="4" t="n">
        <f aca="false">SUM(G549:AI549)</f>
        <v>10</v>
      </c>
      <c r="AK549" s="4" t="n">
        <f aca="false">ROUND(SUMPRODUCT(G549:AI549,Gene_Weights!$B$2:$AD$2),3)</f>
        <v>-5.61</v>
      </c>
      <c r="AL549" s="2" t="n">
        <v>11</v>
      </c>
      <c r="AM549" s="2" t="n">
        <v>4</v>
      </c>
      <c r="AN549" s="2" t="n">
        <v>36.36</v>
      </c>
      <c r="AO549" s="5" t="n">
        <v>64.53</v>
      </c>
      <c r="AP549" s="5" t="n">
        <v>66.13</v>
      </c>
      <c r="AQ549" s="5" t="n">
        <v>67.73</v>
      </c>
      <c r="AR549" s="5" t="n">
        <v>69.33</v>
      </c>
      <c r="AS549" s="5" t="n">
        <v>70.93</v>
      </c>
      <c r="AT549" s="5" t="n">
        <v>72.53</v>
      </c>
      <c r="AU549" s="5" t="n">
        <v>74.13</v>
      </c>
      <c r="AV549" s="5" t="s">
        <v>51</v>
      </c>
    </row>
    <row r="550" customFormat="false" ht="15" hidden="false" customHeight="false" outlineLevel="0" collapsed="false">
      <c r="A550" s="2" t="s">
        <v>147</v>
      </c>
      <c r="B550" s="2" t="n">
        <v>2011</v>
      </c>
      <c r="C550" s="2" t="s">
        <v>53</v>
      </c>
      <c r="D550" s="2" t="n">
        <v>0</v>
      </c>
      <c r="E550" s="2" t="n">
        <v>16</v>
      </c>
      <c r="F550" s="2" t="s">
        <v>50</v>
      </c>
      <c r="G550" s="3" t="n">
        <v>0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1</v>
      </c>
      <c r="Q550" s="3" t="n">
        <v>1</v>
      </c>
      <c r="R550" s="3" t="n">
        <v>0</v>
      </c>
      <c r="S550" s="3" t="n">
        <v>1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1</v>
      </c>
      <c r="AA550" s="3" t="n">
        <v>1</v>
      </c>
      <c r="AB550" s="3" t="n">
        <v>1</v>
      </c>
      <c r="AC550" s="3" t="n">
        <v>0</v>
      </c>
      <c r="AD550" s="3" t="n">
        <v>1</v>
      </c>
      <c r="AE550" s="3" t="n">
        <v>0</v>
      </c>
      <c r="AF550" s="3" t="n">
        <v>1</v>
      </c>
      <c r="AG550" s="3" t="n">
        <v>0</v>
      </c>
      <c r="AH550" s="3" t="n">
        <v>0</v>
      </c>
      <c r="AI550" s="3" t="n">
        <v>1</v>
      </c>
      <c r="AJ550" s="4" t="n">
        <f aca="false">SUM(G550:AI550)</f>
        <v>10</v>
      </c>
      <c r="AK550" s="4" t="n">
        <f aca="false">ROUND(SUMPRODUCT(G550:AI550,Gene_Weights!$B$2:$AD$2),3)</f>
        <v>-5.61</v>
      </c>
      <c r="AL550" s="2" t="n">
        <v>11</v>
      </c>
      <c r="AM550" s="2" t="n">
        <v>6</v>
      </c>
      <c r="AN550" s="2" t="n">
        <v>54.55</v>
      </c>
      <c r="AO550" s="5" t="n">
        <v>52.86</v>
      </c>
      <c r="AP550" s="5" t="n">
        <v>53.65</v>
      </c>
      <c r="AQ550" s="5" t="n">
        <v>54.45</v>
      </c>
      <c r="AR550" s="5" t="n">
        <v>55.24</v>
      </c>
      <c r="AS550" s="5" t="n">
        <v>56.03</v>
      </c>
      <c r="AT550" s="5" t="n">
        <v>56.83</v>
      </c>
      <c r="AU550" s="5" t="n">
        <v>57.62</v>
      </c>
      <c r="AV550" s="5" t="s">
        <v>51</v>
      </c>
    </row>
    <row r="551" customFormat="false" ht="15" hidden="false" customHeight="false" outlineLevel="0" collapsed="false">
      <c r="A551" s="2" t="s">
        <v>147</v>
      </c>
      <c r="B551" s="2" t="n">
        <v>2011</v>
      </c>
      <c r="C551" s="2" t="s">
        <v>54</v>
      </c>
      <c r="D551" s="2" t="n">
        <v>0</v>
      </c>
      <c r="E551" s="2" t="n">
        <v>2</v>
      </c>
      <c r="F551" s="2" t="s">
        <v>50</v>
      </c>
      <c r="G551" s="3" t="n">
        <v>0</v>
      </c>
      <c r="H551" s="3" t="n">
        <v>1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1</v>
      </c>
      <c r="Q551" s="3" t="n">
        <v>1</v>
      </c>
      <c r="R551" s="3" t="n">
        <v>0</v>
      </c>
      <c r="S551" s="3" t="n">
        <v>1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1</v>
      </c>
      <c r="AA551" s="3" t="n">
        <v>1</v>
      </c>
      <c r="AB551" s="3" t="n">
        <v>1</v>
      </c>
      <c r="AC551" s="3" t="n">
        <v>0</v>
      </c>
      <c r="AD551" s="3" t="n">
        <v>1</v>
      </c>
      <c r="AE551" s="3" t="n">
        <v>0</v>
      </c>
      <c r="AF551" s="3" t="n">
        <v>1</v>
      </c>
      <c r="AG551" s="3" t="n">
        <v>0</v>
      </c>
      <c r="AH551" s="3" t="n">
        <v>0</v>
      </c>
      <c r="AI551" s="3" t="n">
        <v>1</v>
      </c>
      <c r="AJ551" s="4" t="n">
        <f aca="false">SUM(G551:AI551)</f>
        <v>10</v>
      </c>
      <c r="AK551" s="4" t="n">
        <f aca="false">ROUND(SUMPRODUCT(G551:AI551,Gene_Weights!$B$2:$AD$2),3)</f>
        <v>-5.61</v>
      </c>
      <c r="AL551" s="2" t="n">
        <v>11</v>
      </c>
      <c r="AM551" s="2" t="n">
        <v>4</v>
      </c>
      <c r="AN551" s="2" t="n">
        <v>36.36</v>
      </c>
      <c r="AO551" s="5" t="n">
        <v>81.84</v>
      </c>
      <c r="AP551" s="5" t="n">
        <v>84.45</v>
      </c>
      <c r="AQ551" s="5" t="n">
        <v>87.06</v>
      </c>
      <c r="AR551" s="5" t="n">
        <v>89.67</v>
      </c>
      <c r="AS551" s="5" t="n">
        <v>92.27</v>
      </c>
      <c r="AT551" s="5" t="n">
        <v>94.88</v>
      </c>
      <c r="AU551" s="5" t="n">
        <v>97.49</v>
      </c>
      <c r="AV551" s="5" t="s">
        <v>51</v>
      </c>
    </row>
    <row r="552" customFormat="false" ht="15" hidden="false" customHeight="false" outlineLevel="0" collapsed="false">
      <c r="A552" s="2" t="s">
        <v>147</v>
      </c>
      <c r="B552" s="2" t="n">
        <v>2011</v>
      </c>
      <c r="C552" s="2" t="s">
        <v>55</v>
      </c>
      <c r="D552" s="2" t="n">
        <v>0</v>
      </c>
      <c r="E552" s="2" t="n">
        <v>16</v>
      </c>
      <c r="F552" s="2" t="s">
        <v>50</v>
      </c>
      <c r="G552" s="3" t="n">
        <v>0</v>
      </c>
      <c r="H552" s="3" t="n">
        <v>1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1</v>
      </c>
      <c r="Q552" s="3" t="n">
        <v>1</v>
      </c>
      <c r="R552" s="3" t="n">
        <v>0</v>
      </c>
      <c r="S552" s="3" t="n">
        <v>1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1</v>
      </c>
      <c r="AA552" s="3" t="n">
        <v>1</v>
      </c>
      <c r="AB552" s="3" t="n">
        <v>1</v>
      </c>
      <c r="AC552" s="3" t="n">
        <v>0</v>
      </c>
      <c r="AD552" s="3" t="n">
        <v>1</v>
      </c>
      <c r="AE552" s="3" t="n">
        <v>0</v>
      </c>
      <c r="AF552" s="3" t="n">
        <v>1</v>
      </c>
      <c r="AG552" s="3" t="n">
        <v>0</v>
      </c>
      <c r="AH552" s="3" t="n">
        <v>0</v>
      </c>
      <c r="AI552" s="3" t="n">
        <v>1</v>
      </c>
      <c r="AJ552" s="4" t="n">
        <f aca="false">SUM(G552:AI552)</f>
        <v>10</v>
      </c>
      <c r="AK552" s="4" t="n">
        <f aca="false">ROUND(SUMPRODUCT(G552:AI552,Gene_Weights!$B$2:$AD$2),3)</f>
        <v>-5.61</v>
      </c>
      <c r="AL552" s="2" t="n">
        <v>11</v>
      </c>
      <c r="AM552" s="2" t="n">
        <v>7</v>
      </c>
      <c r="AN552" s="2" t="n">
        <v>63.64</v>
      </c>
      <c r="AO552" s="5" t="n">
        <v>58.19</v>
      </c>
      <c r="AP552" s="5" t="n">
        <v>59.74</v>
      </c>
      <c r="AQ552" s="5" t="n">
        <v>61.3</v>
      </c>
      <c r="AR552" s="5" t="n">
        <v>62.86</v>
      </c>
      <c r="AS552" s="5" t="n">
        <v>64.42</v>
      </c>
      <c r="AT552" s="5" t="n">
        <v>65.98</v>
      </c>
      <c r="AU552" s="5" t="n">
        <v>67.53</v>
      </c>
      <c r="AV552" s="5" t="s">
        <v>51</v>
      </c>
    </row>
    <row r="553" customFormat="false" ht="15" hidden="false" customHeight="false" outlineLevel="0" collapsed="false">
      <c r="A553" s="2" t="s">
        <v>147</v>
      </c>
      <c r="B553" s="2" t="n">
        <v>2011</v>
      </c>
      <c r="C553" s="2" t="s">
        <v>56</v>
      </c>
      <c r="D553" s="2" t="n">
        <v>1</v>
      </c>
      <c r="E553" s="2" t="n">
        <v>16</v>
      </c>
      <c r="F553" s="2" t="s">
        <v>50</v>
      </c>
      <c r="G553" s="3" t="n">
        <v>0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1</v>
      </c>
      <c r="Q553" s="3" t="n">
        <v>1</v>
      </c>
      <c r="R553" s="3" t="n">
        <v>0</v>
      </c>
      <c r="S553" s="3" t="n">
        <v>1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1</v>
      </c>
      <c r="AA553" s="3" t="n">
        <v>1</v>
      </c>
      <c r="AB553" s="3" t="n">
        <v>1</v>
      </c>
      <c r="AC553" s="3" t="n">
        <v>0</v>
      </c>
      <c r="AD553" s="3" t="n">
        <v>1</v>
      </c>
      <c r="AE553" s="3" t="n">
        <v>0</v>
      </c>
      <c r="AF553" s="3" t="n">
        <v>1</v>
      </c>
      <c r="AG553" s="3" t="n">
        <v>0</v>
      </c>
      <c r="AH553" s="3" t="n">
        <v>0</v>
      </c>
      <c r="AI553" s="3" t="n">
        <v>1</v>
      </c>
      <c r="AJ553" s="4" t="n">
        <f aca="false">SUM(G553:AI553)</f>
        <v>10</v>
      </c>
      <c r="AK553" s="4" t="n">
        <f aca="false">ROUND(SUMPRODUCT(G553:AI553,Gene_Weights!$B$2:$AD$2),3)</f>
        <v>-5.61</v>
      </c>
      <c r="AL553" s="2" t="n">
        <v>11</v>
      </c>
      <c r="AM553" s="2" t="n">
        <v>7</v>
      </c>
      <c r="AN553" s="2" t="n">
        <v>63.64</v>
      </c>
      <c r="AO553" s="5" t="n">
        <v>75.59</v>
      </c>
      <c r="AP553" s="5" t="n">
        <v>78.01</v>
      </c>
      <c r="AQ553" s="5" t="n">
        <v>80.42</v>
      </c>
      <c r="AR553" s="5" t="n">
        <v>82.83</v>
      </c>
      <c r="AS553" s="5" t="n">
        <v>85.24</v>
      </c>
      <c r="AT553" s="5" t="n">
        <v>87.66</v>
      </c>
      <c r="AU553" s="5" t="n">
        <v>90.07</v>
      </c>
      <c r="AV553" s="5" t="s">
        <v>51</v>
      </c>
    </row>
    <row r="554" customFormat="false" ht="15" hidden="false" customHeight="false" outlineLevel="0" collapsed="false">
      <c r="A554" s="2" t="s">
        <v>148</v>
      </c>
      <c r="B554" s="2" t="n">
        <v>2005</v>
      </c>
      <c r="C554" s="2" t="s">
        <v>49</v>
      </c>
      <c r="D554" s="2" t="n">
        <v>1</v>
      </c>
      <c r="E554" s="2" t="n">
        <v>16</v>
      </c>
      <c r="F554" s="2" t="s">
        <v>50</v>
      </c>
      <c r="G554" s="3" t="n">
        <v>1</v>
      </c>
      <c r="H554" s="3" t="n">
        <v>0</v>
      </c>
      <c r="I554" s="3" t="n">
        <v>1</v>
      </c>
      <c r="J554" s="3" t="n">
        <v>0</v>
      </c>
      <c r="K554" s="3" t="n">
        <v>1</v>
      </c>
      <c r="L554" s="3" t="n">
        <v>1</v>
      </c>
      <c r="M554" s="3" t="n">
        <v>0</v>
      </c>
      <c r="N554" s="3" t="n">
        <v>1</v>
      </c>
      <c r="O554" s="3" t="n">
        <v>1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1</v>
      </c>
      <c r="V554" s="3" t="n">
        <v>0</v>
      </c>
      <c r="W554" s="3" t="n">
        <v>1</v>
      </c>
      <c r="X554" s="3" t="n">
        <v>0</v>
      </c>
      <c r="Y554" s="3" t="n">
        <v>0</v>
      </c>
      <c r="Z554" s="3" t="n">
        <v>1</v>
      </c>
      <c r="AA554" s="3" t="n">
        <v>1</v>
      </c>
      <c r="AB554" s="3" t="n">
        <v>0</v>
      </c>
      <c r="AC554" s="3" t="n">
        <v>0</v>
      </c>
      <c r="AD554" s="3" t="n">
        <v>0</v>
      </c>
      <c r="AE554" s="3" t="n">
        <v>1</v>
      </c>
      <c r="AF554" s="3" t="n">
        <v>0</v>
      </c>
      <c r="AG554" s="3" t="n">
        <v>0</v>
      </c>
      <c r="AH554" s="3" t="n">
        <v>1</v>
      </c>
      <c r="AI554" s="3" t="n">
        <v>1</v>
      </c>
      <c r="AJ554" s="4" t="n">
        <f aca="false">SUM(G554:AI554)</f>
        <v>13</v>
      </c>
      <c r="AK554" s="4" t="n">
        <f aca="false">ROUND(SUMPRODUCT(G554:AI554,Gene_Weights!$B$2:$AD$2),3)</f>
        <v>-9.53</v>
      </c>
      <c r="AL554" s="2" t="n">
        <v>6</v>
      </c>
      <c r="AM554" s="2" t="n">
        <v>1</v>
      </c>
      <c r="AN554" s="2" t="n">
        <v>16.67</v>
      </c>
      <c r="AO554" s="5" t="n">
        <v>55.12</v>
      </c>
      <c r="AP554" s="5" t="n">
        <v>56.02</v>
      </c>
      <c r="AQ554" s="5" t="n">
        <v>56.92</v>
      </c>
      <c r="AR554" s="5" t="n">
        <v>57.82</v>
      </c>
      <c r="AS554" s="5" t="n">
        <v>58.72</v>
      </c>
      <c r="AT554" s="5" t="n">
        <v>59.62</v>
      </c>
      <c r="AU554" s="5" t="n">
        <v>60.52</v>
      </c>
      <c r="AV554" s="5" t="s">
        <v>51</v>
      </c>
    </row>
    <row r="555" customFormat="false" ht="15" hidden="false" customHeight="false" outlineLevel="0" collapsed="false">
      <c r="A555" s="2" t="s">
        <v>148</v>
      </c>
      <c r="B555" s="2" t="n">
        <v>2005</v>
      </c>
      <c r="C555" s="2" t="s">
        <v>52</v>
      </c>
      <c r="D555" s="2" t="n">
        <v>0</v>
      </c>
      <c r="E555" s="2" t="n">
        <v>16</v>
      </c>
      <c r="F555" s="2" t="s">
        <v>50</v>
      </c>
      <c r="G555" s="3" t="n">
        <v>1</v>
      </c>
      <c r="H555" s="3" t="n">
        <v>0</v>
      </c>
      <c r="I555" s="3" t="n">
        <v>1</v>
      </c>
      <c r="J555" s="3" t="n">
        <v>0</v>
      </c>
      <c r="K555" s="3" t="n">
        <v>1</v>
      </c>
      <c r="L555" s="3" t="n">
        <v>1</v>
      </c>
      <c r="M555" s="3" t="n">
        <v>0</v>
      </c>
      <c r="N555" s="3" t="n">
        <v>1</v>
      </c>
      <c r="O555" s="3" t="n">
        <v>1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1</v>
      </c>
      <c r="V555" s="3" t="n">
        <v>0</v>
      </c>
      <c r="W555" s="3" t="n">
        <v>1</v>
      </c>
      <c r="X555" s="3" t="n">
        <v>0</v>
      </c>
      <c r="Y555" s="3" t="n">
        <v>0</v>
      </c>
      <c r="Z555" s="3" t="n">
        <v>1</v>
      </c>
      <c r="AA555" s="3" t="n">
        <v>1</v>
      </c>
      <c r="AB555" s="3" t="n">
        <v>0</v>
      </c>
      <c r="AC555" s="3" t="n">
        <v>0</v>
      </c>
      <c r="AD555" s="3" t="n">
        <v>0</v>
      </c>
      <c r="AE555" s="3" t="n">
        <v>1</v>
      </c>
      <c r="AF555" s="3" t="n">
        <v>0</v>
      </c>
      <c r="AG555" s="3" t="n">
        <v>0</v>
      </c>
      <c r="AH555" s="3" t="n">
        <v>1</v>
      </c>
      <c r="AI555" s="3" t="n">
        <v>1</v>
      </c>
      <c r="AJ555" s="4" t="n">
        <f aca="false">SUM(G555:AI555)</f>
        <v>13</v>
      </c>
      <c r="AK555" s="4" t="n">
        <f aca="false">ROUND(SUMPRODUCT(G555:AI555,Gene_Weights!$B$2:$AD$2),3)</f>
        <v>-9.53</v>
      </c>
      <c r="AL555" s="2" t="n">
        <v>6</v>
      </c>
      <c r="AM555" s="2" t="n">
        <v>2</v>
      </c>
      <c r="AN555" s="2" t="n">
        <v>33.33</v>
      </c>
      <c r="AO555" s="5" t="n">
        <v>64.53</v>
      </c>
      <c r="AP555" s="5" t="n">
        <v>66.13</v>
      </c>
      <c r="AQ555" s="5" t="n">
        <v>67.73</v>
      </c>
      <c r="AR555" s="5" t="n">
        <v>69.33</v>
      </c>
      <c r="AS555" s="5" t="n">
        <v>70.93</v>
      </c>
      <c r="AT555" s="5" t="n">
        <v>72.53</v>
      </c>
      <c r="AU555" s="5" t="n">
        <v>74.13</v>
      </c>
      <c r="AV555" s="5" t="s">
        <v>51</v>
      </c>
    </row>
    <row r="556" customFormat="false" ht="15" hidden="false" customHeight="false" outlineLevel="0" collapsed="false">
      <c r="A556" s="2" t="s">
        <v>148</v>
      </c>
      <c r="B556" s="2" t="n">
        <v>2005</v>
      </c>
      <c r="C556" s="2" t="s">
        <v>53</v>
      </c>
      <c r="D556" s="2" t="n">
        <v>0</v>
      </c>
      <c r="E556" s="2" t="n">
        <v>16</v>
      </c>
      <c r="F556" s="2" t="s">
        <v>50</v>
      </c>
      <c r="G556" s="3" t="n">
        <v>1</v>
      </c>
      <c r="H556" s="3" t="n">
        <v>0</v>
      </c>
      <c r="I556" s="3" t="n">
        <v>1</v>
      </c>
      <c r="J556" s="3" t="n">
        <v>0</v>
      </c>
      <c r="K556" s="3" t="n">
        <v>1</v>
      </c>
      <c r="L556" s="3" t="n">
        <v>1</v>
      </c>
      <c r="M556" s="3" t="n">
        <v>0</v>
      </c>
      <c r="N556" s="3" t="n">
        <v>1</v>
      </c>
      <c r="O556" s="3" t="n">
        <v>1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1</v>
      </c>
      <c r="V556" s="3" t="n">
        <v>0</v>
      </c>
      <c r="W556" s="3" t="n">
        <v>1</v>
      </c>
      <c r="X556" s="3" t="n">
        <v>0</v>
      </c>
      <c r="Y556" s="3" t="n">
        <v>0</v>
      </c>
      <c r="Z556" s="3" t="n">
        <v>1</v>
      </c>
      <c r="AA556" s="3" t="n">
        <v>1</v>
      </c>
      <c r="AB556" s="3" t="n">
        <v>0</v>
      </c>
      <c r="AC556" s="3" t="n">
        <v>0</v>
      </c>
      <c r="AD556" s="3" t="n">
        <v>0</v>
      </c>
      <c r="AE556" s="3" t="n">
        <v>1</v>
      </c>
      <c r="AF556" s="3" t="n">
        <v>0</v>
      </c>
      <c r="AG556" s="3" t="n">
        <v>0</v>
      </c>
      <c r="AH556" s="3" t="n">
        <v>1</v>
      </c>
      <c r="AI556" s="3" t="n">
        <v>1</v>
      </c>
      <c r="AJ556" s="4" t="n">
        <f aca="false">SUM(G556:AI556)</f>
        <v>13</v>
      </c>
      <c r="AK556" s="4" t="n">
        <f aca="false">ROUND(SUMPRODUCT(G556:AI556,Gene_Weights!$B$2:$AD$2),3)</f>
        <v>-9.53</v>
      </c>
      <c r="AL556" s="2" t="n">
        <v>6</v>
      </c>
      <c r="AM556" s="2" t="n">
        <v>0</v>
      </c>
      <c r="AN556" s="2" t="n">
        <v>0</v>
      </c>
      <c r="AO556" s="5" t="n">
        <v>52.86</v>
      </c>
      <c r="AP556" s="5" t="n">
        <v>53.65</v>
      </c>
      <c r="AQ556" s="5" t="n">
        <v>54.45</v>
      </c>
      <c r="AR556" s="5" t="n">
        <v>55.24</v>
      </c>
      <c r="AS556" s="5" t="n">
        <v>56.03</v>
      </c>
      <c r="AT556" s="5" t="n">
        <v>56.83</v>
      </c>
      <c r="AU556" s="5" t="n">
        <v>57.62</v>
      </c>
      <c r="AV556" s="5" t="s">
        <v>51</v>
      </c>
    </row>
    <row r="557" customFormat="false" ht="15" hidden="false" customHeight="false" outlineLevel="0" collapsed="false">
      <c r="A557" s="2" t="s">
        <v>148</v>
      </c>
      <c r="B557" s="2" t="n">
        <v>2005</v>
      </c>
      <c r="C557" s="2" t="s">
        <v>54</v>
      </c>
      <c r="D557" s="2" t="n">
        <v>0</v>
      </c>
      <c r="E557" s="2" t="n">
        <v>16</v>
      </c>
      <c r="F557" s="2" t="s">
        <v>50</v>
      </c>
      <c r="G557" s="3" t="n">
        <v>1</v>
      </c>
      <c r="H557" s="3" t="n">
        <v>0</v>
      </c>
      <c r="I557" s="3" t="n">
        <v>1</v>
      </c>
      <c r="J557" s="3" t="n">
        <v>0</v>
      </c>
      <c r="K557" s="3" t="n">
        <v>1</v>
      </c>
      <c r="L557" s="3" t="n">
        <v>1</v>
      </c>
      <c r="M557" s="3" t="n">
        <v>0</v>
      </c>
      <c r="N557" s="3" t="n">
        <v>1</v>
      </c>
      <c r="O557" s="3" t="n">
        <v>1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1</v>
      </c>
      <c r="V557" s="3" t="n">
        <v>0</v>
      </c>
      <c r="W557" s="3" t="n">
        <v>1</v>
      </c>
      <c r="X557" s="3" t="n">
        <v>0</v>
      </c>
      <c r="Y557" s="3" t="n">
        <v>0</v>
      </c>
      <c r="Z557" s="3" t="n">
        <v>1</v>
      </c>
      <c r="AA557" s="3" t="n">
        <v>1</v>
      </c>
      <c r="AB557" s="3" t="n">
        <v>0</v>
      </c>
      <c r="AC557" s="3" t="n">
        <v>0</v>
      </c>
      <c r="AD557" s="3" t="n">
        <v>0</v>
      </c>
      <c r="AE557" s="3" t="n">
        <v>1</v>
      </c>
      <c r="AF557" s="3" t="n">
        <v>0</v>
      </c>
      <c r="AG557" s="3" t="n">
        <v>0</v>
      </c>
      <c r="AH557" s="3" t="n">
        <v>1</v>
      </c>
      <c r="AI557" s="3" t="n">
        <v>1</v>
      </c>
      <c r="AJ557" s="4" t="n">
        <f aca="false">SUM(G557:AI557)</f>
        <v>13</v>
      </c>
      <c r="AK557" s="4" t="n">
        <f aca="false">ROUND(SUMPRODUCT(G557:AI557,Gene_Weights!$B$2:$AD$2),3)</f>
        <v>-9.53</v>
      </c>
      <c r="AL557" s="2" t="n">
        <v>6</v>
      </c>
      <c r="AM557" s="2" t="n">
        <v>0</v>
      </c>
      <c r="AN557" s="2" t="n">
        <v>0</v>
      </c>
      <c r="AO557" s="5" t="n">
        <v>81.84</v>
      </c>
      <c r="AP557" s="5" t="n">
        <v>84.45</v>
      </c>
      <c r="AQ557" s="5" t="n">
        <v>87.06</v>
      </c>
      <c r="AR557" s="5" t="n">
        <v>89.67</v>
      </c>
      <c r="AS557" s="5" t="n">
        <v>92.27</v>
      </c>
      <c r="AT557" s="5" t="n">
        <v>94.88</v>
      </c>
      <c r="AU557" s="5" t="n">
        <v>97.49</v>
      </c>
      <c r="AV557" s="5" t="s">
        <v>51</v>
      </c>
    </row>
    <row r="558" customFormat="false" ht="15" hidden="false" customHeight="false" outlineLevel="0" collapsed="false">
      <c r="A558" s="2" t="s">
        <v>148</v>
      </c>
      <c r="B558" s="2" t="n">
        <v>2005</v>
      </c>
      <c r="C558" s="2" t="s">
        <v>55</v>
      </c>
      <c r="D558" s="2" t="n">
        <v>1</v>
      </c>
      <c r="E558" s="2" t="n">
        <v>4</v>
      </c>
      <c r="F558" s="2" t="s">
        <v>50</v>
      </c>
      <c r="G558" s="3" t="n">
        <v>1</v>
      </c>
      <c r="H558" s="3" t="n">
        <v>0</v>
      </c>
      <c r="I558" s="3" t="n">
        <v>1</v>
      </c>
      <c r="J558" s="3" t="n">
        <v>0</v>
      </c>
      <c r="K558" s="3" t="n">
        <v>1</v>
      </c>
      <c r="L558" s="3" t="n">
        <v>1</v>
      </c>
      <c r="M558" s="3" t="n">
        <v>0</v>
      </c>
      <c r="N558" s="3" t="n">
        <v>1</v>
      </c>
      <c r="O558" s="3" t="n">
        <v>1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1</v>
      </c>
      <c r="V558" s="3" t="n">
        <v>0</v>
      </c>
      <c r="W558" s="3" t="n">
        <v>1</v>
      </c>
      <c r="X558" s="3" t="n">
        <v>0</v>
      </c>
      <c r="Y558" s="3" t="n">
        <v>0</v>
      </c>
      <c r="Z558" s="3" t="n">
        <v>1</v>
      </c>
      <c r="AA558" s="3" t="n">
        <v>1</v>
      </c>
      <c r="AB558" s="3" t="n">
        <v>0</v>
      </c>
      <c r="AC558" s="3" t="n">
        <v>0</v>
      </c>
      <c r="AD558" s="3" t="n">
        <v>0</v>
      </c>
      <c r="AE558" s="3" t="n">
        <v>1</v>
      </c>
      <c r="AF558" s="3" t="n">
        <v>0</v>
      </c>
      <c r="AG558" s="3" t="n">
        <v>0</v>
      </c>
      <c r="AH558" s="3" t="n">
        <v>1</v>
      </c>
      <c r="AI558" s="3" t="n">
        <v>1</v>
      </c>
      <c r="AJ558" s="4" t="n">
        <f aca="false">SUM(G558:AI558)</f>
        <v>13</v>
      </c>
      <c r="AK558" s="4" t="n">
        <f aca="false">ROUND(SUMPRODUCT(G558:AI558,Gene_Weights!$B$2:$AD$2),3)</f>
        <v>-9.53</v>
      </c>
      <c r="AL558" s="2" t="n">
        <v>6</v>
      </c>
      <c r="AM558" s="2" t="n">
        <v>1</v>
      </c>
      <c r="AN558" s="2" t="n">
        <v>16.67</v>
      </c>
      <c r="AO558" s="5" t="n">
        <v>58.19</v>
      </c>
      <c r="AP558" s="5" t="n">
        <v>59.74</v>
      </c>
      <c r="AQ558" s="5" t="n">
        <v>61.3</v>
      </c>
      <c r="AR558" s="5" t="n">
        <v>62.86</v>
      </c>
      <c r="AS558" s="5" t="n">
        <v>64.42</v>
      </c>
      <c r="AT558" s="5" t="n">
        <v>65.98</v>
      </c>
      <c r="AU558" s="5" t="n">
        <v>67.53</v>
      </c>
      <c r="AV558" s="5" t="s">
        <v>51</v>
      </c>
    </row>
    <row r="559" customFormat="false" ht="15" hidden="false" customHeight="false" outlineLevel="0" collapsed="false">
      <c r="A559" s="2" t="s">
        <v>148</v>
      </c>
      <c r="B559" s="2" t="n">
        <v>2005</v>
      </c>
      <c r="C559" s="2" t="s">
        <v>56</v>
      </c>
      <c r="D559" s="2" t="n">
        <v>0</v>
      </c>
      <c r="E559" s="2" t="n">
        <v>4</v>
      </c>
      <c r="F559" s="2" t="s">
        <v>50</v>
      </c>
      <c r="G559" s="3" t="n">
        <v>1</v>
      </c>
      <c r="H559" s="3" t="n">
        <v>0</v>
      </c>
      <c r="I559" s="3" t="n">
        <v>1</v>
      </c>
      <c r="J559" s="3" t="n">
        <v>0</v>
      </c>
      <c r="K559" s="3" t="n">
        <v>1</v>
      </c>
      <c r="L559" s="3" t="n">
        <v>1</v>
      </c>
      <c r="M559" s="3" t="n">
        <v>0</v>
      </c>
      <c r="N559" s="3" t="n">
        <v>1</v>
      </c>
      <c r="O559" s="3" t="n">
        <v>1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1</v>
      </c>
      <c r="V559" s="3" t="n">
        <v>0</v>
      </c>
      <c r="W559" s="3" t="n">
        <v>1</v>
      </c>
      <c r="X559" s="3" t="n">
        <v>0</v>
      </c>
      <c r="Y559" s="3" t="n">
        <v>0</v>
      </c>
      <c r="Z559" s="3" t="n">
        <v>1</v>
      </c>
      <c r="AA559" s="3" t="n">
        <v>1</v>
      </c>
      <c r="AB559" s="3" t="n">
        <v>0</v>
      </c>
      <c r="AC559" s="3" t="n">
        <v>0</v>
      </c>
      <c r="AD559" s="3" t="n">
        <v>0</v>
      </c>
      <c r="AE559" s="3" t="n">
        <v>1</v>
      </c>
      <c r="AF559" s="3" t="n">
        <v>0</v>
      </c>
      <c r="AG559" s="3" t="n">
        <v>0</v>
      </c>
      <c r="AH559" s="3" t="n">
        <v>1</v>
      </c>
      <c r="AI559" s="3" t="n">
        <v>1</v>
      </c>
      <c r="AJ559" s="4" t="n">
        <f aca="false">SUM(G559:AI559)</f>
        <v>13</v>
      </c>
      <c r="AK559" s="4" t="n">
        <f aca="false">ROUND(SUMPRODUCT(G559:AI559,Gene_Weights!$B$2:$AD$2),3)</f>
        <v>-9.53</v>
      </c>
      <c r="AL559" s="2" t="n">
        <v>6</v>
      </c>
      <c r="AM559" s="2" t="n">
        <v>1</v>
      </c>
      <c r="AN559" s="2" t="n">
        <v>16.67</v>
      </c>
      <c r="AO559" s="5" t="n">
        <v>75.59</v>
      </c>
      <c r="AP559" s="5" t="n">
        <v>78.01</v>
      </c>
      <c r="AQ559" s="5" t="n">
        <v>80.42</v>
      </c>
      <c r="AR559" s="5" t="n">
        <v>82.83</v>
      </c>
      <c r="AS559" s="5" t="n">
        <v>85.24</v>
      </c>
      <c r="AT559" s="5" t="n">
        <v>87.66</v>
      </c>
      <c r="AU559" s="5" t="n">
        <v>90.07</v>
      </c>
      <c r="AV559" s="5" t="s">
        <v>51</v>
      </c>
    </row>
    <row r="560" customFormat="false" ht="15" hidden="false" customHeight="false" outlineLevel="0" collapsed="false">
      <c r="A560" s="2" t="s">
        <v>149</v>
      </c>
      <c r="B560" s="2" t="n">
        <v>2008</v>
      </c>
      <c r="C560" s="2" t="s">
        <v>49</v>
      </c>
      <c r="D560" s="2" t="n">
        <v>0</v>
      </c>
      <c r="E560" s="2" t="n">
        <v>32</v>
      </c>
      <c r="F560" s="2" t="s">
        <v>50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1</v>
      </c>
      <c r="M560" s="3" t="n">
        <v>0</v>
      </c>
      <c r="N560" s="3" t="n">
        <v>0</v>
      </c>
      <c r="O560" s="3" t="n">
        <v>0</v>
      </c>
      <c r="P560" s="3" t="n">
        <v>1</v>
      </c>
      <c r="Q560" s="3" t="n">
        <v>0</v>
      </c>
      <c r="R560" s="3" t="n">
        <v>1</v>
      </c>
      <c r="S560" s="3" t="n">
        <v>0</v>
      </c>
      <c r="T560" s="3" t="n">
        <v>0</v>
      </c>
      <c r="U560" s="3" t="n">
        <v>1</v>
      </c>
      <c r="V560" s="3" t="n">
        <v>0</v>
      </c>
      <c r="W560" s="3" t="n">
        <v>1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1</v>
      </c>
      <c r="AI560" s="3" t="n">
        <v>1</v>
      </c>
      <c r="AJ560" s="4" t="n">
        <f aca="false">SUM(G560:AI560)</f>
        <v>7</v>
      </c>
      <c r="AK560" s="4" t="n">
        <f aca="false">ROUND(SUMPRODUCT(G560:AI560,Gene_Weights!$B$2:$AD$2),3)</f>
        <v>-8.46</v>
      </c>
      <c r="AL560" s="2" t="n">
        <v>5</v>
      </c>
      <c r="AM560" s="2" t="n">
        <v>3</v>
      </c>
      <c r="AN560" s="2" t="n">
        <v>60</v>
      </c>
      <c r="AO560" s="5" t="n">
        <v>55.12</v>
      </c>
      <c r="AP560" s="5" t="n">
        <v>56.02</v>
      </c>
      <c r="AQ560" s="5" t="n">
        <v>56.92</v>
      </c>
      <c r="AR560" s="5" t="n">
        <v>57.82</v>
      </c>
      <c r="AS560" s="5" t="n">
        <v>58.72</v>
      </c>
      <c r="AT560" s="5" t="n">
        <v>59.62</v>
      </c>
      <c r="AU560" s="5" t="n">
        <v>60.52</v>
      </c>
      <c r="AV560" s="5" t="s">
        <v>51</v>
      </c>
    </row>
    <row r="561" customFormat="false" ht="15" hidden="false" customHeight="false" outlineLevel="0" collapsed="false">
      <c r="A561" s="2" t="s">
        <v>149</v>
      </c>
      <c r="B561" s="2" t="n">
        <v>2008</v>
      </c>
      <c r="C561" s="2" t="s">
        <v>52</v>
      </c>
      <c r="D561" s="2" t="n">
        <v>0</v>
      </c>
      <c r="E561" s="2" t="n">
        <v>2</v>
      </c>
      <c r="F561" s="2" t="s">
        <v>50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n">
        <v>0</v>
      </c>
      <c r="N561" s="3" t="n">
        <v>0</v>
      </c>
      <c r="O561" s="3" t="n">
        <v>0</v>
      </c>
      <c r="P561" s="3" t="n">
        <v>1</v>
      </c>
      <c r="Q561" s="3" t="n">
        <v>0</v>
      </c>
      <c r="R561" s="3" t="n">
        <v>1</v>
      </c>
      <c r="S561" s="3" t="n">
        <v>0</v>
      </c>
      <c r="T561" s="3" t="n">
        <v>0</v>
      </c>
      <c r="U561" s="3" t="n">
        <v>1</v>
      </c>
      <c r="V561" s="3" t="n">
        <v>0</v>
      </c>
      <c r="W561" s="3" t="n">
        <v>1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1</v>
      </c>
      <c r="AI561" s="3" t="n">
        <v>1</v>
      </c>
      <c r="AJ561" s="4" t="n">
        <f aca="false">SUM(G561:AI561)</f>
        <v>7</v>
      </c>
      <c r="AK561" s="4" t="n">
        <f aca="false">ROUND(SUMPRODUCT(G561:AI561,Gene_Weights!$B$2:$AD$2),3)</f>
        <v>-8.46</v>
      </c>
      <c r="AL561" s="2" t="n">
        <v>5</v>
      </c>
      <c r="AM561" s="2" t="n">
        <v>1</v>
      </c>
      <c r="AN561" s="2" t="n">
        <v>20</v>
      </c>
      <c r="AO561" s="5" t="n">
        <v>64.53</v>
      </c>
      <c r="AP561" s="5" t="n">
        <v>66.13</v>
      </c>
      <c r="AQ561" s="5" t="n">
        <v>67.73</v>
      </c>
      <c r="AR561" s="5" t="n">
        <v>69.33</v>
      </c>
      <c r="AS561" s="5" t="n">
        <v>70.93</v>
      </c>
      <c r="AT561" s="5" t="n">
        <v>72.53</v>
      </c>
      <c r="AU561" s="5" t="n">
        <v>74.13</v>
      </c>
      <c r="AV561" s="5" t="s">
        <v>51</v>
      </c>
    </row>
    <row r="562" customFormat="false" ht="15" hidden="false" customHeight="false" outlineLevel="0" collapsed="false">
      <c r="A562" s="2" t="s">
        <v>149</v>
      </c>
      <c r="B562" s="2" t="n">
        <v>2008</v>
      </c>
      <c r="C562" s="2" t="s">
        <v>53</v>
      </c>
      <c r="D562" s="2" t="n">
        <v>0</v>
      </c>
      <c r="E562" s="2" t="n">
        <v>16</v>
      </c>
      <c r="F562" s="2" t="s">
        <v>50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1</v>
      </c>
      <c r="M562" s="3" t="n">
        <v>0</v>
      </c>
      <c r="N562" s="3" t="n">
        <v>0</v>
      </c>
      <c r="O562" s="3" t="n">
        <v>0</v>
      </c>
      <c r="P562" s="3" t="n">
        <v>1</v>
      </c>
      <c r="Q562" s="3" t="n">
        <v>0</v>
      </c>
      <c r="R562" s="3" t="n">
        <v>1</v>
      </c>
      <c r="S562" s="3" t="n">
        <v>0</v>
      </c>
      <c r="T562" s="3" t="n">
        <v>0</v>
      </c>
      <c r="U562" s="3" t="n">
        <v>1</v>
      </c>
      <c r="V562" s="3" t="n">
        <v>0</v>
      </c>
      <c r="W562" s="3" t="n">
        <v>1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1</v>
      </c>
      <c r="AI562" s="3" t="n">
        <v>1</v>
      </c>
      <c r="AJ562" s="4" t="n">
        <f aca="false">SUM(G562:AI562)</f>
        <v>7</v>
      </c>
      <c r="AK562" s="4" t="n">
        <f aca="false">ROUND(SUMPRODUCT(G562:AI562,Gene_Weights!$B$2:$AD$2),3)</f>
        <v>-8.46</v>
      </c>
      <c r="AL562" s="2" t="n">
        <v>5</v>
      </c>
      <c r="AM562" s="2" t="n">
        <v>2</v>
      </c>
      <c r="AN562" s="2" t="n">
        <v>40</v>
      </c>
      <c r="AO562" s="5" t="n">
        <v>52.86</v>
      </c>
      <c r="AP562" s="5" t="n">
        <v>53.65</v>
      </c>
      <c r="AQ562" s="5" t="n">
        <v>54.45</v>
      </c>
      <c r="AR562" s="5" t="n">
        <v>55.24</v>
      </c>
      <c r="AS562" s="5" t="n">
        <v>56.03</v>
      </c>
      <c r="AT562" s="5" t="n">
        <v>56.83</v>
      </c>
      <c r="AU562" s="5" t="n">
        <v>57.62</v>
      </c>
      <c r="AV562" s="5" t="s">
        <v>51</v>
      </c>
    </row>
    <row r="563" customFormat="false" ht="15" hidden="false" customHeight="false" outlineLevel="0" collapsed="false">
      <c r="A563" s="2" t="s">
        <v>149</v>
      </c>
      <c r="B563" s="2" t="n">
        <v>2008</v>
      </c>
      <c r="C563" s="2" t="s">
        <v>54</v>
      </c>
      <c r="D563" s="2" t="n">
        <v>0</v>
      </c>
      <c r="E563" s="2" t="n">
        <v>16</v>
      </c>
      <c r="F563" s="2" t="s">
        <v>50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1</v>
      </c>
      <c r="M563" s="3" t="n">
        <v>0</v>
      </c>
      <c r="N563" s="3" t="n">
        <v>0</v>
      </c>
      <c r="O563" s="3" t="n">
        <v>0</v>
      </c>
      <c r="P563" s="3" t="n">
        <v>1</v>
      </c>
      <c r="Q563" s="3" t="n">
        <v>0</v>
      </c>
      <c r="R563" s="3" t="n">
        <v>1</v>
      </c>
      <c r="S563" s="3" t="n">
        <v>0</v>
      </c>
      <c r="T563" s="3" t="n">
        <v>0</v>
      </c>
      <c r="U563" s="3" t="n">
        <v>1</v>
      </c>
      <c r="V563" s="3" t="n">
        <v>0</v>
      </c>
      <c r="W563" s="3" t="n">
        <v>1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1</v>
      </c>
      <c r="AI563" s="3" t="n">
        <v>1</v>
      </c>
      <c r="AJ563" s="4" t="n">
        <f aca="false">SUM(G563:AI563)</f>
        <v>7</v>
      </c>
      <c r="AK563" s="4" t="n">
        <f aca="false">ROUND(SUMPRODUCT(G563:AI563,Gene_Weights!$B$2:$AD$2),3)</f>
        <v>-8.46</v>
      </c>
      <c r="AL563" s="2" t="n">
        <v>5</v>
      </c>
      <c r="AM563" s="2" t="n">
        <v>2</v>
      </c>
      <c r="AN563" s="2" t="n">
        <v>40</v>
      </c>
      <c r="AO563" s="5" t="n">
        <v>81.84</v>
      </c>
      <c r="AP563" s="5" t="n">
        <v>84.45</v>
      </c>
      <c r="AQ563" s="5" t="n">
        <v>87.06</v>
      </c>
      <c r="AR563" s="5" t="n">
        <v>89.67</v>
      </c>
      <c r="AS563" s="5" t="n">
        <v>92.27</v>
      </c>
      <c r="AT563" s="5" t="n">
        <v>94.88</v>
      </c>
      <c r="AU563" s="5" t="n">
        <v>97.49</v>
      </c>
      <c r="AV563" s="5" t="s">
        <v>51</v>
      </c>
    </row>
    <row r="564" customFormat="false" ht="15" hidden="false" customHeight="false" outlineLevel="0" collapsed="false">
      <c r="A564" s="2" t="s">
        <v>149</v>
      </c>
      <c r="B564" s="2" t="n">
        <v>2008</v>
      </c>
      <c r="C564" s="2" t="s">
        <v>55</v>
      </c>
      <c r="D564" s="2" t="n">
        <v>0</v>
      </c>
      <c r="E564" s="2" t="n">
        <v>2</v>
      </c>
      <c r="F564" s="2" t="s">
        <v>50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0</v>
      </c>
      <c r="N564" s="3" t="n">
        <v>0</v>
      </c>
      <c r="O564" s="3" t="n">
        <v>0</v>
      </c>
      <c r="P564" s="3" t="n">
        <v>1</v>
      </c>
      <c r="Q564" s="3" t="n">
        <v>0</v>
      </c>
      <c r="R564" s="3" t="n">
        <v>1</v>
      </c>
      <c r="S564" s="3" t="n">
        <v>0</v>
      </c>
      <c r="T564" s="3" t="n">
        <v>0</v>
      </c>
      <c r="U564" s="3" t="n">
        <v>1</v>
      </c>
      <c r="V564" s="3" t="n">
        <v>0</v>
      </c>
      <c r="W564" s="3" t="n">
        <v>1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1</v>
      </c>
      <c r="AI564" s="3" t="n">
        <v>1</v>
      </c>
      <c r="AJ564" s="4" t="n">
        <f aca="false">SUM(G564:AI564)</f>
        <v>7</v>
      </c>
      <c r="AK564" s="4" t="n">
        <f aca="false">ROUND(SUMPRODUCT(G564:AI564,Gene_Weights!$B$2:$AD$2),3)</f>
        <v>-8.46</v>
      </c>
      <c r="AL564" s="2" t="n">
        <v>5</v>
      </c>
      <c r="AM564" s="2" t="n">
        <v>2</v>
      </c>
      <c r="AN564" s="2" t="n">
        <v>40</v>
      </c>
      <c r="AO564" s="5" t="n">
        <v>58.19</v>
      </c>
      <c r="AP564" s="5" t="n">
        <v>59.74</v>
      </c>
      <c r="AQ564" s="5" t="n">
        <v>61.3</v>
      </c>
      <c r="AR564" s="5" t="n">
        <v>62.86</v>
      </c>
      <c r="AS564" s="5" t="n">
        <v>64.42</v>
      </c>
      <c r="AT564" s="5" t="n">
        <v>65.98</v>
      </c>
      <c r="AU564" s="5" t="n">
        <v>67.53</v>
      </c>
      <c r="AV564" s="5" t="s">
        <v>51</v>
      </c>
    </row>
    <row r="565" customFormat="false" ht="15" hidden="false" customHeight="false" outlineLevel="0" collapsed="false">
      <c r="A565" s="2" t="s">
        <v>149</v>
      </c>
      <c r="B565" s="2" t="n">
        <v>2008</v>
      </c>
      <c r="C565" s="2" t="s">
        <v>56</v>
      </c>
      <c r="D565" s="2" t="n">
        <v>1</v>
      </c>
      <c r="E565" s="2" t="n">
        <v>16</v>
      </c>
      <c r="F565" s="2" t="s">
        <v>50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1</v>
      </c>
      <c r="M565" s="3" t="n">
        <v>0</v>
      </c>
      <c r="N565" s="3" t="n">
        <v>0</v>
      </c>
      <c r="O565" s="3" t="n">
        <v>0</v>
      </c>
      <c r="P565" s="3" t="n">
        <v>1</v>
      </c>
      <c r="Q565" s="3" t="n">
        <v>0</v>
      </c>
      <c r="R565" s="3" t="n">
        <v>1</v>
      </c>
      <c r="S565" s="3" t="n">
        <v>0</v>
      </c>
      <c r="T565" s="3" t="n">
        <v>0</v>
      </c>
      <c r="U565" s="3" t="n">
        <v>1</v>
      </c>
      <c r="V565" s="3" t="n">
        <v>0</v>
      </c>
      <c r="W565" s="3" t="n">
        <v>1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1</v>
      </c>
      <c r="AI565" s="3" t="n">
        <v>1</v>
      </c>
      <c r="AJ565" s="4" t="n">
        <f aca="false">SUM(G565:AI565)</f>
        <v>7</v>
      </c>
      <c r="AK565" s="4" t="n">
        <f aca="false">ROUND(SUMPRODUCT(G565:AI565,Gene_Weights!$B$2:$AD$2),3)</f>
        <v>-8.46</v>
      </c>
      <c r="AL565" s="2" t="n">
        <v>5</v>
      </c>
      <c r="AM565" s="2" t="n">
        <v>3</v>
      </c>
      <c r="AN565" s="2" t="n">
        <v>60</v>
      </c>
      <c r="AO565" s="5" t="n">
        <v>75.59</v>
      </c>
      <c r="AP565" s="5" t="n">
        <v>78.01</v>
      </c>
      <c r="AQ565" s="5" t="n">
        <v>80.42</v>
      </c>
      <c r="AR565" s="5" t="n">
        <v>82.83</v>
      </c>
      <c r="AS565" s="5" t="n">
        <v>85.24</v>
      </c>
      <c r="AT565" s="5" t="n">
        <v>87.66</v>
      </c>
      <c r="AU565" s="5" t="n">
        <v>90.07</v>
      </c>
      <c r="AV565" s="5" t="s">
        <v>51</v>
      </c>
    </row>
    <row r="566" customFormat="false" ht="15" hidden="false" customHeight="false" outlineLevel="0" collapsed="false">
      <c r="A566" s="2" t="s">
        <v>150</v>
      </c>
      <c r="B566" s="2" t="n">
        <v>2013</v>
      </c>
      <c r="C566" s="2" t="s">
        <v>49</v>
      </c>
      <c r="D566" s="2" t="n">
        <v>1</v>
      </c>
      <c r="E566" s="2" t="n">
        <v>32</v>
      </c>
      <c r="F566" s="2" t="s">
        <v>50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1</v>
      </c>
      <c r="L566" s="3" t="n">
        <v>0</v>
      </c>
      <c r="M566" s="3" t="n">
        <v>1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1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1</v>
      </c>
      <c r="AG566" s="3" t="n">
        <v>1</v>
      </c>
      <c r="AH566" s="3" t="n">
        <v>1</v>
      </c>
      <c r="AI566" s="3" t="n">
        <v>0</v>
      </c>
      <c r="AJ566" s="4" t="n">
        <f aca="false">SUM(G566:AI566)</f>
        <v>6</v>
      </c>
      <c r="AK566" s="4" t="n">
        <f aca="false">ROUND(SUMPRODUCT(G566:AI566,Gene_Weights!$B$2:$AD$2),3)</f>
        <v>-4.39</v>
      </c>
      <c r="AL566" s="2" t="n">
        <v>2</v>
      </c>
      <c r="AM566" s="2" t="n">
        <v>1</v>
      </c>
      <c r="AN566" s="2" t="n">
        <v>50</v>
      </c>
      <c r="AO566" s="5" t="n">
        <v>55.12</v>
      </c>
      <c r="AP566" s="5" t="n">
        <v>56.02</v>
      </c>
      <c r="AQ566" s="5" t="n">
        <v>56.92</v>
      </c>
      <c r="AR566" s="5" t="n">
        <v>57.82</v>
      </c>
      <c r="AS566" s="5" t="n">
        <v>58.72</v>
      </c>
      <c r="AT566" s="5" t="n">
        <v>59.62</v>
      </c>
      <c r="AU566" s="5" t="n">
        <v>60.52</v>
      </c>
      <c r="AV566" s="5" t="s">
        <v>51</v>
      </c>
    </row>
    <row r="567" customFormat="false" ht="15" hidden="false" customHeight="false" outlineLevel="0" collapsed="false">
      <c r="A567" s="2" t="s">
        <v>150</v>
      </c>
      <c r="B567" s="2" t="n">
        <v>2013</v>
      </c>
      <c r="C567" s="2" t="s">
        <v>52</v>
      </c>
      <c r="D567" s="2" t="n">
        <v>0</v>
      </c>
      <c r="E567" s="2" t="n">
        <v>4</v>
      </c>
      <c r="F567" s="2" t="s">
        <v>50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1</v>
      </c>
      <c r="L567" s="3" t="n">
        <v>0</v>
      </c>
      <c r="M567" s="3" t="n">
        <v>1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1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1</v>
      </c>
      <c r="AG567" s="3" t="n">
        <v>1</v>
      </c>
      <c r="AH567" s="3" t="n">
        <v>1</v>
      </c>
      <c r="AI567" s="3" t="n">
        <v>0</v>
      </c>
      <c r="AJ567" s="4" t="n">
        <f aca="false">SUM(G567:AI567)</f>
        <v>6</v>
      </c>
      <c r="AK567" s="4" t="n">
        <f aca="false">ROUND(SUMPRODUCT(G567:AI567,Gene_Weights!$B$2:$AD$2),3)</f>
        <v>-4.39</v>
      </c>
      <c r="AL567" s="2" t="n">
        <v>2</v>
      </c>
      <c r="AM567" s="2" t="n">
        <v>0</v>
      </c>
      <c r="AN567" s="2" t="n">
        <v>0</v>
      </c>
      <c r="AO567" s="5" t="n">
        <v>64.53</v>
      </c>
      <c r="AP567" s="5" t="n">
        <v>66.13</v>
      </c>
      <c r="AQ567" s="5" t="n">
        <v>67.73</v>
      </c>
      <c r="AR567" s="5" t="n">
        <v>69.33</v>
      </c>
      <c r="AS567" s="5" t="n">
        <v>70.93</v>
      </c>
      <c r="AT567" s="5" t="n">
        <v>72.53</v>
      </c>
      <c r="AU567" s="5" t="n">
        <v>74.13</v>
      </c>
      <c r="AV567" s="5" t="s">
        <v>51</v>
      </c>
    </row>
    <row r="568" customFormat="false" ht="15" hidden="false" customHeight="false" outlineLevel="0" collapsed="false">
      <c r="A568" s="2" t="s">
        <v>150</v>
      </c>
      <c r="B568" s="2" t="n">
        <v>2013</v>
      </c>
      <c r="C568" s="2" t="s">
        <v>53</v>
      </c>
      <c r="D568" s="2" t="n">
        <v>0</v>
      </c>
      <c r="E568" s="2" t="n">
        <v>16</v>
      </c>
      <c r="F568" s="2" t="s">
        <v>50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1</v>
      </c>
      <c r="L568" s="3" t="n">
        <v>0</v>
      </c>
      <c r="M568" s="3" t="n">
        <v>1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1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1</v>
      </c>
      <c r="AG568" s="3" t="n">
        <v>1</v>
      </c>
      <c r="AH568" s="3" t="n">
        <v>1</v>
      </c>
      <c r="AI568" s="3" t="n">
        <v>0</v>
      </c>
      <c r="AJ568" s="4" t="n">
        <f aca="false">SUM(G568:AI568)</f>
        <v>6</v>
      </c>
      <c r="AK568" s="4" t="n">
        <f aca="false">ROUND(SUMPRODUCT(G568:AI568,Gene_Weights!$B$2:$AD$2),3)</f>
        <v>-4.39</v>
      </c>
      <c r="AL568" s="2" t="n">
        <v>2</v>
      </c>
      <c r="AM568" s="2" t="n">
        <v>1</v>
      </c>
      <c r="AN568" s="2" t="n">
        <v>50</v>
      </c>
      <c r="AO568" s="5" t="n">
        <v>52.86</v>
      </c>
      <c r="AP568" s="5" t="n">
        <v>53.65</v>
      </c>
      <c r="AQ568" s="5" t="n">
        <v>54.45</v>
      </c>
      <c r="AR568" s="5" t="n">
        <v>55.24</v>
      </c>
      <c r="AS568" s="5" t="n">
        <v>56.03</v>
      </c>
      <c r="AT568" s="5" t="n">
        <v>56.83</v>
      </c>
      <c r="AU568" s="5" t="n">
        <v>57.62</v>
      </c>
      <c r="AV568" s="5" t="s">
        <v>51</v>
      </c>
    </row>
    <row r="569" customFormat="false" ht="15" hidden="false" customHeight="false" outlineLevel="0" collapsed="false">
      <c r="A569" s="2" t="s">
        <v>150</v>
      </c>
      <c r="B569" s="2" t="n">
        <v>2013</v>
      </c>
      <c r="C569" s="2" t="s">
        <v>54</v>
      </c>
      <c r="D569" s="2" t="n">
        <v>0</v>
      </c>
      <c r="E569" s="2" t="n">
        <v>16</v>
      </c>
      <c r="F569" s="2" t="s">
        <v>50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1</v>
      </c>
      <c r="L569" s="3" t="n">
        <v>0</v>
      </c>
      <c r="M569" s="3" t="n">
        <v>1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1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1</v>
      </c>
      <c r="AG569" s="3" t="n">
        <v>1</v>
      </c>
      <c r="AH569" s="3" t="n">
        <v>1</v>
      </c>
      <c r="AI569" s="3" t="n">
        <v>0</v>
      </c>
      <c r="AJ569" s="4" t="n">
        <f aca="false">SUM(G569:AI569)</f>
        <v>6</v>
      </c>
      <c r="AK569" s="4" t="n">
        <f aca="false">ROUND(SUMPRODUCT(G569:AI569,Gene_Weights!$B$2:$AD$2),3)</f>
        <v>-4.39</v>
      </c>
      <c r="AL569" s="2" t="n">
        <v>2</v>
      </c>
      <c r="AM569" s="2" t="n">
        <v>0</v>
      </c>
      <c r="AN569" s="2" t="n">
        <v>0</v>
      </c>
      <c r="AO569" s="5" t="n">
        <v>81.84</v>
      </c>
      <c r="AP569" s="5" t="n">
        <v>84.45</v>
      </c>
      <c r="AQ569" s="5" t="n">
        <v>87.06</v>
      </c>
      <c r="AR569" s="5" t="n">
        <v>89.67</v>
      </c>
      <c r="AS569" s="5" t="n">
        <v>92.27</v>
      </c>
      <c r="AT569" s="5" t="n">
        <v>94.88</v>
      </c>
      <c r="AU569" s="5" t="n">
        <v>97.49</v>
      </c>
      <c r="AV569" s="5" t="s">
        <v>51</v>
      </c>
    </row>
    <row r="570" customFormat="false" ht="15" hidden="false" customHeight="false" outlineLevel="0" collapsed="false">
      <c r="A570" s="2" t="s">
        <v>150</v>
      </c>
      <c r="B570" s="2" t="n">
        <v>2013</v>
      </c>
      <c r="C570" s="2" t="s">
        <v>55</v>
      </c>
      <c r="D570" s="2" t="n">
        <v>1</v>
      </c>
      <c r="E570" s="2" t="n">
        <v>4</v>
      </c>
      <c r="F570" s="2" t="s">
        <v>50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1</v>
      </c>
      <c r="L570" s="3" t="n">
        <v>0</v>
      </c>
      <c r="M570" s="3" t="n">
        <v>1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1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1</v>
      </c>
      <c r="AG570" s="3" t="n">
        <v>1</v>
      </c>
      <c r="AH570" s="3" t="n">
        <v>1</v>
      </c>
      <c r="AI570" s="3" t="n">
        <v>0</v>
      </c>
      <c r="AJ570" s="4" t="n">
        <f aca="false">SUM(G570:AI570)</f>
        <v>6</v>
      </c>
      <c r="AK570" s="4" t="n">
        <f aca="false">ROUND(SUMPRODUCT(G570:AI570,Gene_Weights!$B$2:$AD$2),3)</f>
        <v>-4.39</v>
      </c>
      <c r="AL570" s="2" t="n">
        <v>2</v>
      </c>
      <c r="AM570" s="2" t="n">
        <v>2</v>
      </c>
      <c r="AN570" s="2" t="n">
        <v>100</v>
      </c>
      <c r="AO570" s="5" t="n">
        <v>58.19</v>
      </c>
      <c r="AP570" s="5" t="n">
        <v>59.74</v>
      </c>
      <c r="AQ570" s="5" t="n">
        <v>61.3</v>
      </c>
      <c r="AR570" s="5" t="n">
        <v>62.86</v>
      </c>
      <c r="AS570" s="5" t="n">
        <v>64.42</v>
      </c>
      <c r="AT570" s="5" t="n">
        <v>65.98</v>
      </c>
      <c r="AU570" s="5" t="n">
        <v>67.53</v>
      </c>
      <c r="AV570" s="5" t="s">
        <v>51</v>
      </c>
    </row>
    <row r="571" customFormat="false" ht="15" hidden="false" customHeight="false" outlineLevel="0" collapsed="false">
      <c r="A571" s="2" t="s">
        <v>150</v>
      </c>
      <c r="B571" s="2" t="n">
        <v>2013</v>
      </c>
      <c r="C571" s="2" t="s">
        <v>56</v>
      </c>
      <c r="D571" s="2" t="n">
        <v>1</v>
      </c>
      <c r="E571" s="2" t="n">
        <v>16</v>
      </c>
      <c r="F571" s="2" t="s">
        <v>50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1</v>
      </c>
      <c r="L571" s="3" t="n">
        <v>0</v>
      </c>
      <c r="M571" s="3" t="n">
        <v>1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1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1</v>
      </c>
      <c r="AG571" s="3" t="n">
        <v>1</v>
      </c>
      <c r="AH571" s="3" t="n">
        <v>1</v>
      </c>
      <c r="AI571" s="3" t="n">
        <v>0</v>
      </c>
      <c r="AJ571" s="4" t="n">
        <f aca="false">SUM(G571:AI571)</f>
        <v>6</v>
      </c>
      <c r="AK571" s="4" t="n">
        <f aca="false">ROUND(SUMPRODUCT(G571:AI571,Gene_Weights!$B$2:$AD$2),3)</f>
        <v>-4.39</v>
      </c>
      <c r="AL571" s="2" t="n">
        <v>2</v>
      </c>
      <c r="AM571" s="2" t="n">
        <v>1</v>
      </c>
      <c r="AN571" s="2" t="n">
        <v>50</v>
      </c>
      <c r="AO571" s="5" t="n">
        <v>75.59</v>
      </c>
      <c r="AP571" s="5" t="n">
        <v>78.01</v>
      </c>
      <c r="AQ571" s="5" t="n">
        <v>80.42</v>
      </c>
      <c r="AR571" s="5" t="n">
        <v>82.83</v>
      </c>
      <c r="AS571" s="5" t="n">
        <v>85.24</v>
      </c>
      <c r="AT571" s="5" t="n">
        <v>87.66</v>
      </c>
      <c r="AU571" s="5" t="n">
        <v>90.07</v>
      </c>
      <c r="AV571" s="5" t="s">
        <v>51</v>
      </c>
    </row>
    <row r="572" customFormat="false" ht="15" hidden="false" customHeight="false" outlineLevel="0" collapsed="false">
      <c r="A572" s="2" t="s">
        <v>151</v>
      </c>
      <c r="B572" s="2" t="n">
        <v>2009</v>
      </c>
      <c r="C572" s="2" t="s">
        <v>49</v>
      </c>
      <c r="D572" s="2" t="n">
        <v>0</v>
      </c>
      <c r="E572" s="2" t="n">
        <v>2</v>
      </c>
      <c r="F572" s="2" t="s">
        <v>50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1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1</v>
      </c>
      <c r="U572" s="3" t="n">
        <v>1</v>
      </c>
      <c r="V572" s="3" t="n">
        <v>1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1</v>
      </c>
      <c r="AC572" s="3" t="n">
        <v>1</v>
      </c>
      <c r="AD572" s="3" t="n">
        <v>1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1</v>
      </c>
      <c r="AJ572" s="4" t="n">
        <f aca="false">SUM(G572:AI572)</f>
        <v>8</v>
      </c>
      <c r="AK572" s="4" t="n">
        <f aca="false">ROUND(SUMPRODUCT(G572:AI572,Gene_Weights!$B$2:$AD$2),3)</f>
        <v>-7.81</v>
      </c>
      <c r="AL572" s="2" t="n">
        <v>12</v>
      </c>
      <c r="AM572" s="2" t="n">
        <v>4</v>
      </c>
      <c r="AN572" s="2" t="n">
        <v>33.33</v>
      </c>
      <c r="AO572" s="5" t="n">
        <v>55.12</v>
      </c>
      <c r="AP572" s="5" t="n">
        <v>56.02</v>
      </c>
      <c r="AQ572" s="5" t="n">
        <v>56.92</v>
      </c>
      <c r="AR572" s="5" t="n">
        <v>57.82</v>
      </c>
      <c r="AS572" s="5" t="n">
        <v>58.72</v>
      </c>
      <c r="AT572" s="5" t="n">
        <v>59.62</v>
      </c>
      <c r="AU572" s="5" t="n">
        <v>60.52</v>
      </c>
      <c r="AV572" s="5" t="s">
        <v>51</v>
      </c>
    </row>
    <row r="573" customFormat="false" ht="15" hidden="false" customHeight="false" outlineLevel="0" collapsed="false">
      <c r="A573" s="2" t="s">
        <v>151</v>
      </c>
      <c r="B573" s="2" t="n">
        <v>2009</v>
      </c>
      <c r="C573" s="2" t="s">
        <v>52</v>
      </c>
      <c r="D573" s="2" t="n">
        <v>0</v>
      </c>
      <c r="E573" s="2" t="n">
        <v>4</v>
      </c>
      <c r="F573" s="2" t="s">
        <v>50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1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1</v>
      </c>
      <c r="U573" s="3" t="n">
        <v>1</v>
      </c>
      <c r="V573" s="3" t="n">
        <v>1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1</v>
      </c>
      <c r="AC573" s="3" t="n">
        <v>1</v>
      </c>
      <c r="AD573" s="3" t="n">
        <v>1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1</v>
      </c>
      <c r="AJ573" s="4" t="n">
        <f aca="false">SUM(G573:AI573)</f>
        <v>8</v>
      </c>
      <c r="AK573" s="4" t="n">
        <f aca="false">ROUND(SUMPRODUCT(G573:AI573,Gene_Weights!$B$2:$AD$2),3)</f>
        <v>-7.81</v>
      </c>
      <c r="AL573" s="2" t="n">
        <v>12</v>
      </c>
      <c r="AM573" s="2" t="n">
        <v>3</v>
      </c>
      <c r="AN573" s="2" t="n">
        <v>25</v>
      </c>
      <c r="AO573" s="5" t="n">
        <v>64.53</v>
      </c>
      <c r="AP573" s="5" t="n">
        <v>66.13</v>
      </c>
      <c r="AQ573" s="5" t="n">
        <v>67.73</v>
      </c>
      <c r="AR573" s="5" t="n">
        <v>69.33</v>
      </c>
      <c r="AS573" s="5" t="n">
        <v>70.93</v>
      </c>
      <c r="AT573" s="5" t="n">
        <v>72.53</v>
      </c>
      <c r="AU573" s="5" t="n">
        <v>74.13</v>
      </c>
      <c r="AV573" s="5" t="s">
        <v>51</v>
      </c>
    </row>
    <row r="574" customFormat="false" ht="15" hidden="false" customHeight="false" outlineLevel="0" collapsed="false">
      <c r="A574" s="2" t="s">
        <v>151</v>
      </c>
      <c r="B574" s="2" t="n">
        <v>2009</v>
      </c>
      <c r="C574" s="2" t="s">
        <v>53</v>
      </c>
      <c r="D574" s="2" t="n">
        <v>1</v>
      </c>
      <c r="E574" s="2" t="n">
        <v>2</v>
      </c>
      <c r="F574" s="2" t="s">
        <v>50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1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1</v>
      </c>
      <c r="U574" s="3" t="n">
        <v>1</v>
      </c>
      <c r="V574" s="3" t="n">
        <v>1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1</v>
      </c>
      <c r="AC574" s="3" t="n">
        <v>1</v>
      </c>
      <c r="AD574" s="3" t="n">
        <v>1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1</v>
      </c>
      <c r="AJ574" s="4" t="n">
        <f aca="false">SUM(G574:AI574)</f>
        <v>8</v>
      </c>
      <c r="AK574" s="4" t="n">
        <f aca="false">ROUND(SUMPRODUCT(G574:AI574,Gene_Weights!$B$2:$AD$2),3)</f>
        <v>-7.81</v>
      </c>
      <c r="AL574" s="2" t="n">
        <v>12</v>
      </c>
      <c r="AM574" s="2" t="n">
        <v>9</v>
      </c>
      <c r="AN574" s="2" t="n">
        <v>75</v>
      </c>
      <c r="AO574" s="5" t="n">
        <v>52.86</v>
      </c>
      <c r="AP574" s="5" t="n">
        <v>53.65</v>
      </c>
      <c r="AQ574" s="5" t="n">
        <v>54.45</v>
      </c>
      <c r="AR574" s="5" t="n">
        <v>55.24</v>
      </c>
      <c r="AS574" s="5" t="n">
        <v>56.03</v>
      </c>
      <c r="AT574" s="5" t="n">
        <v>56.83</v>
      </c>
      <c r="AU574" s="5" t="n">
        <v>57.62</v>
      </c>
      <c r="AV574" s="5" t="s">
        <v>51</v>
      </c>
    </row>
    <row r="575" customFormat="false" ht="15" hidden="false" customHeight="false" outlineLevel="0" collapsed="false">
      <c r="A575" s="2" t="s">
        <v>151</v>
      </c>
      <c r="B575" s="2" t="n">
        <v>2009</v>
      </c>
      <c r="C575" s="2" t="s">
        <v>54</v>
      </c>
      <c r="D575" s="2" t="n">
        <v>1</v>
      </c>
      <c r="E575" s="2" t="n">
        <v>32</v>
      </c>
      <c r="F575" s="2" t="s">
        <v>50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1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1</v>
      </c>
      <c r="U575" s="3" t="n">
        <v>1</v>
      </c>
      <c r="V575" s="3" t="n">
        <v>1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1</v>
      </c>
      <c r="AC575" s="3" t="n">
        <v>1</v>
      </c>
      <c r="AD575" s="3" t="n">
        <v>1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1</v>
      </c>
      <c r="AJ575" s="4" t="n">
        <f aca="false">SUM(G575:AI575)</f>
        <v>8</v>
      </c>
      <c r="AK575" s="4" t="n">
        <f aca="false">ROUND(SUMPRODUCT(G575:AI575,Gene_Weights!$B$2:$AD$2),3)</f>
        <v>-7.81</v>
      </c>
      <c r="AL575" s="2" t="n">
        <v>12</v>
      </c>
      <c r="AM575" s="2" t="n">
        <v>8</v>
      </c>
      <c r="AN575" s="2" t="n">
        <v>66.67</v>
      </c>
      <c r="AO575" s="5" t="n">
        <v>81.84</v>
      </c>
      <c r="AP575" s="5" t="n">
        <v>84.45</v>
      </c>
      <c r="AQ575" s="5" t="n">
        <v>87.06</v>
      </c>
      <c r="AR575" s="5" t="n">
        <v>89.67</v>
      </c>
      <c r="AS575" s="5" t="n">
        <v>92.27</v>
      </c>
      <c r="AT575" s="5" t="n">
        <v>94.88</v>
      </c>
      <c r="AU575" s="5" t="n">
        <v>97.49</v>
      </c>
      <c r="AV575" s="5" t="s">
        <v>51</v>
      </c>
    </row>
    <row r="576" customFormat="false" ht="15" hidden="false" customHeight="false" outlineLevel="0" collapsed="false">
      <c r="A576" s="2" t="s">
        <v>151</v>
      </c>
      <c r="B576" s="2" t="n">
        <v>2009</v>
      </c>
      <c r="C576" s="2" t="s">
        <v>55</v>
      </c>
      <c r="D576" s="2" t="n">
        <v>0</v>
      </c>
      <c r="E576" s="2" t="n">
        <v>32</v>
      </c>
      <c r="F576" s="2" t="s">
        <v>50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1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1</v>
      </c>
      <c r="U576" s="3" t="n">
        <v>1</v>
      </c>
      <c r="V576" s="3" t="n">
        <v>1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1</v>
      </c>
      <c r="AC576" s="3" t="n">
        <v>1</v>
      </c>
      <c r="AD576" s="3" t="n">
        <v>1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1</v>
      </c>
      <c r="AJ576" s="4" t="n">
        <f aca="false">SUM(G576:AI576)</f>
        <v>8</v>
      </c>
      <c r="AK576" s="4" t="n">
        <f aca="false">ROUND(SUMPRODUCT(G576:AI576,Gene_Weights!$B$2:$AD$2),3)</f>
        <v>-7.81</v>
      </c>
      <c r="AL576" s="2" t="n">
        <v>12</v>
      </c>
      <c r="AM576" s="2" t="n">
        <v>2</v>
      </c>
      <c r="AN576" s="2" t="n">
        <v>16.67</v>
      </c>
      <c r="AO576" s="5" t="n">
        <v>58.19</v>
      </c>
      <c r="AP576" s="5" t="n">
        <v>59.74</v>
      </c>
      <c r="AQ576" s="5" t="n">
        <v>61.3</v>
      </c>
      <c r="AR576" s="5" t="n">
        <v>62.86</v>
      </c>
      <c r="AS576" s="5" t="n">
        <v>64.42</v>
      </c>
      <c r="AT576" s="5" t="n">
        <v>65.98</v>
      </c>
      <c r="AU576" s="5" t="n">
        <v>67.53</v>
      </c>
      <c r="AV576" s="5" t="s">
        <v>51</v>
      </c>
    </row>
    <row r="577" customFormat="false" ht="15" hidden="false" customHeight="false" outlineLevel="0" collapsed="false">
      <c r="A577" s="2" t="s">
        <v>151</v>
      </c>
      <c r="B577" s="2" t="n">
        <v>2009</v>
      </c>
      <c r="C577" s="2" t="s">
        <v>56</v>
      </c>
      <c r="D577" s="2" t="n">
        <v>1</v>
      </c>
      <c r="E577" s="2" t="n">
        <v>4</v>
      </c>
      <c r="F577" s="2" t="s">
        <v>50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1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1</v>
      </c>
      <c r="U577" s="3" t="n">
        <v>1</v>
      </c>
      <c r="V577" s="3" t="n">
        <v>1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1</v>
      </c>
      <c r="AC577" s="3" t="n">
        <v>1</v>
      </c>
      <c r="AD577" s="3" t="n">
        <v>1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1</v>
      </c>
      <c r="AJ577" s="4" t="n">
        <f aca="false">SUM(G577:AI577)</f>
        <v>8</v>
      </c>
      <c r="AK577" s="4" t="n">
        <f aca="false">ROUND(SUMPRODUCT(G577:AI577,Gene_Weights!$B$2:$AD$2),3)</f>
        <v>-7.81</v>
      </c>
      <c r="AL577" s="2" t="n">
        <v>12</v>
      </c>
      <c r="AM577" s="2" t="n">
        <v>4</v>
      </c>
      <c r="AN577" s="2" t="n">
        <v>33.33</v>
      </c>
      <c r="AO577" s="5" t="n">
        <v>75.59</v>
      </c>
      <c r="AP577" s="5" t="n">
        <v>78.01</v>
      </c>
      <c r="AQ577" s="5" t="n">
        <v>80.42</v>
      </c>
      <c r="AR577" s="5" t="n">
        <v>82.83</v>
      </c>
      <c r="AS577" s="5" t="n">
        <v>85.24</v>
      </c>
      <c r="AT577" s="5" t="n">
        <v>87.66</v>
      </c>
      <c r="AU577" s="5" t="n">
        <v>90.07</v>
      </c>
      <c r="AV577" s="5" t="s">
        <v>51</v>
      </c>
    </row>
    <row r="578" customFormat="false" ht="15" hidden="false" customHeight="false" outlineLevel="0" collapsed="false">
      <c r="A578" s="2" t="s">
        <v>152</v>
      </c>
      <c r="B578" s="2" t="n">
        <v>2021</v>
      </c>
      <c r="C578" s="2" t="s">
        <v>49</v>
      </c>
      <c r="D578" s="2" t="n">
        <v>0</v>
      </c>
      <c r="E578" s="2" t="n">
        <v>16</v>
      </c>
      <c r="F578" s="2" t="s">
        <v>50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1</v>
      </c>
      <c r="M578" s="3" t="n">
        <v>1</v>
      </c>
      <c r="N578" s="3" t="n">
        <v>0</v>
      </c>
      <c r="O578" s="3" t="n">
        <v>1</v>
      </c>
      <c r="P578" s="3" t="n">
        <v>1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1</v>
      </c>
      <c r="V578" s="3" t="n">
        <v>0</v>
      </c>
      <c r="W578" s="3" t="n">
        <v>0</v>
      </c>
      <c r="X578" s="3" t="n">
        <v>1</v>
      </c>
      <c r="Y578" s="3" t="n">
        <v>0</v>
      </c>
      <c r="Z578" s="3" t="n">
        <v>1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1</v>
      </c>
      <c r="AG578" s="3" t="n">
        <v>0</v>
      </c>
      <c r="AH578" s="3" t="n">
        <v>0</v>
      </c>
      <c r="AI578" s="3" t="n">
        <v>1</v>
      </c>
      <c r="AJ578" s="4" t="n">
        <f aca="false">SUM(G578:AI578)</f>
        <v>9</v>
      </c>
      <c r="AK578" s="4" t="n">
        <f aca="false">ROUND(SUMPRODUCT(G578:AI578,Gene_Weights!$B$2:$AD$2),3)</f>
        <v>-7.87</v>
      </c>
      <c r="AL578" s="2" t="n">
        <v>5</v>
      </c>
      <c r="AM578" s="2" t="n">
        <v>0</v>
      </c>
      <c r="AN578" s="2" t="n">
        <v>0</v>
      </c>
      <c r="AO578" s="5" t="n">
        <v>55.12</v>
      </c>
      <c r="AP578" s="5" t="n">
        <v>56.02</v>
      </c>
      <c r="AQ578" s="5" t="n">
        <v>56.92</v>
      </c>
      <c r="AR578" s="5" t="n">
        <v>57.82</v>
      </c>
      <c r="AS578" s="5" t="n">
        <v>58.72</v>
      </c>
      <c r="AT578" s="5" t="n">
        <v>59.62</v>
      </c>
      <c r="AU578" s="5" t="n">
        <v>60.52</v>
      </c>
      <c r="AV578" s="5" t="s">
        <v>51</v>
      </c>
    </row>
    <row r="579" customFormat="false" ht="15" hidden="false" customHeight="false" outlineLevel="0" collapsed="false">
      <c r="A579" s="2" t="s">
        <v>152</v>
      </c>
      <c r="B579" s="2" t="n">
        <v>2021</v>
      </c>
      <c r="C579" s="2" t="s">
        <v>52</v>
      </c>
      <c r="D579" s="2" t="n">
        <v>0</v>
      </c>
      <c r="E579" s="2" t="n">
        <v>2</v>
      </c>
      <c r="F579" s="2" t="s">
        <v>50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1</v>
      </c>
      <c r="M579" s="3" t="n">
        <v>1</v>
      </c>
      <c r="N579" s="3" t="n">
        <v>0</v>
      </c>
      <c r="O579" s="3" t="n">
        <v>1</v>
      </c>
      <c r="P579" s="3" t="n">
        <v>1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1</v>
      </c>
      <c r="V579" s="3" t="n">
        <v>0</v>
      </c>
      <c r="W579" s="3" t="n">
        <v>0</v>
      </c>
      <c r="X579" s="3" t="n">
        <v>1</v>
      </c>
      <c r="Y579" s="3" t="n">
        <v>0</v>
      </c>
      <c r="Z579" s="3" t="n">
        <v>1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1</v>
      </c>
      <c r="AG579" s="3" t="n">
        <v>0</v>
      </c>
      <c r="AH579" s="3" t="n">
        <v>0</v>
      </c>
      <c r="AI579" s="3" t="n">
        <v>1</v>
      </c>
      <c r="AJ579" s="4" t="n">
        <f aca="false">SUM(G579:AI579)</f>
        <v>9</v>
      </c>
      <c r="AK579" s="4" t="n">
        <f aca="false">ROUND(SUMPRODUCT(G579:AI579,Gene_Weights!$B$2:$AD$2),3)</f>
        <v>-7.87</v>
      </c>
      <c r="AL579" s="2" t="n">
        <v>5</v>
      </c>
      <c r="AM579" s="2" t="n">
        <v>2</v>
      </c>
      <c r="AN579" s="2" t="n">
        <v>40</v>
      </c>
      <c r="AO579" s="5" t="n">
        <v>64.53</v>
      </c>
      <c r="AP579" s="5" t="n">
        <v>66.13</v>
      </c>
      <c r="AQ579" s="5" t="n">
        <v>67.73</v>
      </c>
      <c r="AR579" s="5" t="n">
        <v>69.33</v>
      </c>
      <c r="AS579" s="5" t="n">
        <v>70.93</v>
      </c>
      <c r="AT579" s="5" t="n">
        <v>72.53</v>
      </c>
      <c r="AU579" s="5" t="n">
        <v>74.13</v>
      </c>
      <c r="AV579" s="5" t="s">
        <v>51</v>
      </c>
    </row>
    <row r="580" customFormat="false" ht="15" hidden="false" customHeight="false" outlineLevel="0" collapsed="false">
      <c r="A580" s="2" t="s">
        <v>152</v>
      </c>
      <c r="B580" s="2" t="n">
        <v>2021</v>
      </c>
      <c r="C580" s="2" t="s">
        <v>53</v>
      </c>
      <c r="D580" s="2" t="n">
        <v>1</v>
      </c>
      <c r="E580" s="2" t="n">
        <v>2</v>
      </c>
      <c r="F580" s="2" t="s">
        <v>50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1</v>
      </c>
      <c r="M580" s="3" t="n">
        <v>1</v>
      </c>
      <c r="N580" s="3" t="n">
        <v>0</v>
      </c>
      <c r="O580" s="3" t="n">
        <v>1</v>
      </c>
      <c r="P580" s="3" t="n">
        <v>1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1</v>
      </c>
      <c r="V580" s="3" t="n">
        <v>0</v>
      </c>
      <c r="W580" s="3" t="n">
        <v>0</v>
      </c>
      <c r="X580" s="3" t="n">
        <v>1</v>
      </c>
      <c r="Y580" s="3" t="n">
        <v>0</v>
      </c>
      <c r="Z580" s="3" t="n">
        <v>1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1</v>
      </c>
      <c r="AG580" s="3" t="n">
        <v>0</v>
      </c>
      <c r="AH580" s="3" t="n">
        <v>0</v>
      </c>
      <c r="AI580" s="3" t="n">
        <v>1</v>
      </c>
      <c r="AJ580" s="4" t="n">
        <f aca="false">SUM(G580:AI580)</f>
        <v>9</v>
      </c>
      <c r="AK580" s="4" t="n">
        <f aca="false">ROUND(SUMPRODUCT(G580:AI580,Gene_Weights!$B$2:$AD$2),3)</f>
        <v>-7.87</v>
      </c>
      <c r="AL580" s="2" t="n">
        <v>5</v>
      </c>
      <c r="AM580" s="2" t="n">
        <v>3</v>
      </c>
      <c r="AN580" s="2" t="n">
        <v>60</v>
      </c>
      <c r="AO580" s="5" t="n">
        <v>52.86</v>
      </c>
      <c r="AP580" s="5" t="n">
        <v>53.65</v>
      </c>
      <c r="AQ580" s="5" t="n">
        <v>54.45</v>
      </c>
      <c r="AR580" s="5" t="n">
        <v>55.24</v>
      </c>
      <c r="AS580" s="5" t="n">
        <v>56.03</v>
      </c>
      <c r="AT580" s="5" t="n">
        <v>56.83</v>
      </c>
      <c r="AU580" s="5" t="n">
        <v>57.62</v>
      </c>
      <c r="AV580" s="5" t="s">
        <v>51</v>
      </c>
    </row>
    <row r="581" customFormat="false" ht="15" hidden="false" customHeight="false" outlineLevel="0" collapsed="false">
      <c r="A581" s="2" t="s">
        <v>152</v>
      </c>
      <c r="B581" s="2" t="n">
        <v>2021</v>
      </c>
      <c r="C581" s="2" t="s">
        <v>54</v>
      </c>
      <c r="D581" s="2" t="n">
        <v>1</v>
      </c>
      <c r="E581" s="2" t="n">
        <v>32</v>
      </c>
      <c r="F581" s="2" t="s">
        <v>50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1</v>
      </c>
      <c r="M581" s="3" t="n">
        <v>1</v>
      </c>
      <c r="N581" s="3" t="n">
        <v>0</v>
      </c>
      <c r="O581" s="3" t="n">
        <v>1</v>
      </c>
      <c r="P581" s="3" t="n">
        <v>1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1</v>
      </c>
      <c r="V581" s="3" t="n">
        <v>0</v>
      </c>
      <c r="W581" s="3" t="n">
        <v>0</v>
      </c>
      <c r="X581" s="3" t="n">
        <v>1</v>
      </c>
      <c r="Y581" s="3" t="n">
        <v>0</v>
      </c>
      <c r="Z581" s="3" t="n">
        <v>1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1</v>
      </c>
      <c r="AG581" s="3" t="n">
        <v>0</v>
      </c>
      <c r="AH581" s="3" t="n">
        <v>0</v>
      </c>
      <c r="AI581" s="3" t="n">
        <v>1</v>
      </c>
      <c r="AJ581" s="4" t="n">
        <f aca="false">SUM(G581:AI581)</f>
        <v>9</v>
      </c>
      <c r="AK581" s="4" t="n">
        <f aca="false">ROUND(SUMPRODUCT(G581:AI581,Gene_Weights!$B$2:$AD$2),3)</f>
        <v>-7.87</v>
      </c>
      <c r="AL581" s="2" t="n">
        <v>5</v>
      </c>
      <c r="AM581" s="2" t="n">
        <v>5</v>
      </c>
      <c r="AN581" s="2" t="n">
        <v>100</v>
      </c>
      <c r="AO581" s="5" t="n">
        <v>81.84</v>
      </c>
      <c r="AP581" s="5" t="n">
        <v>84.45</v>
      </c>
      <c r="AQ581" s="5" t="n">
        <v>87.06</v>
      </c>
      <c r="AR581" s="5" t="n">
        <v>89.67</v>
      </c>
      <c r="AS581" s="5" t="n">
        <v>92.27</v>
      </c>
      <c r="AT581" s="5" t="n">
        <v>94.88</v>
      </c>
      <c r="AU581" s="5" t="n">
        <v>97.49</v>
      </c>
      <c r="AV581" s="5" t="s">
        <v>51</v>
      </c>
    </row>
    <row r="582" customFormat="false" ht="15" hidden="false" customHeight="false" outlineLevel="0" collapsed="false">
      <c r="A582" s="2" t="s">
        <v>152</v>
      </c>
      <c r="B582" s="2" t="n">
        <v>2021</v>
      </c>
      <c r="C582" s="2" t="s">
        <v>55</v>
      </c>
      <c r="D582" s="2" t="n">
        <v>0</v>
      </c>
      <c r="E582" s="2" t="n">
        <v>2</v>
      </c>
      <c r="F582" s="2" t="s">
        <v>50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1</v>
      </c>
      <c r="M582" s="3" t="n">
        <v>1</v>
      </c>
      <c r="N582" s="3" t="n">
        <v>0</v>
      </c>
      <c r="O582" s="3" t="n">
        <v>1</v>
      </c>
      <c r="P582" s="3" t="n">
        <v>1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1</v>
      </c>
      <c r="V582" s="3" t="n">
        <v>0</v>
      </c>
      <c r="W582" s="3" t="n">
        <v>0</v>
      </c>
      <c r="X582" s="3" t="n">
        <v>1</v>
      </c>
      <c r="Y582" s="3" t="n">
        <v>0</v>
      </c>
      <c r="Z582" s="3" t="n">
        <v>1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1</v>
      </c>
      <c r="AG582" s="3" t="n">
        <v>0</v>
      </c>
      <c r="AH582" s="3" t="n">
        <v>0</v>
      </c>
      <c r="AI582" s="3" t="n">
        <v>1</v>
      </c>
      <c r="AJ582" s="4" t="n">
        <f aca="false">SUM(G582:AI582)</f>
        <v>9</v>
      </c>
      <c r="AK582" s="4" t="n">
        <f aca="false">ROUND(SUMPRODUCT(G582:AI582,Gene_Weights!$B$2:$AD$2),3)</f>
        <v>-7.87</v>
      </c>
      <c r="AL582" s="2" t="n">
        <v>5</v>
      </c>
      <c r="AM582" s="2" t="n">
        <v>2</v>
      </c>
      <c r="AN582" s="2" t="n">
        <v>40</v>
      </c>
      <c r="AO582" s="5" t="n">
        <v>58.19</v>
      </c>
      <c r="AP582" s="5" t="n">
        <v>59.74</v>
      </c>
      <c r="AQ582" s="5" t="n">
        <v>61.3</v>
      </c>
      <c r="AR582" s="5" t="n">
        <v>62.86</v>
      </c>
      <c r="AS582" s="5" t="n">
        <v>64.42</v>
      </c>
      <c r="AT582" s="5" t="n">
        <v>65.98</v>
      </c>
      <c r="AU582" s="5" t="n">
        <v>67.53</v>
      </c>
      <c r="AV582" s="5" t="s">
        <v>51</v>
      </c>
    </row>
    <row r="583" customFormat="false" ht="15" hidden="false" customHeight="false" outlineLevel="0" collapsed="false">
      <c r="A583" s="2" t="s">
        <v>152</v>
      </c>
      <c r="B583" s="2" t="n">
        <v>2021</v>
      </c>
      <c r="C583" s="2" t="s">
        <v>56</v>
      </c>
      <c r="D583" s="2" t="n">
        <v>1</v>
      </c>
      <c r="E583" s="2" t="n">
        <v>4</v>
      </c>
      <c r="F583" s="2" t="s">
        <v>50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1</v>
      </c>
      <c r="M583" s="3" t="n">
        <v>1</v>
      </c>
      <c r="N583" s="3" t="n">
        <v>0</v>
      </c>
      <c r="O583" s="3" t="n">
        <v>1</v>
      </c>
      <c r="P583" s="3" t="n">
        <v>1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1</v>
      </c>
      <c r="V583" s="3" t="n">
        <v>0</v>
      </c>
      <c r="W583" s="3" t="n">
        <v>0</v>
      </c>
      <c r="X583" s="3" t="n">
        <v>1</v>
      </c>
      <c r="Y583" s="3" t="n">
        <v>0</v>
      </c>
      <c r="Z583" s="3" t="n">
        <v>1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1</v>
      </c>
      <c r="AG583" s="3" t="n">
        <v>0</v>
      </c>
      <c r="AH583" s="3" t="n">
        <v>0</v>
      </c>
      <c r="AI583" s="3" t="n">
        <v>1</v>
      </c>
      <c r="AJ583" s="4" t="n">
        <f aca="false">SUM(G583:AI583)</f>
        <v>9</v>
      </c>
      <c r="AK583" s="4" t="n">
        <f aca="false">ROUND(SUMPRODUCT(G583:AI583,Gene_Weights!$B$2:$AD$2),3)</f>
        <v>-7.87</v>
      </c>
      <c r="AL583" s="2" t="n">
        <v>5</v>
      </c>
      <c r="AM583" s="2" t="n">
        <v>4</v>
      </c>
      <c r="AN583" s="2" t="n">
        <v>80</v>
      </c>
      <c r="AO583" s="5" t="n">
        <v>75.59</v>
      </c>
      <c r="AP583" s="5" t="n">
        <v>78.01</v>
      </c>
      <c r="AQ583" s="5" t="n">
        <v>80.42</v>
      </c>
      <c r="AR583" s="5" t="n">
        <v>82.83</v>
      </c>
      <c r="AS583" s="5" t="n">
        <v>85.24</v>
      </c>
      <c r="AT583" s="5" t="n">
        <v>87.66</v>
      </c>
      <c r="AU583" s="5" t="n">
        <v>90.07</v>
      </c>
      <c r="AV583" s="5" t="s">
        <v>51</v>
      </c>
    </row>
    <row r="584" customFormat="false" ht="15" hidden="false" customHeight="false" outlineLevel="0" collapsed="false">
      <c r="A584" s="2" t="s">
        <v>153</v>
      </c>
      <c r="B584" s="2" t="n">
        <v>2019</v>
      </c>
      <c r="C584" s="2" t="s">
        <v>49</v>
      </c>
      <c r="D584" s="2" t="n">
        <v>0</v>
      </c>
      <c r="E584" s="2" t="n">
        <v>32</v>
      </c>
      <c r="F584" s="2" t="s">
        <v>50</v>
      </c>
      <c r="G584" s="3" t="n">
        <v>0</v>
      </c>
      <c r="H584" s="3" t="n">
        <v>0</v>
      </c>
      <c r="I584" s="3" t="n">
        <v>1</v>
      </c>
      <c r="J584" s="3" t="n">
        <v>1</v>
      </c>
      <c r="K584" s="3" t="n">
        <v>1</v>
      </c>
      <c r="L584" s="3" t="n">
        <v>0</v>
      </c>
      <c r="M584" s="3" t="n">
        <v>1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1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0</v>
      </c>
      <c r="X584" s="3" t="n">
        <v>0</v>
      </c>
      <c r="Y584" s="3" t="n">
        <v>0</v>
      </c>
      <c r="Z584" s="3" t="n">
        <v>1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1</v>
      </c>
      <c r="AH584" s="3" t="n">
        <v>0</v>
      </c>
      <c r="AI584" s="3" t="n">
        <v>1</v>
      </c>
      <c r="AJ584" s="4" t="n">
        <f aca="false">SUM(G584:AI584)</f>
        <v>12</v>
      </c>
      <c r="AK584" s="4" t="n">
        <f aca="false">ROUND(SUMPRODUCT(G584:AI584,Gene_Weights!$B$2:$AD$2),3)</f>
        <v>-11.98</v>
      </c>
      <c r="AL584" s="2" t="n">
        <v>7</v>
      </c>
      <c r="AM584" s="2" t="n">
        <v>4</v>
      </c>
      <c r="AN584" s="2" t="n">
        <v>57.14</v>
      </c>
      <c r="AO584" s="5" t="n">
        <v>55.12</v>
      </c>
      <c r="AP584" s="5" t="n">
        <v>56.02</v>
      </c>
      <c r="AQ584" s="5" t="n">
        <v>56.92</v>
      </c>
      <c r="AR584" s="5" t="n">
        <v>57.82</v>
      </c>
      <c r="AS584" s="5" t="n">
        <v>58.72</v>
      </c>
      <c r="AT584" s="5" t="n">
        <v>59.62</v>
      </c>
      <c r="AU584" s="5" t="n">
        <v>60.52</v>
      </c>
      <c r="AV584" s="5" t="s">
        <v>51</v>
      </c>
    </row>
    <row r="585" customFormat="false" ht="15" hidden="false" customHeight="false" outlineLevel="0" collapsed="false">
      <c r="A585" s="2" t="s">
        <v>153</v>
      </c>
      <c r="B585" s="2" t="n">
        <v>2019</v>
      </c>
      <c r="C585" s="2" t="s">
        <v>52</v>
      </c>
      <c r="D585" s="2" t="n">
        <v>1</v>
      </c>
      <c r="E585" s="2" t="n">
        <v>2</v>
      </c>
      <c r="F585" s="2" t="s">
        <v>50</v>
      </c>
      <c r="G585" s="3" t="n">
        <v>0</v>
      </c>
      <c r="H585" s="3" t="n">
        <v>0</v>
      </c>
      <c r="I585" s="3" t="n">
        <v>1</v>
      </c>
      <c r="J585" s="3" t="n">
        <v>1</v>
      </c>
      <c r="K585" s="3" t="n">
        <v>1</v>
      </c>
      <c r="L585" s="3" t="n">
        <v>0</v>
      </c>
      <c r="M585" s="3" t="n">
        <v>1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1</v>
      </c>
      <c r="S585" s="3" t="n">
        <v>1</v>
      </c>
      <c r="T585" s="3" t="n">
        <v>1</v>
      </c>
      <c r="U585" s="3" t="n">
        <v>1</v>
      </c>
      <c r="V585" s="3" t="n">
        <v>1</v>
      </c>
      <c r="W585" s="3" t="n">
        <v>0</v>
      </c>
      <c r="X585" s="3" t="n">
        <v>0</v>
      </c>
      <c r="Y585" s="3" t="n">
        <v>0</v>
      </c>
      <c r="Z585" s="3" t="n">
        <v>1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1</v>
      </c>
      <c r="AH585" s="3" t="n">
        <v>0</v>
      </c>
      <c r="AI585" s="3" t="n">
        <v>1</v>
      </c>
      <c r="AJ585" s="4" t="n">
        <f aca="false">SUM(G585:AI585)</f>
        <v>12</v>
      </c>
      <c r="AK585" s="4" t="n">
        <f aca="false">ROUND(SUMPRODUCT(G585:AI585,Gene_Weights!$B$2:$AD$2),3)</f>
        <v>-11.98</v>
      </c>
      <c r="AL585" s="2" t="n">
        <v>7</v>
      </c>
      <c r="AM585" s="2" t="n">
        <v>5</v>
      </c>
      <c r="AN585" s="2" t="n">
        <v>71.43</v>
      </c>
      <c r="AO585" s="5" t="n">
        <v>64.53</v>
      </c>
      <c r="AP585" s="5" t="n">
        <v>66.13</v>
      </c>
      <c r="AQ585" s="5" t="n">
        <v>67.73</v>
      </c>
      <c r="AR585" s="5" t="n">
        <v>69.33</v>
      </c>
      <c r="AS585" s="5" t="n">
        <v>70.93</v>
      </c>
      <c r="AT585" s="5" t="n">
        <v>72.53</v>
      </c>
      <c r="AU585" s="5" t="n">
        <v>74.13</v>
      </c>
      <c r="AV585" s="5" t="s">
        <v>51</v>
      </c>
    </row>
    <row r="586" customFormat="false" ht="15" hidden="false" customHeight="false" outlineLevel="0" collapsed="false">
      <c r="A586" s="2" t="s">
        <v>153</v>
      </c>
      <c r="B586" s="2" t="n">
        <v>2019</v>
      </c>
      <c r="C586" s="2" t="s">
        <v>53</v>
      </c>
      <c r="D586" s="2" t="n">
        <v>1</v>
      </c>
      <c r="E586" s="2" t="n">
        <v>16</v>
      </c>
      <c r="F586" s="2" t="s">
        <v>50</v>
      </c>
      <c r="G586" s="3" t="n">
        <v>0</v>
      </c>
      <c r="H586" s="3" t="n">
        <v>0</v>
      </c>
      <c r="I586" s="3" t="n">
        <v>1</v>
      </c>
      <c r="J586" s="3" t="n">
        <v>1</v>
      </c>
      <c r="K586" s="3" t="n">
        <v>1</v>
      </c>
      <c r="L586" s="3" t="n">
        <v>0</v>
      </c>
      <c r="M586" s="3" t="n">
        <v>1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1</v>
      </c>
      <c r="S586" s="3" t="n">
        <v>1</v>
      </c>
      <c r="T586" s="3" t="n">
        <v>1</v>
      </c>
      <c r="U586" s="3" t="n">
        <v>1</v>
      </c>
      <c r="V586" s="3" t="n">
        <v>1</v>
      </c>
      <c r="W586" s="3" t="n">
        <v>0</v>
      </c>
      <c r="X586" s="3" t="n">
        <v>0</v>
      </c>
      <c r="Y586" s="3" t="n">
        <v>0</v>
      </c>
      <c r="Z586" s="3" t="n">
        <v>1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1</v>
      </c>
      <c r="AH586" s="3" t="n">
        <v>0</v>
      </c>
      <c r="AI586" s="3" t="n">
        <v>1</v>
      </c>
      <c r="AJ586" s="4" t="n">
        <f aca="false">SUM(G586:AI586)</f>
        <v>12</v>
      </c>
      <c r="AK586" s="4" t="n">
        <f aca="false">ROUND(SUMPRODUCT(G586:AI586,Gene_Weights!$B$2:$AD$2),3)</f>
        <v>-11.98</v>
      </c>
      <c r="AL586" s="2" t="n">
        <v>7</v>
      </c>
      <c r="AM586" s="2" t="n">
        <v>2</v>
      </c>
      <c r="AN586" s="2" t="n">
        <v>28.57</v>
      </c>
      <c r="AO586" s="5" t="n">
        <v>52.86</v>
      </c>
      <c r="AP586" s="5" t="n">
        <v>53.65</v>
      </c>
      <c r="AQ586" s="5" t="n">
        <v>54.45</v>
      </c>
      <c r="AR586" s="5" t="n">
        <v>55.24</v>
      </c>
      <c r="AS586" s="5" t="n">
        <v>56.03</v>
      </c>
      <c r="AT586" s="5" t="n">
        <v>56.83</v>
      </c>
      <c r="AU586" s="5" t="n">
        <v>57.62</v>
      </c>
      <c r="AV586" s="5" t="s">
        <v>51</v>
      </c>
    </row>
    <row r="587" customFormat="false" ht="15" hidden="false" customHeight="false" outlineLevel="0" collapsed="false">
      <c r="A587" s="2" t="s">
        <v>153</v>
      </c>
      <c r="B587" s="2" t="n">
        <v>2019</v>
      </c>
      <c r="C587" s="2" t="s">
        <v>54</v>
      </c>
      <c r="D587" s="2" t="n">
        <v>0</v>
      </c>
      <c r="E587" s="2" t="n">
        <v>4</v>
      </c>
      <c r="F587" s="2" t="s">
        <v>50</v>
      </c>
      <c r="G587" s="3" t="n">
        <v>0</v>
      </c>
      <c r="H587" s="3" t="n">
        <v>0</v>
      </c>
      <c r="I587" s="3" t="n">
        <v>1</v>
      </c>
      <c r="J587" s="3" t="n">
        <v>1</v>
      </c>
      <c r="K587" s="3" t="n">
        <v>1</v>
      </c>
      <c r="L587" s="3" t="n">
        <v>0</v>
      </c>
      <c r="M587" s="3" t="n">
        <v>1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0</v>
      </c>
      <c r="X587" s="3" t="n">
        <v>0</v>
      </c>
      <c r="Y587" s="3" t="n">
        <v>0</v>
      </c>
      <c r="Z587" s="3" t="n">
        <v>1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1</v>
      </c>
      <c r="AH587" s="3" t="n">
        <v>0</v>
      </c>
      <c r="AI587" s="3" t="n">
        <v>1</v>
      </c>
      <c r="AJ587" s="4" t="n">
        <f aca="false">SUM(G587:AI587)</f>
        <v>12</v>
      </c>
      <c r="AK587" s="4" t="n">
        <f aca="false">ROUND(SUMPRODUCT(G587:AI587,Gene_Weights!$B$2:$AD$2),3)</f>
        <v>-11.98</v>
      </c>
      <c r="AL587" s="2" t="n">
        <v>7</v>
      </c>
      <c r="AM587" s="2" t="n">
        <v>5</v>
      </c>
      <c r="AN587" s="2" t="n">
        <v>71.43</v>
      </c>
      <c r="AO587" s="5" t="n">
        <v>81.84</v>
      </c>
      <c r="AP587" s="5" t="n">
        <v>84.45</v>
      </c>
      <c r="AQ587" s="5" t="n">
        <v>87.06</v>
      </c>
      <c r="AR587" s="5" t="n">
        <v>89.67</v>
      </c>
      <c r="AS587" s="5" t="n">
        <v>92.27</v>
      </c>
      <c r="AT587" s="5" t="n">
        <v>94.88</v>
      </c>
      <c r="AU587" s="5" t="n">
        <v>97.49</v>
      </c>
      <c r="AV587" s="5" t="s">
        <v>51</v>
      </c>
    </row>
    <row r="588" customFormat="false" ht="15" hidden="false" customHeight="false" outlineLevel="0" collapsed="false">
      <c r="A588" s="2" t="s">
        <v>153</v>
      </c>
      <c r="B588" s="2" t="n">
        <v>2019</v>
      </c>
      <c r="C588" s="2" t="s">
        <v>55</v>
      </c>
      <c r="D588" s="2" t="n">
        <v>0</v>
      </c>
      <c r="E588" s="2" t="n">
        <v>2</v>
      </c>
      <c r="F588" s="2" t="s">
        <v>50</v>
      </c>
      <c r="G588" s="3" t="n">
        <v>0</v>
      </c>
      <c r="H588" s="3" t="n">
        <v>0</v>
      </c>
      <c r="I588" s="3" t="n">
        <v>1</v>
      </c>
      <c r="J588" s="3" t="n">
        <v>1</v>
      </c>
      <c r="K588" s="3" t="n">
        <v>1</v>
      </c>
      <c r="L588" s="3" t="n">
        <v>0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0</v>
      </c>
      <c r="X588" s="3" t="n">
        <v>0</v>
      </c>
      <c r="Y588" s="3" t="n">
        <v>0</v>
      </c>
      <c r="Z588" s="3" t="n">
        <v>1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1</v>
      </c>
      <c r="AH588" s="3" t="n">
        <v>0</v>
      </c>
      <c r="AI588" s="3" t="n">
        <v>1</v>
      </c>
      <c r="AJ588" s="4" t="n">
        <f aca="false">SUM(G588:AI588)</f>
        <v>12</v>
      </c>
      <c r="AK588" s="4" t="n">
        <f aca="false">ROUND(SUMPRODUCT(G588:AI588,Gene_Weights!$B$2:$AD$2),3)</f>
        <v>-11.98</v>
      </c>
      <c r="AL588" s="2" t="n">
        <v>7</v>
      </c>
      <c r="AM588" s="2" t="n">
        <v>2</v>
      </c>
      <c r="AN588" s="2" t="n">
        <v>28.57</v>
      </c>
      <c r="AO588" s="5" t="n">
        <v>58.19</v>
      </c>
      <c r="AP588" s="5" t="n">
        <v>59.74</v>
      </c>
      <c r="AQ588" s="5" t="n">
        <v>61.3</v>
      </c>
      <c r="AR588" s="5" t="n">
        <v>62.86</v>
      </c>
      <c r="AS588" s="5" t="n">
        <v>64.42</v>
      </c>
      <c r="AT588" s="5" t="n">
        <v>65.98</v>
      </c>
      <c r="AU588" s="5" t="n">
        <v>67.53</v>
      </c>
      <c r="AV588" s="5" t="s">
        <v>51</v>
      </c>
    </row>
    <row r="589" customFormat="false" ht="15" hidden="false" customHeight="false" outlineLevel="0" collapsed="false">
      <c r="A589" s="2" t="s">
        <v>153</v>
      </c>
      <c r="B589" s="2" t="n">
        <v>2019</v>
      </c>
      <c r="C589" s="2" t="s">
        <v>56</v>
      </c>
      <c r="D589" s="2" t="n">
        <v>0</v>
      </c>
      <c r="E589" s="2" t="n">
        <v>2</v>
      </c>
      <c r="F589" s="2" t="s">
        <v>50</v>
      </c>
      <c r="G589" s="3" t="n">
        <v>0</v>
      </c>
      <c r="H589" s="3" t="n">
        <v>0</v>
      </c>
      <c r="I589" s="3" t="n">
        <v>1</v>
      </c>
      <c r="J589" s="3" t="n">
        <v>1</v>
      </c>
      <c r="K589" s="3" t="n">
        <v>1</v>
      </c>
      <c r="L589" s="3" t="n">
        <v>0</v>
      </c>
      <c r="M589" s="3" t="n">
        <v>1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0</v>
      </c>
      <c r="X589" s="3" t="n">
        <v>0</v>
      </c>
      <c r="Y589" s="3" t="n">
        <v>0</v>
      </c>
      <c r="Z589" s="3" t="n">
        <v>1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1</v>
      </c>
      <c r="AH589" s="3" t="n">
        <v>0</v>
      </c>
      <c r="AI589" s="3" t="n">
        <v>1</v>
      </c>
      <c r="AJ589" s="4" t="n">
        <f aca="false">SUM(G589:AI589)</f>
        <v>12</v>
      </c>
      <c r="AK589" s="4" t="n">
        <f aca="false">ROUND(SUMPRODUCT(G589:AI589,Gene_Weights!$B$2:$AD$2),3)</f>
        <v>-11.98</v>
      </c>
      <c r="AL589" s="2" t="n">
        <v>7</v>
      </c>
      <c r="AM589" s="2" t="n">
        <v>3</v>
      </c>
      <c r="AN589" s="2" t="n">
        <v>42.86</v>
      </c>
      <c r="AO589" s="5" t="n">
        <v>75.59</v>
      </c>
      <c r="AP589" s="5" t="n">
        <v>78.01</v>
      </c>
      <c r="AQ589" s="5" t="n">
        <v>80.42</v>
      </c>
      <c r="AR589" s="5" t="n">
        <v>82.83</v>
      </c>
      <c r="AS589" s="5" t="n">
        <v>85.24</v>
      </c>
      <c r="AT589" s="5" t="n">
        <v>87.66</v>
      </c>
      <c r="AU589" s="5" t="n">
        <v>90.07</v>
      </c>
      <c r="AV589" s="5" t="s">
        <v>51</v>
      </c>
    </row>
    <row r="590" customFormat="false" ht="15" hidden="false" customHeight="false" outlineLevel="0" collapsed="false">
      <c r="A590" s="2" t="s">
        <v>154</v>
      </c>
      <c r="B590" s="2" t="n">
        <v>2003</v>
      </c>
      <c r="C590" s="2" t="s">
        <v>49</v>
      </c>
      <c r="D590" s="2" t="n">
        <v>1</v>
      </c>
      <c r="E590" s="2" t="n">
        <v>2</v>
      </c>
      <c r="F590" s="2" t="s">
        <v>50</v>
      </c>
      <c r="G590" s="3" t="n">
        <v>1</v>
      </c>
      <c r="H590" s="3" t="n">
        <v>0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</v>
      </c>
      <c r="T590" s="3" t="n">
        <v>0</v>
      </c>
      <c r="U590" s="3" t="n">
        <v>0</v>
      </c>
      <c r="V590" s="3" t="n">
        <v>1</v>
      </c>
      <c r="W590" s="3" t="n">
        <v>0</v>
      </c>
      <c r="X590" s="3" t="n">
        <v>1</v>
      </c>
      <c r="Y590" s="3" t="n">
        <v>0</v>
      </c>
      <c r="Z590" s="3" t="n">
        <v>1</v>
      </c>
      <c r="AA590" s="3" t="n">
        <v>1</v>
      </c>
      <c r="AB590" s="3" t="n">
        <v>0</v>
      </c>
      <c r="AC590" s="3" t="n">
        <v>1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1</v>
      </c>
      <c r="AJ590" s="4" t="n">
        <f aca="false">SUM(G590:AI590)</f>
        <v>9</v>
      </c>
      <c r="AK590" s="4" t="n">
        <f aca="false">ROUND(SUMPRODUCT(G590:AI590,Gene_Weights!$B$2:$AD$2),3)</f>
        <v>-6.31</v>
      </c>
      <c r="AL590" s="2" t="n">
        <v>7</v>
      </c>
      <c r="AM590" s="2" t="n">
        <v>2</v>
      </c>
      <c r="AN590" s="2" t="n">
        <v>28.57</v>
      </c>
      <c r="AO590" s="5" t="n">
        <v>55.12</v>
      </c>
      <c r="AP590" s="5" t="n">
        <v>56.02</v>
      </c>
      <c r="AQ590" s="5" t="n">
        <v>56.92</v>
      </c>
      <c r="AR590" s="5" t="n">
        <v>57.82</v>
      </c>
      <c r="AS590" s="5" t="n">
        <v>58.72</v>
      </c>
      <c r="AT590" s="5" t="n">
        <v>59.62</v>
      </c>
      <c r="AU590" s="5" t="n">
        <v>60.52</v>
      </c>
      <c r="AV590" s="5" t="s">
        <v>51</v>
      </c>
    </row>
    <row r="591" customFormat="false" ht="15" hidden="false" customHeight="false" outlineLevel="0" collapsed="false">
      <c r="A591" s="2" t="s">
        <v>154</v>
      </c>
      <c r="B591" s="2" t="n">
        <v>2003</v>
      </c>
      <c r="C591" s="2" t="s">
        <v>52</v>
      </c>
      <c r="D591" s="2" t="n">
        <v>0</v>
      </c>
      <c r="E591" s="2" t="n">
        <v>4</v>
      </c>
      <c r="F591" s="2" t="s">
        <v>50</v>
      </c>
      <c r="G591" s="3" t="n">
        <v>1</v>
      </c>
      <c r="H591" s="3" t="n">
        <v>0</v>
      </c>
      <c r="I591" s="3" t="n">
        <v>1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1</v>
      </c>
      <c r="T591" s="3" t="n">
        <v>0</v>
      </c>
      <c r="U591" s="3" t="n">
        <v>0</v>
      </c>
      <c r="V591" s="3" t="n">
        <v>1</v>
      </c>
      <c r="W591" s="3" t="n">
        <v>0</v>
      </c>
      <c r="X591" s="3" t="n">
        <v>1</v>
      </c>
      <c r="Y591" s="3" t="n">
        <v>0</v>
      </c>
      <c r="Z591" s="3" t="n">
        <v>1</v>
      </c>
      <c r="AA591" s="3" t="n">
        <v>1</v>
      </c>
      <c r="AB591" s="3" t="n">
        <v>0</v>
      </c>
      <c r="AC591" s="3" t="n">
        <v>1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1</v>
      </c>
      <c r="AJ591" s="4" t="n">
        <f aca="false">SUM(G591:AI591)</f>
        <v>9</v>
      </c>
      <c r="AK591" s="4" t="n">
        <f aca="false">ROUND(SUMPRODUCT(G591:AI591,Gene_Weights!$B$2:$AD$2),3)</f>
        <v>-6.31</v>
      </c>
      <c r="AL591" s="2" t="n">
        <v>7</v>
      </c>
      <c r="AM591" s="2" t="n">
        <v>2</v>
      </c>
      <c r="AN591" s="2" t="n">
        <v>28.57</v>
      </c>
      <c r="AO591" s="5" t="n">
        <v>64.53</v>
      </c>
      <c r="AP591" s="5" t="n">
        <v>66.13</v>
      </c>
      <c r="AQ591" s="5" t="n">
        <v>67.73</v>
      </c>
      <c r="AR591" s="5" t="n">
        <v>69.33</v>
      </c>
      <c r="AS591" s="5" t="n">
        <v>70.93</v>
      </c>
      <c r="AT591" s="5" t="n">
        <v>72.53</v>
      </c>
      <c r="AU591" s="5" t="n">
        <v>74.13</v>
      </c>
      <c r="AV591" s="5" t="s">
        <v>51</v>
      </c>
    </row>
    <row r="592" customFormat="false" ht="15" hidden="false" customHeight="false" outlineLevel="0" collapsed="false">
      <c r="A592" s="2" t="s">
        <v>154</v>
      </c>
      <c r="B592" s="2" t="n">
        <v>2003</v>
      </c>
      <c r="C592" s="2" t="s">
        <v>53</v>
      </c>
      <c r="D592" s="2" t="n">
        <v>0</v>
      </c>
      <c r="E592" s="2" t="n">
        <v>2</v>
      </c>
      <c r="F592" s="2" t="s">
        <v>50</v>
      </c>
      <c r="G592" s="3" t="n">
        <v>1</v>
      </c>
      <c r="H592" s="3" t="n">
        <v>0</v>
      </c>
      <c r="I592" s="3" t="n">
        <v>1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1</v>
      </c>
      <c r="T592" s="3" t="n">
        <v>0</v>
      </c>
      <c r="U592" s="3" t="n">
        <v>0</v>
      </c>
      <c r="V592" s="3" t="n">
        <v>1</v>
      </c>
      <c r="W592" s="3" t="n">
        <v>0</v>
      </c>
      <c r="X592" s="3" t="n">
        <v>1</v>
      </c>
      <c r="Y592" s="3" t="n">
        <v>0</v>
      </c>
      <c r="Z592" s="3" t="n">
        <v>1</v>
      </c>
      <c r="AA592" s="3" t="n">
        <v>1</v>
      </c>
      <c r="AB592" s="3" t="n">
        <v>0</v>
      </c>
      <c r="AC592" s="3" t="n">
        <v>1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1</v>
      </c>
      <c r="AJ592" s="4" t="n">
        <f aca="false">SUM(G592:AI592)</f>
        <v>9</v>
      </c>
      <c r="AK592" s="4" t="n">
        <f aca="false">ROUND(SUMPRODUCT(G592:AI592,Gene_Weights!$B$2:$AD$2),3)</f>
        <v>-6.31</v>
      </c>
      <c r="AL592" s="2" t="n">
        <v>7</v>
      </c>
      <c r="AM592" s="2" t="n">
        <v>3</v>
      </c>
      <c r="AN592" s="2" t="n">
        <v>42.86</v>
      </c>
      <c r="AO592" s="5" t="n">
        <v>52.86</v>
      </c>
      <c r="AP592" s="5" t="n">
        <v>53.65</v>
      </c>
      <c r="AQ592" s="5" t="n">
        <v>54.45</v>
      </c>
      <c r="AR592" s="5" t="n">
        <v>55.24</v>
      </c>
      <c r="AS592" s="5" t="n">
        <v>56.03</v>
      </c>
      <c r="AT592" s="5" t="n">
        <v>56.83</v>
      </c>
      <c r="AU592" s="5" t="n">
        <v>57.62</v>
      </c>
      <c r="AV592" s="5" t="s">
        <v>51</v>
      </c>
    </row>
    <row r="593" customFormat="false" ht="15" hidden="false" customHeight="false" outlineLevel="0" collapsed="false">
      <c r="A593" s="2" t="s">
        <v>154</v>
      </c>
      <c r="B593" s="2" t="n">
        <v>2003</v>
      </c>
      <c r="C593" s="2" t="s">
        <v>54</v>
      </c>
      <c r="D593" s="2" t="n">
        <v>1</v>
      </c>
      <c r="E593" s="2" t="n">
        <v>2</v>
      </c>
      <c r="F593" s="2" t="s">
        <v>50</v>
      </c>
      <c r="G593" s="3" t="n">
        <v>1</v>
      </c>
      <c r="H593" s="3" t="n">
        <v>0</v>
      </c>
      <c r="I593" s="3" t="n">
        <v>1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1</v>
      </c>
      <c r="T593" s="3" t="n">
        <v>0</v>
      </c>
      <c r="U593" s="3" t="n">
        <v>0</v>
      </c>
      <c r="V593" s="3" t="n">
        <v>1</v>
      </c>
      <c r="W593" s="3" t="n">
        <v>0</v>
      </c>
      <c r="X593" s="3" t="n">
        <v>1</v>
      </c>
      <c r="Y593" s="3" t="n">
        <v>0</v>
      </c>
      <c r="Z593" s="3" t="n">
        <v>1</v>
      </c>
      <c r="AA593" s="3" t="n">
        <v>1</v>
      </c>
      <c r="AB593" s="3" t="n">
        <v>0</v>
      </c>
      <c r="AC593" s="3" t="n">
        <v>1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1</v>
      </c>
      <c r="AJ593" s="4" t="n">
        <f aca="false">SUM(G593:AI593)</f>
        <v>9</v>
      </c>
      <c r="AK593" s="4" t="n">
        <f aca="false">ROUND(SUMPRODUCT(G593:AI593,Gene_Weights!$B$2:$AD$2),3)</f>
        <v>-6.31</v>
      </c>
      <c r="AL593" s="2" t="n">
        <v>7</v>
      </c>
      <c r="AM593" s="2" t="n">
        <v>3</v>
      </c>
      <c r="AN593" s="2" t="n">
        <v>42.86</v>
      </c>
      <c r="AO593" s="5" t="n">
        <v>81.84</v>
      </c>
      <c r="AP593" s="5" t="n">
        <v>84.45</v>
      </c>
      <c r="AQ593" s="5" t="n">
        <v>87.06</v>
      </c>
      <c r="AR593" s="5" t="n">
        <v>89.67</v>
      </c>
      <c r="AS593" s="5" t="n">
        <v>92.27</v>
      </c>
      <c r="AT593" s="5" t="n">
        <v>94.88</v>
      </c>
      <c r="AU593" s="5" t="n">
        <v>97.49</v>
      </c>
      <c r="AV593" s="5" t="s">
        <v>51</v>
      </c>
    </row>
    <row r="594" customFormat="false" ht="15" hidden="false" customHeight="false" outlineLevel="0" collapsed="false">
      <c r="A594" s="2" t="s">
        <v>154</v>
      </c>
      <c r="B594" s="2" t="n">
        <v>2003</v>
      </c>
      <c r="C594" s="2" t="s">
        <v>55</v>
      </c>
      <c r="D594" s="2" t="n">
        <v>0</v>
      </c>
      <c r="E594" s="2" t="n">
        <v>16</v>
      </c>
      <c r="F594" s="2" t="s">
        <v>50</v>
      </c>
      <c r="G594" s="3" t="n">
        <v>1</v>
      </c>
      <c r="H594" s="3" t="n">
        <v>0</v>
      </c>
      <c r="I594" s="3" t="n">
        <v>1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n">
        <v>0</v>
      </c>
      <c r="U594" s="3" t="n">
        <v>0</v>
      </c>
      <c r="V594" s="3" t="n">
        <v>1</v>
      </c>
      <c r="W594" s="3" t="n">
        <v>0</v>
      </c>
      <c r="X594" s="3" t="n">
        <v>1</v>
      </c>
      <c r="Y594" s="3" t="n">
        <v>0</v>
      </c>
      <c r="Z594" s="3" t="n">
        <v>1</v>
      </c>
      <c r="AA594" s="3" t="n">
        <v>1</v>
      </c>
      <c r="AB594" s="3" t="n">
        <v>0</v>
      </c>
      <c r="AC594" s="3" t="n">
        <v>1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</v>
      </c>
      <c r="AJ594" s="4" t="n">
        <f aca="false">SUM(G594:AI594)</f>
        <v>9</v>
      </c>
      <c r="AK594" s="4" t="n">
        <f aca="false">ROUND(SUMPRODUCT(G594:AI594,Gene_Weights!$B$2:$AD$2),3)</f>
        <v>-6.31</v>
      </c>
      <c r="AL594" s="2" t="n">
        <v>7</v>
      </c>
      <c r="AM594" s="2" t="n">
        <v>1</v>
      </c>
      <c r="AN594" s="2" t="n">
        <v>14.29</v>
      </c>
      <c r="AO594" s="5" t="n">
        <v>58.19</v>
      </c>
      <c r="AP594" s="5" t="n">
        <v>59.74</v>
      </c>
      <c r="AQ594" s="5" t="n">
        <v>61.3</v>
      </c>
      <c r="AR594" s="5" t="n">
        <v>62.86</v>
      </c>
      <c r="AS594" s="5" t="n">
        <v>64.42</v>
      </c>
      <c r="AT594" s="5" t="n">
        <v>65.98</v>
      </c>
      <c r="AU594" s="5" t="n">
        <v>67.53</v>
      </c>
      <c r="AV594" s="5" t="s">
        <v>51</v>
      </c>
    </row>
    <row r="595" customFormat="false" ht="15" hidden="false" customHeight="false" outlineLevel="0" collapsed="false">
      <c r="A595" s="2" t="s">
        <v>154</v>
      </c>
      <c r="B595" s="2" t="n">
        <v>2003</v>
      </c>
      <c r="C595" s="2" t="s">
        <v>56</v>
      </c>
      <c r="D595" s="2" t="n">
        <v>0</v>
      </c>
      <c r="E595" s="2" t="n">
        <v>32</v>
      </c>
      <c r="F595" s="2" t="s">
        <v>50</v>
      </c>
      <c r="G595" s="3" t="n">
        <v>1</v>
      </c>
      <c r="H595" s="3" t="n">
        <v>0</v>
      </c>
      <c r="I595" s="3" t="n">
        <v>1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1</v>
      </c>
      <c r="T595" s="3" t="n">
        <v>0</v>
      </c>
      <c r="U595" s="3" t="n">
        <v>0</v>
      </c>
      <c r="V595" s="3" t="n">
        <v>1</v>
      </c>
      <c r="W595" s="3" t="n">
        <v>0</v>
      </c>
      <c r="X595" s="3" t="n">
        <v>1</v>
      </c>
      <c r="Y595" s="3" t="n">
        <v>0</v>
      </c>
      <c r="Z595" s="3" t="n">
        <v>1</v>
      </c>
      <c r="AA595" s="3" t="n">
        <v>1</v>
      </c>
      <c r="AB595" s="3" t="n">
        <v>0</v>
      </c>
      <c r="AC595" s="3" t="n">
        <v>1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1</v>
      </c>
      <c r="AJ595" s="4" t="n">
        <f aca="false">SUM(G595:AI595)</f>
        <v>9</v>
      </c>
      <c r="AK595" s="4" t="n">
        <f aca="false">ROUND(SUMPRODUCT(G595:AI595,Gene_Weights!$B$2:$AD$2),3)</f>
        <v>-6.31</v>
      </c>
      <c r="AL595" s="2" t="n">
        <v>7</v>
      </c>
      <c r="AM595" s="2" t="n">
        <v>1</v>
      </c>
      <c r="AN595" s="2" t="n">
        <v>14.29</v>
      </c>
      <c r="AO595" s="5" t="n">
        <v>75.59</v>
      </c>
      <c r="AP595" s="5" t="n">
        <v>78.01</v>
      </c>
      <c r="AQ595" s="5" t="n">
        <v>80.42</v>
      </c>
      <c r="AR595" s="5" t="n">
        <v>82.83</v>
      </c>
      <c r="AS595" s="5" t="n">
        <v>85.24</v>
      </c>
      <c r="AT595" s="5" t="n">
        <v>87.66</v>
      </c>
      <c r="AU595" s="5" t="n">
        <v>90.07</v>
      </c>
      <c r="AV595" s="5" t="s">
        <v>51</v>
      </c>
    </row>
    <row r="596" customFormat="false" ht="15" hidden="false" customHeight="false" outlineLevel="0" collapsed="false">
      <c r="A596" s="2" t="s">
        <v>155</v>
      </c>
      <c r="B596" s="2" t="n">
        <v>1999</v>
      </c>
      <c r="C596" s="2" t="s">
        <v>49</v>
      </c>
      <c r="D596" s="2" t="n">
        <v>0</v>
      </c>
      <c r="E596" s="2" t="n">
        <v>2</v>
      </c>
      <c r="F596" s="2" t="s">
        <v>50</v>
      </c>
      <c r="G596" s="3" t="n">
        <v>0</v>
      </c>
      <c r="H596" s="3" t="n">
        <v>1</v>
      </c>
      <c r="I596" s="3" t="n">
        <v>1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1</v>
      </c>
      <c r="Q596" s="3" t="n">
        <v>1</v>
      </c>
      <c r="R596" s="3" t="n">
        <v>1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1</v>
      </c>
      <c r="X596" s="3" t="n">
        <v>1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1</v>
      </c>
      <c r="AD596" s="3" t="n">
        <v>0</v>
      </c>
      <c r="AE596" s="3" t="n">
        <v>1</v>
      </c>
      <c r="AF596" s="3" t="n">
        <v>0</v>
      </c>
      <c r="AG596" s="3" t="n">
        <v>0</v>
      </c>
      <c r="AH596" s="3" t="n">
        <v>0</v>
      </c>
      <c r="AI596" s="3" t="n">
        <v>1</v>
      </c>
      <c r="AJ596" s="4" t="n">
        <f aca="false">SUM(G596:AI596)</f>
        <v>10</v>
      </c>
      <c r="AK596" s="4" t="n">
        <f aca="false">ROUND(SUMPRODUCT(G596:AI596,Gene_Weights!$B$2:$AD$2),3)</f>
        <v>-8.57</v>
      </c>
      <c r="AL596" s="2" t="n">
        <v>2</v>
      </c>
      <c r="AM596" s="2" t="n">
        <v>1</v>
      </c>
      <c r="AN596" s="2" t="n">
        <v>50</v>
      </c>
      <c r="AO596" s="5" t="n">
        <v>55.12</v>
      </c>
      <c r="AP596" s="5" t="n">
        <v>56.02</v>
      </c>
      <c r="AQ596" s="5" t="n">
        <v>56.92</v>
      </c>
      <c r="AR596" s="5" t="n">
        <v>57.82</v>
      </c>
      <c r="AS596" s="5" t="n">
        <v>58.72</v>
      </c>
      <c r="AT596" s="5" t="n">
        <v>59.62</v>
      </c>
      <c r="AU596" s="5" t="n">
        <v>60.52</v>
      </c>
      <c r="AV596" s="5" t="s">
        <v>51</v>
      </c>
    </row>
    <row r="597" customFormat="false" ht="15" hidden="false" customHeight="false" outlineLevel="0" collapsed="false">
      <c r="A597" s="2" t="s">
        <v>155</v>
      </c>
      <c r="B597" s="2" t="n">
        <v>1999</v>
      </c>
      <c r="C597" s="2" t="s">
        <v>52</v>
      </c>
      <c r="D597" s="2" t="n">
        <v>0</v>
      </c>
      <c r="E597" s="2" t="n">
        <v>4</v>
      </c>
      <c r="F597" s="2" t="s">
        <v>50</v>
      </c>
      <c r="G597" s="3" t="n">
        <v>0</v>
      </c>
      <c r="H597" s="3" t="n">
        <v>1</v>
      </c>
      <c r="I597" s="3" t="n">
        <v>1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1</v>
      </c>
      <c r="Q597" s="3" t="n">
        <v>1</v>
      </c>
      <c r="R597" s="3" t="n">
        <v>1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1</v>
      </c>
      <c r="X597" s="3" t="n">
        <v>1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1</v>
      </c>
      <c r="AD597" s="3" t="n">
        <v>0</v>
      </c>
      <c r="AE597" s="3" t="n">
        <v>1</v>
      </c>
      <c r="AF597" s="3" t="n">
        <v>0</v>
      </c>
      <c r="AG597" s="3" t="n">
        <v>0</v>
      </c>
      <c r="AH597" s="3" t="n">
        <v>0</v>
      </c>
      <c r="AI597" s="3" t="n">
        <v>1</v>
      </c>
      <c r="AJ597" s="4" t="n">
        <f aca="false">SUM(G597:AI597)</f>
        <v>10</v>
      </c>
      <c r="AK597" s="4" t="n">
        <f aca="false">ROUND(SUMPRODUCT(G597:AI597,Gene_Weights!$B$2:$AD$2),3)</f>
        <v>-8.57</v>
      </c>
      <c r="AL597" s="2" t="n">
        <v>2</v>
      </c>
      <c r="AM597" s="2" t="n">
        <v>1</v>
      </c>
      <c r="AN597" s="2" t="n">
        <v>50</v>
      </c>
      <c r="AO597" s="5" t="n">
        <v>64.53</v>
      </c>
      <c r="AP597" s="5" t="n">
        <v>66.13</v>
      </c>
      <c r="AQ597" s="5" t="n">
        <v>67.73</v>
      </c>
      <c r="AR597" s="5" t="n">
        <v>69.33</v>
      </c>
      <c r="AS597" s="5" t="n">
        <v>70.93</v>
      </c>
      <c r="AT597" s="5" t="n">
        <v>72.53</v>
      </c>
      <c r="AU597" s="5" t="n">
        <v>74.13</v>
      </c>
      <c r="AV597" s="5" t="s">
        <v>51</v>
      </c>
    </row>
    <row r="598" customFormat="false" ht="15" hidden="false" customHeight="false" outlineLevel="0" collapsed="false">
      <c r="A598" s="2" t="s">
        <v>155</v>
      </c>
      <c r="B598" s="2" t="n">
        <v>1999</v>
      </c>
      <c r="C598" s="2" t="s">
        <v>53</v>
      </c>
      <c r="D598" s="2" t="n">
        <v>0</v>
      </c>
      <c r="E598" s="2" t="n">
        <v>4</v>
      </c>
      <c r="F598" s="2" t="s">
        <v>50</v>
      </c>
      <c r="G598" s="3" t="n">
        <v>0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1</v>
      </c>
      <c r="Q598" s="3" t="n">
        <v>1</v>
      </c>
      <c r="R598" s="3" t="n">
        <v>1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1</v>
      </c>
      <c r="X598" s="3" t="n">
        <v>1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1</v>
      </c>
      <c r="AD598" s="3" t="n">
        <v>0</v>
      </c>
      <c r="AE598" s="3" t="n">
        <v>1</v>
      </c>
      <c r="AF598" s="3" t="n">
        <v>0</v>
      </c>
      <c r="AG598" s="3" t="n">
        <v>0</v>
      </c>
      <c r="AH598" s="3" t="n">
        <v>0</v>
      </c>
      <c r="AI598" s="3" t="n">
        <v>1</v>
      </c>
      <c r="AJ598" s="4" t="n">
        <f aca="false">SUM(G598:AI598)</f>
        <v>10</v>
      </c>
      <c r="AK598" s="4" t="n">
        <f aca="false">ROUND(SUMPRODUCT(G598:AI598,Gene_Weights!$B$2:$AD$2),3)</f>
        <v>-8.57</v>
      </c>
      <c r="AL598" s="2" t="n">
        <v>2</v>
      </c>
      <c r="AM598" s="2" t="n">
        <v>1</v>
      </c>
      <c r="AN598" s="2" t="n">
        <v>50</v>
      </c>
      <c r="AO598" s="5" t="n">
        <v>52.86</v>
      </c>
      <c r="AP598" s="5" t="n">
        <v>53.65</v>
      </c>
      <c r="AQ598" s="5" t="n">
        <v>54.45</v>
      </c>
      <c r="AR598" s="5" t="n">
        <v>55.24</v>
      </c>
      <c r="AS598" s="5" t="n">
        <v>56.03</v>
      </c>
      <c r="AT598" s="5" t="n">
        <v>56.83</v>
      </c>
      <c r="AU598" s="5" t="n">
        <v>57.62</v>
      </c>
      <c r="AV598" s="5" t="s">
        <v>51</v>
      </c>
    </row>
    <row r="599" customFormat="false" ht="15" hidden="false" customHeight="false" outlineLevel="0" collapsed="false">
      <c r="A599" s="2" t="s">
        <v>155</v>
      </c>
      <c r="B599" s="2" t="n">
        <v>1999</v>
      </c>
      <c r="C599" s="2" t="s">
        <v>54</v>
      </c>
      <c r="D599" s="2" t="n">
        <v>0</v>
      </c>
      <c r="E599" s="2" t="n">
        <v>4</v>
      </c>
      <c r="F599" s="2" t="s">
        <v>50</v>
      </c>
      <c r="G599" s="3" t="n">
        <v>0</v>
      </c>
      <c r="H599" s="3" t="n">
        <v>1</v>
      </c>
      <c r="I599" s="3" t="n">
        <v>1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1</v>
      </c>
      <c r="Q599" s="3" t="n">
        <v>1</v>
      </c>
      <c r="R599" s="3" t="n">
        <v>1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1</v>
      </c>
      <c r="X599" s="3" t="n">
        <v>1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1</v>
      </c>
      <c r="AD599" s="3" t="n">
        <v>0</v>
      </c>
      <c r="AE599" s="3" t="n">
        <v>1</v>
      </c>
      <c r="AF599" s="3" t="n">
        <v>0</v>
      </c>
      <c r="AG599" s="3" t="n">
        <v>0</v>
      </c>
      <c r="AH599" s="3" t="n">
        <v>0</v>
      </c>
      <c r="AI599" s="3" t="n">
        <v>1</v>
      </c>
      <c r="AJ599" s="4" t="n">
        <f aca="false">SUM(G599:AI599)</f>
        <v>10</v>
      </c>
      <c r="AK599" s="4" t="n">
        <f aca="false">ROUND(SUMPRODUCT(G599:AI599,Gene_Weights!$B$2:$AD$2),3)</f>
        <v>-8.57</v>
      </c>
      <c r="AL599" s="2" t="n">
        <v>2</v>
      </c>
      <c r="AM599" s="2" t="n">
        <v>1</v>
      </c>
      <c r="AN599" s="2" t="n">
        <v>50</v>
      </c>
      <c r="AO599" s="5" t="n">
        <v>81.84</v>
      </c>
      <c r="AP599" s="5" t="n">
        <v>84.45</v>
      </c>
      <c r="AQ599" s="5" t="n">
        <v>87.06</v>
      </c>
      <c r="AR599" s="5" t="n">
        <v>89.67</v>
      </c>
      <c r="AS599" s="5" t="n">
        <v>92.27</v>
      </c>
      <c r="AT599" s="5" t="n">
        <v>94.88</v>
      </c>
      <c r="AU599" s="5" t="n">
        <v>97.49</v>
      </c>
      <c r="AV599" s="5" t="s">
        <v>51</v>
      </c>
    </row>
    <row r="600" customFormat="false" ht="15" hidden="false" customHeight="false" outlineLevel="0" collapsed="false">
      <c r="A600" s="2" t="s">
        <v>155</v>
      </c>
      <c r="B600" s="2" t="n">
        <v>1999</v>
      </c>
      <c r="C600" s="2" t="s">
        <v>55</v>
      </c>
      <c r="D600" s="2" t="n">
        <v>0</v>
      </c>
      <c r="E600" s="2" t="n">
        <v>32</v>
      </c>
      <c r="F600" s="2" t="s">
        <v>50</v>
      </c>
      <c r="G600" s="3" t="n">
        <v>0</v>
      </c>
      <c r="H600" s="3" t="n">
        <v>1</v>
      </c>
      <c r="I600" s="3" t="n">
        <v>1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1</v>
      </c>
      <c r="Q600" s="3" t="n">
        <v>1</v>
      </c>
      <c r="R600" s="3" t="n">
        <v>1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1</v>
      </c>
      <c r="X600" s="3" t="n">
        <v>1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1</v>
      </c>
      <c r="AD600" s="3" t="n">
        <v>0</v>
      </c>
      <c r="AE600" s="3" t="n">
        <v>1</v>
      </c>
      <c r="AF600" s="3" t="n">
        <v>0</v>
      </c>
      <c r="AG600" s="3" t="n">
        <v>0</v>
      </c>
      <c r="AH600" s="3" t="n">
        <v>0</v>
      </c>
      <c r="AI600" s="3" t="n">
        <v>1</v>
      </c>
      <c r="AJ600" s="4" t="n">
        <f aca="false">SUM(G600:AI600)</f>
        <v>10</v>
      </c>
      <c r="AK600" s="4" t="n">
        <f aca="false">ROUND(SUMPRODUCT(G600:AI600,Gene_Weights!$B$2:$AD$2),3)</f>
        <v>-8.57</v>
      </c>
      <c r="AL600" s="2" t="n">
        <v>2</v>
      </c>
      <c r="AM600" s="2" t="n">
        <v>0</v>
      </c>
      <c r="AN600" s="2" t="n">
        <v>0</v>
      </c>
      <c r="AO600" s="5" t="n">
        <v>58.19</v>
      </c>
      <c r="AP600" s="5" t="n">
        <v>59.74</v>
      </c>
      <c r="AQ600" s="5" t="n">
        <v>61.3</v>
      </c>
      <c r="AR600" s="5" t="n">
        <v>62.86</v>
      </c>
      <c r="AS600" s="5" t="n">
        <v>64.42</v>
      </c>
      <c r="AT600" s="5" t="n">
        <v>65.98</v>
      </c>
      <c r="AU600" s="5" t="n">
        <v>67.53</v>
      </c>
      <c r="AV600" s="5" t="s">
        <v>51</v>
      </c>
    </row>
    <row r="601" customFormat="false" ht="15" hidden="false" customHeight="false" outlineLevel="0" collapsed="false">
      <c r="A601" s="2" t="s">
        <v>155</v>
      </c>
      <c r="B601" s="2" t="n">
        <v>1999</v>
      </c>
      <c r="C601" s="2" t="s">
        <v>56</v>
      </c>
      <c r="D601" s="2" t="n">
        <v>0</v>
      </c>
      <c r="E601" s="2" t="n">
        <v>4</v>
      </c>
      <c r="F601" s="2" t="s">
        <v>50</v>
      </c>
      <c r="G601" s="3" t="n">
        <v>0</v>
      </c>
      <c r="H601" s="3" t="n">
        <v>1</v>
      </c>
      <c r="I601" s="3" t="n">
        <v>1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1</v>
      </c>
      <c r="Q601" s="3" t="n">
        <v>1</v>
      </c>
      <c r="R601" s="3" t="n">
        <v>1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1</v>
      </c>
      <c r="X601" s="3" t="n">
        <v>1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1</v>
      </c>
      <c r="AD601" s="3" t="n">
        <v>0</v>
      </c>
      <c r="AE601" s="3" t="n">
        <v>1</v>
      </c>
      <c r="AF601" s="3" t="n">
        <v>0</v>
      </c>
      <c r="AG601" s="3" t="n">
        <v>0</v>
      </c>
      <c r="AH601" s="3" t="n">
        <v>0</v>
      </c>
      <c r="AI601" s="3" t="n">
        <v>1</v>
      </c>
      <c r="AJ601" s="4" t="n">
        <f aca="false">SUM(G601:AI601)</f>
        <v>10</v>
      </c>
      <c r="AK601" s="4" t="n">
        <f aca="false">ROUND(SUMPRODUCT(G601:AI601,Gene_Weights!$B$2:$AD$2),3)</f>
        <v>-8.57</v>
      </c>
      <c r="AL601" s="2" t="n">
        <v>2</v>
      </c>
      <c r="AM601" s="2" t="n">
        <v>0</v>
      </c>
      <c r="AN601" s="2" t="n">
        <v>0</v>
      </c>
      <c r="AO601" s="5" t="n">
        <v>75.59</v>
      </c>
      <c r="AP601" s="5" t="n">
        <v>78.01</v>
      </c>
      <c r="AQ601" s="5" t="n">
        <v>80.42</v>
      </c>
      <c r="AR601" s="5" t="n">
        <v>82.83</v>
      </c>
      <c r="AS601" s="5" t="n">
        <v>85.24</v>
      </c>
      <c r="AT601" s="5" t="n">
        <v>87.66</v>
      </c>
      <c r="AU601" s="5" t="n">
        <v>90.07</v>
      </c>
      <c r="AV601" s="5" t="s">
        <v>51</v>
      </c>
    </row>
    <row r="602" customFormat="false" ht="15" hidden="false" customHeight="false" outlineLevel="0" collapsed="false">
      <c r="A602" s="2" t="s">
        <v>156</v>
      </c>
      <c r="B602" s="2" t="n">
        <v>2008</v>
      </c>
      <c r="C602" s="2" t="s">
        <v>49</v>
      </c>
      <c r="D602" s="2" t="n">
        <v>1</v>
      </c>
      <c r="E602" s="2" t="n">
        <v>2</v>
      </c>
      <c r="F602" s="2" t="s">
        <v>50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1</v>
      </c>
      <c r="U602" s="3" t="n">
        <v>0</v>
      </c>
      <c r="V602" s="3" t="n">
        <v>1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1</v>
      </c>
      <c r="AB602" s="3" t="n">
        <v>1</v>
      </c>
      <c r="AC602" s="3" t="n">
        <v>0</v>
      </c>
      <c r="AD602" s="3" t="n">
        <v>0</v>
      </c>
      <c r="AE602" s="3" t="n">
        <v>0</v>
      </c>
      <c r="AF602" s="3" t="n">
        <v>1</v>
      </c>
      <c r="AG602" s="3" t="n">
        <v>0</v>
      </c>
      <c r="AH602" s="3" t="n">
        <v>0</v>
      </c>
      <c r="AI602" s="3" t="n">
        <v>1</v>
      </c>
      <c r="AJ602" s="4" t="n">
        <f aca="false">SUM(G602:AI602)</f>
        <v>6</v>
      </c>
      <c r="AK602" s="4" t="n">
        <f aca="false">ROUND(SUMPRODUCT(G602:AI602,Gene_Weights!$B$2:$AD$2),3)</f>
        <v>-4.23</v>
      </c>
      <c r="AL602" s="2" t="n">
        <v>5</v>
      </c>
      <c r="AM602" s="2" t="n">
        <v>3</v>
      </c>
      <c r="AN602" s="2" t="n">
        <v>60</v>
      </c>
      <c r="AO602" s="5" t="n">
        <v>55.12</v>
      </c>
      <c r="AP602" s="5" t="n">
        <v>56.02</v>
      </c>
      <c r="AQ602" s="5" t="n">
        <v>56.92</v>
      </c>
      <c r="AR602" s="5" t="n">
        <v>57.82</v>
      </c>
      <c r="AS602" s="5" t="n">
        <v>58.72</v>
      </c>
      <c r="AT602" s="5" t="n">
        <v>59.62</v>
      </c>
      <c r="AU602" s="5" t="n">
        <v>60.52</v>
      </c>
      <c r="AV602" s="5" t="s">
        <v>51</v>
      </c>
    </row>
    <row r="603" customFormat="false" ht="15" hidden="false" customHeight="false" outlineLevel="0" collapsed="false">
      <c r="A603" s="2" t="s">
        <v>156</v>
      </c>
      <c r="B603" s="2" t="n">
        <v>2008</v>
      </c>
      <c r="C603" s="2" t="s">
        <v>52</v>
      </c>
      <c r="D603" s="2" t="n">
        <v>0</v>
      </c>
      <c r="E603" s="2" t="n">
        <v>4</v>
      </c>
      <c r="F603" s="2" t="s">
        <v>50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1</v>
      </c>
      <c r="U603" s="3" t="n">
        <v>0</v>
      </c>
      <c r="V603" s="3" t="n">
        <v>1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1</v>
      </c>
      <c r="AB603" s="3" t="n">
        <v>1</v>
      </c>
      <c r="AC603" s="3" t="n">
        <v>0</v>
      </c>
      <c r="AD603" s="3" t="n">
        <v>0</v>
      </c>
      <c r="AE603" s="3" t="n">
        <v>0</v>
      </c>
      <c r="AF603" s="3" t="n">
        <v>1</v>
      </c>
      <c r="AG603" s="3" t="n">
        <v>0</v>
      </c>
      <c r="AH603" s="3" t="n">
        <v>0</v>
      </c>
      <c r="AI603" s="3" t="n">
        <v>1</v>
      </c>
      <c r="AJ603" s="4" t="n">
        <f aca="false">SUM(G603:AI603)</f>
        <v>6</v>
      </c>
      <c r="AK603" s="4" t="n">
        <f aca="false">ROUND(SUMPRODUCT(G603:AI603,Gene_Weights!$B$2:$AD$2),3)</f>
        <v>-4.23</v>
      </c>
      <c r="AL603" s="2" t="n">
        <v>5</v>
      </c>
      <c r="AM603" s="2" t="n">
        <v>1</v>
      </c>
      <c r="AN603" s="2" t="n">
        <v>20</v>
      </c>
      <c r="AO603" s="5" t="n">
        <v>64.53</v>
      </c>
      <c r="AP603" s="5" t="n">
        <v>66.13</v>
      </c>
      <c r="AQ603" s="5" t="n">
        <v>67.73</v>
      </c>
      <c r="AR603" s="5" t="n">
        <v>69.33</v>
      </c>
      <c r="AS603" s="5" t="n">
        <v>70.93</v>
      </c>
      <c r="AT603" s="5" t="n">
        <v>72.53</v>
      </c>
      <c r="AU603" s="5" t="n">
        <v>74.13</v>
      </c>
      <c r="AV603" s="5" t="s">
        <v>51</v>
      </c>
    </row>
    <row r="604" customFormat="false" ht="15" hidden="false" customHeight="false" outlineLevel="0" collapsed="false">
      <c r="A604" s="2" t="s">
        <v>156</v>
      </c>
      <c r="B604" s="2" t="n">
        <v>2008</v>
      </c>
      <c r="C604" s="2" t="s">
        <v>53</v>
      </c>
      <c r="D604" s="2" t="n">
        <v>1</v>
      </c>
      <c r="E604" s="2" t="n">
        <v>16</v>
      </c>
      <c r="F604" s="2" t="s">
        <v>50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1</v>
      </c>
      <c r="U604" s="3" t="n">
        <v>0</v>
      </c>
      <c r="V604" s="3" t="n">
        <v>1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1</v>
      </c>
      <c r="AB604" s="3" t="n">
        <v>1</v>
      </c>
      <c r="AC604" s="3" t="n">
        <v>0</v>
      </c>
      <c r="AD604" s="3" t="n">
        <v>0</v>
      </c>
      <c r="AE604" s="3" t="n">
        <v>0</v>
      </c>
      <c r="AF604" s="3" t="n">
        <v>1</v>
      </c>
      <c r="AG604" s="3" t="n">
        <v>0</v>
      </c>
      <c r="AH604" s="3" t="n">
        <v>0</v>
      </c>
      <c r="AI604" s="3" t="n">
        <v>1</v>
      </c>
      <c r="AJ604" s="4" t="n">
        <f aca="false">SUM(G604:AI604)</f>
        <v>6</v>
      </c>
      <c r="AK604" s="4" t="n">
        <f aca="false">ROUND(SUMPRODUCT(G604:AI604,Gene_Weights!$B$2:$AD$2),3)</f>
        <v>-4.23</v>
      </c>
      <c r="AL604" s="2" t="n">
        <v>5</v>
      </c>
      <c r="AM604" s="2" t="n">
        <v>2</v>
      </c>
      <c r="AN604" s="2" t="n">
        <v>40</v>
      </c>
      <c r="AO604" s="5" t="n">
        <v>52.86</v>
      </c>
      <c r="AP604" s="5" t="n">
        <v>53.65</v>
      </c>
      <c r="AQ604" s="5" t="n">
        <v>54.45</v>
      </c>
      <c r="AR604" s="5" t="n">
        <v>55.24</v>
      </c>
      <c r="AS604" s="5" t="n">
        <v>56.03</v>
      </c>
      <c r="AT604" s="5" t="n">
        <v>56.83</v>
      </c>
      <c r="AU604" s="5" t="n">
        <v>57.62</v>
      </c>
      <c r="AV604" s="5" t="s">
        <v>51</v>
      </c>
    </row>
    <row r="605" customFormat="false" ht="15" hidden="false" customHeight="false" outlineLevel="0" collapsed="false">
      <c r="A605" s="2" t="s">
        <v>156</v>
      </c>
      <c r="B605" s="2" t="n">
        <v>2008</v>
      </c>
      <c r="C605" s="2" t="s">
        <v>54</v>
      </c>
      <c r="D605" s="2" t="n">
        <v>1</v>
      </c>
      <c r="E605" s="2" t="n">
        <v>32</v>
      </c>
      <c r="F605" s="2" t="s">
        <v>50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1</v>
      </c>
      <c r="U605" s="3" t="n">
        <v>0</v>
      </c>
      <c r="V605" s="3" t="n">
        <v>1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1</v>
      </c>
      <c r="AB605" s="3" t="n">
        <v>1</v>
      </c>
      <c r="AC605" s="3" t="n">
        <v>0</v>
      </c>
      <c r="AD605" s="3" t="n">
        <v>0</v>
      </c>
      <c r="AE605" s="3" t="n">
        <v>0</v>
      </c>
      <c r="AF605" s="3" t="n">
        <v>1</v>
      </c>
      <c r="AG605" s="3" t="n">
        <v>0</v>
      </c>
      <c r="AH605" s="3" t="n">
        <v>0</v>
      </c>
      <c r="AI605" s="3" t="n">
        <v>1</v>
      </c>
      <c r="AJ605" s="4" t="n">
        <f aca="false">SUM(G605:AI605)</f>
        <v>6</v>
      </c>
      <c r="AK605" s="4" t="n">
        <f aca="false">ROUND(SUMPRODUCT(G605:AI605,Gene_Weights!$B$2:$AD$2),3)</f>
        <v>-4.23</v>
      </c>
      <c r="AL605" s="2" t="n">
        <v>5</v>
      </c>
      <c r="AM605" s="2" t="n">
        <v>2</v>
      </c>
      <c r="AN605" s="2" t="n">
        <v>40</v>
      </c>
      <c r="AO605" s="5" t="n">
        <v>81.84</v>
      </c>
      <c r="AP605" s="5" t="n">
        <v>84.45</v>
      </c>
      <c r="AQ605" s="5" t="n">
        <v>87.06</v>
      </c>
      <c r="AR605" s="5" t="n">
        <v>89.67</v>
      </c>
      <c r="AS605" s="5" t="n">
        <v>92.27</v>
      </c>
      <c r="AT605" s="5" t="n">
        <v>94.88</v>
      </c>
      <c r="AU605" s="5" t="n">
        <v>97.49</v>
      </c>
      <c r="AV605" s="5" t="s">
        <v>51</v>
      </c>
    </row>
    <row r="606" customFormat="false" ht="15" hidden="false" customHeight="false" outlineLevel="0" collapsed="false">
      <c r="A606" s="2" t="s">
        <v>156</v>
      </c>
      <c r="B606" s="2" t="n">
        <v>2008</v>
      </c>
      <c r="C606" s="2" t="s">
        <v>55</v>
      </c>
      <c r="D606" s="2" t="n">
        <v>0</v>
      </c>
      <c r="E606" s="2" t="n">
        <v>16</v>
      </c>
      <c r="F606" s="2" t="s">
        <v>50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1</v>
      </c>
      <c r="U606" s="3" t="n">
        <v>0</v>
      </c>
      <c r="V606" s="3" t="n">
        <v>1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1</v>
      </c>
      <c r="AB606" s="3" t="n">
        <v>1</v>
      </c>
      <c r="AC606" s="3" t="n">
        <v>0</v>
      </c>
      <c r="AD606" s="3" t="n">
        <v>0</v>
      </c>
      <c r="AE606" s="3" t="n">
        <v>0</v>
      </c>
      <c r="AF606" s="3" t="n">
        <v>1</v>
      </c>
      <c r="AG606" s="3" t="n">
        <v>0</v>
      </c>
      <c r="AH606" s="3" t="n">
        <v>0</v>
      </c>
      <c r="AI606" s="3" t="n">
        <v>1</v>
      </c>
      <c r="AJ606" s="4" t="n">
        <f aca="false">SUM(G606:AI606)</f>
        <v>6</v>
      </c>
      <c r="AK606" s="4" t="n">
        <f aca="false">ROUND(SUMPRODUCT(G606:AI606,Gene_Weights!$B$2:$AD$2),3)</f>
        <v>-4.23</v>
      </c>
      <c r="AL606" s="2" t="n">
        <v>5</v>
      </c>
      <c r="AM606" s="2" t="n">
        <v>2</v>
      </c>
      <c r="AN606" s="2" t="n">
        <v>40</v>
      </c>
      <c r="AO606" s="5" t="n">
        <v>58.19</v>
      </c>
      <c r="AP606" s="5" t="n">
        <v>59.74</v>
      </c>
      <c r="AQ606" s="5" t="n">
        <v>61.3</v>
      </c>
      <c r="AR606" s="5" t="n">
        <v>62.86</v>
      </c>
      <c r="AS606" s="5" t="n">
        <v>64.42</v>
      </c>
      <c r="AT606" s="5" t="n">
        <v>65.98</v>
      </c>
      <c r="AU606" s="5" t="n">
        <v>67.53</v>
      </c>
      <c r="AV606" s="5" t="s">
        <v>51</v>
      </c>
    </row>
    <row r="607" customFormat="false" ht="15" hidden="false" customHeight="false" outlineLevel="0" collapsed="false">
      <c r="A607" s="2" t="s">
        <v>156</v>
      </c>
      <c r="B607" s="2" t="n">
        <v>2008</v>
      </c>
      <c r="C607" s="2" t="s">
        <v>56</v>
      </c>
      <c r="D607" s="2" t="n">
        <v>1</v>
      </c>
      <c r="E607" s="2" t="n">
        <v>16</v>
      </c>
      <c r="F607" s="2" t="s">
        <v>50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1</v>
      </c>
      <c r="U607" s="3" t="n">
        <v>0</v>
      </c>
      <c r="V607" s="3" t="n">
        <v>1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1</v>
      </c>
      <c r="AB607" s="3" t="n">
        <v>1</v>
      </c>
      <c r="AC607" s="3" t="n">
        <v>0</v>
      </c>
      <c r="AD607" s="3" t="n">
        <v>0</v>
      </c>
      <c r="AE607" s="3" t="n">
        <v>0</v>
      </c>
      <c r="AF607" s="3" t="n">
        <v>1</v>
      </c>
      <c r="AG607" s="3" t="n">
        <v>0</v>
      </c>
      <c r="AH607" s="3" t="n">
        <v>0</v>
      </c>
      <c r="AI607" s="3" t="n">
        <v>1</v>
      </c>
      <c r="AJ607" s="4" t="n">
        <f aca="false">SUM(G607:AI607)</f>
        <v>6</v>
      </c>
      <c r="AK607" s="4" t="n">
        <f aca="false">ROUND(SUMPRODUCT(G607:AI607,Gene_Weights!$B$2:$AD$2),3)</f>
        <v>-4.23</v>
      </c>
      <c r="AL607" s="2" t="n">
        <v>5</v>
      </c>
      <c r="AM607" s="2" t="n">
        <v>3</v>
      </c>
      <c r="AN607" s="2" t="n">
        <v>60</v>
      </c>
      <c r="AO607" s="5" t="n">
        <v>75.59</v>
      </c>
      <c r="AP607" s="5" t="n">
        <v>78.01</v>
      </c>
      <c r="AQ607" s="5" t="n">
        <v>80.42</v>
      </c>
      <c r="AR607" s="5" t="n">
        <v>82.83</v>
      </c>
      <c r="AS607" s="5" t="n">
        <v>85.24</v>
      </c>
      <c r="AT607" s="5" t="n">
        <v>87.66</v>
      </c>
      <c r="AU607" s="5" t="n">
        <v>90.07</v>
      </c>
      <c r="AV607" s="5" t="s">
        <v>51</v>
      </c>
    </row>
    <row r="608" customFormat="false" ht="15" hidden="false" customHeight="false" outlineLevel="0" collapsed="false">
      <c r="A608" s="2" t="s">
        <v>157</v>
      </c>
      <c r="B608" s="2" t="n">
        <v>2019</v>
      </c>
      <c r="C608" s="2" t="s">
        <v>49</v>
      </c>
      <c r="D608" s="2" t="n">
        <v>1</v>
      </c>
      <c r="E608" s="2" t="n">
        <v>16</v>
      </c>
      <c r="F608" s="2" t="s">
        <v>50</v>
      </c>
      <c r="G608" s="3" t="n">
        <v>1</v>
      </c>
      <c r="H608" s="3" t="n">
        <v>0</v>
      </c>
      <c r="I608" s="3" t="n">
        <v>1</v>
      </c>
      <c r="J608" s="3" t="n">
        <v>1</v>
      </c>
      <c r="K608" s="3" t="n">
        <v>1</v>
      </c>
      <c r="L608" s="3" t="n">
        <v>0</v>
      </c>
      <c r="M608" s="3" t="n">
        <v>0</v>
      </c>
      <c r="N608" s="3" t="n">
        <v>1</v>
      </c>
      <c r="O608" s="3" t="n">
        <v>0</v>
      </c>
      <c r="P608" s="3" t="n">
        <v>1</v>
      </c>
      <c r="Q608" s="3" t="n">
        <v>0</v>
      </c>
      <c r="R608" s="3" t="n">
        <v>0</v>
      </c>
      <c r="S608" s="3" t="n">
        <v>0</v>
      </c>
      <c r="T608" s="3" t="n">
        <v>1</v>
      </c>
      <c r="U608" s="3" t="n">
        <v>0</v>
      </c>
      <c r="V608" s="3" t="n">
        <v>0</v>
      </c>
      <c r="W608" s="3" t="n">
        <v>0</v>
      </c>
      <c r="X608" s="3" t="n">
        <v>1</v>
      </c>
      <c r="Y608" s="3" t="n">
        <v>0</v>
      </c>
      <c r="Z608" s="3" t="n">
        <v>0</v>
      </c>
      <c r="AA608" s="3" t="n">
        <v>0</v>
      </c>
      <c r="AB608" s="3" t="n">
        <v>1</v>
      </c>
      <c r="AC608" s="3" t="n">
        <v>1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1</v>
      </c>
      <c r="AI608" s="3" t="n">
        <v>0</v>
      </c>
      <c r="AJ608" s="4" t="n">
        <f aca="false">SUM(G608:AI608)</f>
        <v>11</v>
      </c>
      <c r="AK608" s="4" t="n">
        <f aca="false">ROUND(SUMPRODUCT(G608:AI608,Gene_Weights!$B$2:$AD$2),3)</f>
        <v>-7.46</v>
      </c>
      <c r="AL608" s="2" t="n">
        <v>7</v>
      </c>
      <c r="AM608" s="2" t="n">
        <v>4</v>
      </c>
      <c r="AN608" s="2" t="n">
        <v>57.14</v>
      </c>
      <c r="AO608" s="5" t="n">
        <v>55.12</v>
      </c>
      <c r="AP608" s="5" t="n">
        <v>56.02</v>
      </c>
      <c r="AQ608" s="5" t="n">
        <v>56.92</v>
      </c>
      <c r="AR608" s="5" t="n">
        <v>57.82</v>
      </c>
      <c r="AS608" s="5" t="n">
        <v>58.72</v>
      </c>
      <c r="AT608" s="5" t="n">
        <v>59.62</v>
      </c>
      <c r="AU608" s="5" t="n">
        <v>60.52</v>
      </c>
      <c r="AV608" s="5" t="s">
        <v>51</v>
      </c>
    </row>
    <row r="609" customFormat="false" ht="15" hidden="false" customHeight="false" outlineLevel="0" collapsed="false">
      <c r="A609" s="2" t="s">
        <v>157</v>
      </c>
      <c r="B609" s="2" t="n">
        <v>2019</v>
      </c>
      <c r="C609" s="2" t="s">
        <v>52</v>
      </c>
      <c r="D609" s="2" t="n">
        <v>0</v>
      </c>
      <c r="E609" s="2" t="n">
        <v>4</v>
      </c>
      <c r="F609" s="2" t="s">
        <v>50</v>
      </c>
      <c r="G609" s="3" t="n">
        <v>1</v>
      </c>
      <c r="H609" s="3" t="n">
        <v>0</v>
      </c>
      <c r="I609" s="3" t="n">
        <v>1</v>
      </c>
      <c r="J609" s="3" t="n">
        <v>1</v>
      </c>
      <c r="K609" s="3" t="n">
        <v>1</v>
      </c>
      <c r="L609" s="3" t="n">
        <v>0</v>
      </c>
      <c r="M609" s="3" t="n">
        <v>0</v>
      </c>
      <c r="N609" s="3" t="n">
        <v>1</v>
      </c>
      <c r="O609" s="3" t="n">
        <v>0</v>
      </c>
      <c r="P609" s="3" t="n">
        <v>1</v>
      </c>
      <c r="Q609" s="3" t="n">
        <v>0</v>
      </c>
      <c r="R609" s="3" t="n">
        <v>0</v>
      </c>
      <c r="S609" s="3" t="n">
        <v>0</v>
      </c>
      <c r="T609" s="3" t="n">
        <v>1</v>
      </c>
      <c r="U609" s="3" t="n">
        <v>0</v>
      </c>
      <c r="V609" s="3" t="n">
        <v>0</v>
      </c>
      <c r="W609" s="3" t="n">
        <v>0</v>
      </c>
      <c r="X609" s="3" t="n">
        <v>1</v>
      </c>
      <c r="Y609" s="3" t="n">
        <v>0</v>
      </c>
      <c r="Z609" s="3" t="n">
        <v>0</v>
      </c>
      <c r="AA609" s="3" t="n">
        <v>0</v>
      </c>
      <c r="AB609" s="3" t="n">
        <v>1</v>
      </c>
      <c r="AC609" s="3" t="n">
        <v>1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1</v>
      </c>
      <c r="AI609" s="3" t="n">
        <v>0</v>
      </c>
      <c r="AJ609" s="4" t="n">
        <f aca="false">SUM(G609:AI609)</f>
        <v>11</v>
      </c>
      <c r="AK609" s="4" t="n">
        <f aca="false">ROUND(SUMPRODUCT(G609:AI609,Gene_Weights!$B$2:$AD$2),3)</f>
        <v>-7.46</v>
      </c>
      <c r="AL609" s="2" t="n">
        <v>7</v>
      </c>
      <c r="AM609" s="2" t="n">
        <v>5</v>
      </c>
      <c r="AN609" s="2" t="n">
        <v>71.43</v>
      </c>
      <c r="AO609" s="5" t="n">
        <v>64.53</v>
      </c>
      <c r="AP609" s="5" t="n">
        <v>66.13</v>
      </c>
      <c r="AQ609" s="5" t="n">
        <v>67.73</v>
      </c>
      <c r="AR609" s="5" t="n">
        <v>69.33</v>
      </c>
      <c r="AS609" s="5" t="n">
        <v>70.93</v>
      </c>
      <c r="AT609" s="5" t="n">
        <v>72.53</v>
      </c>
      <c r="AU609" s="5" t="n">
        <v>74.13</v>
      </c>
      <c r="AV609" s="5" t="s">
        <v>51</v>
      </c>
    </row>
    <row r="610" customFormat="false" ht="15" hidden="false" customHeight="false" outlineLevel="0" collapsed="false">
      <c r="A610" s="2" t="s">
        <v>157</v>
      </c>
      <c r="B610" s="2" t="n">
        <v>2019</v>
      </c>
      <c r="C610" s="2" t="s">
        <v>53</v>
      </c>
      <c r="D610" s="2" t="n">
        <v>0</v>
      </c>
      <c r="E610" s="2" t="n">
        <v>2</v>
      </c>
      <c r="F610" s="2" t="s">
        <v>50</v>
      </c>
      <c r="G610" s="3" t="n">
        <v>1</v>
      </c>
      <c r="H610" s="3" t="n">
        <v>0</v>
      </c>
      <c r="I610" s="3" t="n">
        <v>1</v>
      </c>
      <c r="J610" s="3" t="n">
        <v>1</v>
      </c>
      <c r="K610" s="3" t="n">
        <v>1</v>
      </c>
      <c r="L610" s="3" t="n">
        <v>0</v>
      </c>
      <c r="M610" s="3" t="n">
        <v>0</v>
      </c>
      <c r="N610" s="3" t="n">
        <v>1</v>
      </c>
      <c r="O610" s="3" t="n">
        <v>0</v>
      </c>
      <c r="P610" s="3" t="n">
        <v>1</v>
      </c>
      <c r="Q610" s="3" t="n">
        <v>0</v>
      </c>
      <c r="R610" s="3" t="n">
        <v>0</v>
      </c>
      <c r="S610" s="3" t="n">
        <v>0</v>
      </c>
      <c r="T610" s="3" t="n">
        <v>1</v>
      </c>
      <c r="U610" s="3" t="n">
        <v>0</v>
      </c>
      <c r="V610" s="3" t="n">
        <v>0</v>
      </c>
      <c r="W610" s="3" t="n">
        <v>0</v>
      </c>
      <c r="X610" s="3" t="n">
        <v>1</v>
      </c>
      <c r="Y610" s="3" t="n">
        <v>0</v>
      </c>
      <c r="Z610" s="3" t="n">
        <v>0</v>
      </c>
      <c r="AA610" s="3" t="n">
        <v>0</v>
      </c>
      <c r="AB610" s="3" t="n">
        <v>1</v>
      </c>
      <c r="AC610" s="3" t="n">
        <v>1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1</v>
      </c>
      <c r="AI610" s="3" t="n">
        <v>0</v>
      </c>
      <c r="AJ610" s="4" t="n">
        <f aca="false">SUM(G610:AI610)</f>
        <v>11</v>
      </c>
      <c r="AK610" s="4" t="n">
        <f aca="false">ROUND(SUMPRODUCT(G610:AI610,Gene_Weights!$B$2:$AD$2),3)</f>
        <v>-7.46</v>
      </c>
      <c r="AL610" s="2" t="n">
        <v>7</v>
      </c>
      <c r="AM610" s="2" t="n">
        <v>2</v>
      </c>
      <c r="AN610" s="2" t="n">
        <v>28.57</v>
      </c>
      <c r="AO610" s="5" t="n">
        <v>52.86</v>
      </c>
      <c r="AP610" s="5" t="n">
        <v>53.65</v>
      </c>
      <c r="AQ610" s="5" t="n">
        <v>54.45</v>
      </c>
      <c r="AR610" s="5" t="n">
        <v>55.24</v>
      </c>
      <c r="AS610" s="5" t="n">
        <v>56.03</v>
      </c>
      <c r="AT610" s="5" t="n">
        <v>56.83</v>
      </c>
      <c r="AU610" s="5" t="n">
        <v>57.62</v>
      </c>
      <c r="AV610" s="5" t="s">
        <v>51</v>
      </c>
    </row>
    <row r="611" customFormat="false" ht="15" hidden="false" customHeight="false" outlineLevel="0" collapsed="false">
      <c r="A611" s="2" t="s">
        <v>157</v>
      </c>
      <c r="B611" s="2" t="n">
        <v>2019</v>
      </c>
      <c r="C611" s="2" t="s">
        <v>54</v>
      </c>
      <c r="D611" s="2" t="n">
        <v>1</v>
      </c>
      <c r="E611" s="2" t="n">
        <v>16</v>
      </c>
      <c r="F611" s="2" t="s">
        <v>50</v>
      </c>
      <c r="G611" s="3" t="n">
        <v>1</v>
      </c>
      <c r="H611" s="3" t="n">
        <v>0</v>
      </c>
      <c r="I611" s="3" t="n">
        <v>1</v>
      </c>
      <c r="J611" s="3" t="n">
        <v>1</v>
      </c>
      <c r="K611" s="3" t="n">
        <v>1</v>
      </c>
      <c r="L611" s="3" t="n">
        <v>0</v>
      </c>
      <c r="M611" s="3" t="n">
        <v>0</v>
      </c>
      <c r="N611" s="3" t="n">
        <v>1</v>
      </c>
      <c r="O611" s="3" t="n">
        <v>0</v>
      </c>
      <c r="P611" s="3" t="n">
        <v>1</v>
      </c>
      <c r="Q611" s="3" t="n">
        <v>0</v>
      </c>
      <c r="R611" s="3" t="n">
        <v>0</v>
      </c>
      <c r="S611" s="3" t="n">
        <v>0</v>
      </c>
      <c r="T611" s="3" t="n">
        <v>1</v>
      </c>
      <c r="U611" s="3" t="n">
        <v>0</v>
      </c>
      <c r="V611" s="3" t="n">
        <v>0</v>
      </c>
      <c r="W611" s="3" t="n">
        <v>0</v>
      </c>
      <c r="X611" s="3" t="n">
        <v>1</v>
      </c>
      <c r="Y611" s="3" t="n">
        <v>0</v>
      </c>
      <c r="Z611" s="3" t="n">
        <v>0</v>
      </c>
      <c r="AA611" s="3" t="n">
        <v>0</v>
      </c>
      <c r="AB611" s="3" t="n">
        <v>1</v>
      </c>
      <c r="AC611" s="3" t="n">
        <v>1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1</v>
      </c>
      <c r="AI611" s="3" t="n">
        <v>0</v>
      </c>
      <c r="AJ611" s="4" t="n">
        <f aca="false">SUM(G611:AI611)</f>
        <v>11</v>
      </c>
      <c r="AK611" s="4" t="n">
        <f aca="false">ROUND(SUMPRODUCT(G611:AI611,Gene_Weights!$B$2:$AD$2),3)</f>
        <v>-7.46</v>
      </c>
      <c r="AL611" s="2" t="n">
        <v>7</v>
      </c>
      <c r="AM611" s="2" t="n">
        <v>5</v>
      </c>
      <c r="AN611" s="2" t="n">
        <v>71.43</v>
      </c>
      <c r="AO611" s="5" t="n">
        <v>81.84</v>
      </c>
      <c r="AP611" s="5" t="n">
        <v>84.45</v>
      </c>
      <c r="AQ611" s="5" t="n">
        <v>87.06</v>
      </c>
      <c r="AR611" s="5" t="n">
        <v>89.67</v>
      </c>
      <c r="AS611" s="5" t="n">
        <v>92.27</v>
      </c>
      <c r="AT611" s="5" t="n">
        <v>94.88</v>
      </c>
      <c r="AU611" s="5" t="n">
        <v>97.49</v>
      </c>
      <c r="AV611" s="5" t="s">
        <v>51</v>
      </c>
    </row>
    <row r="612" customFormat="false" ht="15" hidden="false" customHeight="false" outlineLevel="0" collapsed="false">
      <c r="A612" s="2" t="s">
        <v>157</v>
      </c>
      <c r="B612" s="2" t="n">
        <v>2019</v>
      </c>
      <c r="C612" s="2" t="s">
        <v>55</v>
      </c>
      <c r="D612" s="2" t="n">
        <v>1</v>
      </c>
      <c r="E612" s="2" t="n">
        <v>16</v>
      </c>
      <c r="F612" s="2" t="s">
        <v>50</v>
      </c>
      <c r="G612" s="3" t="n">
        <v>1</v>
      </c>
      <c r="H612" s="3" t="n">
        <v>0</v>
      </c>
      <c r="I612" s="3" t="n">
        <v>1</v>
      </c>
      <c r="J612" s="3" t="n">
        <v>1</v>
      </c>
      <c r="K612" s="3" t="n">
        <v>1</v>
      </c>
      <c r="L612" s="3" t="n">
        <v>0</v>
      </c>
      <c r="M612" s="3" t="n">
        <v>0</v>
      </c>
      <c r="N612" s="3" t="n">
        <v>1</v>
      </c>
      <c r="O612" s="3" t="n">
        <v>0</v>
      </c>
      <c r="P612" s="3" t="n">
        <v>1</v>
      </c>
      <c r="Q612" s="3" t="n">
        <v>0</v>
      </c>
      <c r="R612" s="3" t="n">
        <v>0</v>
      </c>
      <c r="S612" s="3" t="n">
        <v>0</v>
      </c>
      <c r="T612" s="3" t="n">
        <v>1</v>
      </c>
      <c r="U612" s="3" t="n">
        <v>0</v>
      </c>
      <c r="V612" s="3" t="n">
        <v>0</v>
      </c>
      <c r="W612" s="3" t="n">
        <v>0</v>
      </c>
      <c r="X612" s="3" t="n">
        <v>1</v>
      </c>
      <c r="Y612" s="3" t="n">
        <v>0</v>
      </c>
      <c r="Z612" s="3" t="n">
        <v>0</v>
      </c>
      <c r="AA612" s="3" t="n">
        <v>0</v>
      </c>
      <c r="AB612" s="3" t="n">
        <v>1</v>
      </c>
      <c r="AC612" s="3" t="n">
        <v>1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1</v>
      </c>
      <c r="AI612" s="3" t="n">
        <v>0</v>
      </c>
      <c r="AJ612" s="4" t="n">
        <f aca="false">SUM(G612:AI612)</f>
        <v>11</v>
      </c>
      <c r="AK612" s="4" t="n">
        <f aca="false">ROUND(SUMPRODUCT(G612:AI612,Gene_Weights!$B$2:$AD$2),3)</f>
        <v>-7.46</v>
      </c>
      <c r="AL612" s="2" t="n">
        <v>7</v>
      </c>
      <c r="AM612" s="2" t="n">
        <v>2</v>
      </c>
      <c r="AN612" s="2" t="n">
        <v>28.57</v>
      </c>
      <c r="AO612" s="5" t="n">
        <v>58.19</v>
      </c>
      <c r="AP612" s="5" t="n">
        <v>59.74</v>
      </c>
      <c r="AQ612" s="5" t="n">
        <v>61.3</v>
      </c>
      <c r="AR612" s="5" t="n">
        <v>62.86</v>
      </c>
      <c r="AS612" s="5" t="n">
        <v>64.42</v>
      </c>
      <c r="AT612" s="5" t="n">
        <v>65.98</v>
      </c>
      <c r="AU612" s="5" t="n">
        <v>67.53</v>
      </c>
      <c r="AV612" s="5" t="s">
        <v>51</v>
      </c>
    </row>
    <row r="613" customFormat="false" ht="15" hidden="false" customHeight="false" outlineLevel="0" collapsed="false">
      <c r="A613" s="2" t="s">
        <v>157</v>
      </c>
      <c r="B613" s="2" t="n">
        <v>2019</v>
      </c>
      <c r="C613" s="2" t="s">
        <v>56</v>
      </c>
      <c r="D613" s="2" t="n">
        <v>0</v>
      </c>
      <c r="E613" s="2" t="n">
        <v>2</v>
      </c>
      <c r="F613" s="2" t="s">
        <v>50</v>
      </c>
      <c r="G613" s="3" t="n">
        <v>1</v>
      </c>
      <c r="H613" s="3" t="n">
        <v>0</v>
      </c>
      <c r="I613" s="3" t="n">
        <v>1</v>
      </c>
      <c r="J613" s="3" t="n">
        <v>1</v>
      </c>
      <c r="K613" s="3" t="n">
        <v>1</v>
      </c>
      <c r="L613" s="3" t="n">
        <v>0</v>
      </c>
      <c r="M613" s="3" t="n">
        <v>0</v>
      </c>
      <c r="N613" s="3" t="n">
        <v>1</v>
      </c>
      <c r="O613" s="3" t="n">
        <v>0</v>
      </c>
      <c r="P613" s="3" t="n">
        <v>1</v>
      </c>
      <c r="Q613" s="3" t="n">
        <v>0</v>
      </c>
      <c r="R613" s="3" t="n">
        <v>0</v>
      </c>
      <c r="S613" s="3" t="n">
        <v>0</v>
      </c>
      <c r="T613" s="3" t="n">
        <v>1</v>
      </c>
      <c r="U613" s="3" t="n">
        <v>0</v>
      </c>
      <c r="V613" s="3" t="n">
        <v>0</v>
      </c>
      <c r="W613" s="3" t="n">
        <v>0</v>
      </c>
      <c r="X613" s="3" t="n">
        <v>1</v>
      </c>
      <c r="Y613" s="3" t="n">
        <v>0</v>
      </c>
      <c r="Z613" s="3" t="n">
        <v>0</v>
      </c>
      <c r="AA613" s="3" t="n">
        <v>0</v>
      </c>
      <c r="AB613" s="3" t="n">
        <v>1</v>
      </c>
      <c r="AC613" s="3" t="n">
        <v>1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1</v>
      </c>
      <c r="AI613" s="3" t="n">
        <v>0</v>
      </c>
      <c r="AJ613" s="4" t="n">
        <f aca="false">SUM(G613:AI613)</f>
        <v>11</v>
      </c>
      <c r="AK613" s="4" t="n">
        <f aca="false">ROUND(SUMPRODUCT(G613:AI613,Gene_Weights!$B$2:$AD$2),3)</f>
        <v>-7.46</v>
      </c>
      <c r="AL613" s="2" t="n">
        <v>7</v>
      </c>
      <c r="AM613" s="2" t="n">
        <v>3</v>
      </c>
      <c r="AN613" s="2" t="n">
        <v>42.86</v>
      </c>
      <c r="AO613" s="5" t="n">
        <v>75.59</v>
      </c>
      <c r="AP613" s="5" t="n">
        <v>78.01</v>
      </c>
      <c r="AQ613" s="5" t="n">
        <v>80.42</v>
      </c>
      <c r="AR613" s="5" t="n">
        <v>82.83</v>
      </c>
      <c r="AS613" s="5" t="n">
        <v>85.24</v>
      </c>
      <c r="AT613" s="5" t="n">
        <v>87.66</v>
      </c>
      <c r="AU613" s="5" t="n">
        <v>90.07</v>
      </c>
      <c r="AV613" s="5" t="s">
        <v>51</v>
      </c>
    </row>
    <row r="614" customFormat="false" ht="15" hidden="false" customHeight="false" outlineLevel="0" collapsed="false">
      <c r="A614" s="2" t="s">
        <v>158</v>
      </c>
      <c r="B614" s="2" t="n">
        <v>2024</v>
      </c>
      <c r="C614" s="2" t="s">
        <v>49</v>
      </c>
      <c r="D614" s="2" t="n">
        <v>1</v>
      </c>
      <c r="E614" s="2" t="n">
        <v>4</v>
      </c>
      <c r="F614" s="2" t="s">
        <v>50</v>
      </c>
      <c r="G614" s="3" t="n">
        <v>1</v>
      </c>
      <c r="H614" s="3" t="n">
        <v>0</v>
      </c>
      <c r="I614" s="3" t="n">
        <v>0</v>
      </c>
      <c r="J614" s="3" t="n">
        <v>1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1</v>
      </c>
      <c r="P614" s="3" t="n">
        <v>0</v>
      </c>
      <c r="Q614" s="3" t="n">
        <v>1</v>
      </c>
      <c r="R614" s="3" t="n">
        <v>1</v>
      </c>
      <c r="S614" s="3" t="n">
        <v>0</v>
      </c>
      <c r="T614" s="3" t="n">
        <v>0</v>
      </c>
      <c r="U614" s="3" t="n">
        <v>0</v>
      </c>
      <c r="V614" s="3" t="n">
        <v>1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1</v>
      </c>
      <c r="AC614" s="3" t="n">
        <v>1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4" t="n">
        <f aca="false">SUM(G614:AI614)</f>
        <v>8</v>
      </c>
      <c r="AK614" s="4" t="n">
        <f aca="false">ROUND(SUMPRODUCT(G614:AI614,Gene_Weights!$B$2:$AD$2),3)</f>
        <v>-6.95</v>
      </c>
      <c r="AL614" s="2" t="n">
        <v>7</v>
      </c>
      <c r="AM614" s="2" t="n">
        <v>6</v>
      </c>
      <c r="AN614" s="2" t="n">
        <v>85.71</v>
      </c>
      <c r="AO614" s="5" t="n">
        <v>55.12</v>
      </c>
      <c r="AP614" s="5" t="n">
        <v>56.02</v>
      </c>
      <c r="AQ614" s="5" t="n">
        <v>56.92</v>
      </c>
      <c r="AR614" s="5" t="n">
        <v>57.82</v>
      </c>
      <c r="AS614" s="5" t="n">
        <v>58.72</v>
      </c>
      <c r="AT614" s="5" t="n">
        <v>59.62</v>
      </c>
      <c r="AU614" s="5" t="n">
        <v>60.52</v>
      </c>
      <c r="AV614" s="5" t="s">
        <v>51</v>
      </c>
    </row>
    <row r="615" customFormat="false" ht="15" hidden="false" customHeight="false" outlineLevel="0" collapsed="false">
      <c r="A615" s="2" t="s">
        <v>158</v>
      </c>
      <c r="B615" s="2" t="n">
        <v>2024</v>
      </c>
      <c r="C615" s="2" t="s">
        <v>52</v>
      </c>
      <c r="D615" s="2" t="n">
        <v>1</v>
      </c>
      <c r="E615" s="2" t="n">
        <v>4</v>
      </c>
      <c r="F615" s="2" t="s">
        <v>50</v>
      </c>
      <c r="G615" s="3" t="n">
        <v>1</v>
      </c>
      <c r="H615" s="3" t="n">
        <v>0</v>
      </c>
      <c r="I615" s="3" t="n">
        <v>0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1</v>
      </c>
      <c r="P615" s="3" t="n">
        <v>0</v>
      </c>
      <c r="Q615" s="3" t="n">
        <v>1</v>
      </c>
      <c r="R615" s="3" t="n">
        <v>1</v>
      </c>
      <c r="S615" s="3" t="n">
        <v>0</v>
      </c>
      <c r="T615" s="3" t="n">
        <v>0</v>
      </c>
      <c r="U615" s="3" t="n">
        <v>0</v>
      </c>
      <c r="V615" s="3" t="n">
        <v>1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1</v>
      </c>
      <c r="AC615" s="3" t="n">
        <v>1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4" t="n">
        <f aca="false">SUM(G615:AI615)</f>
        <v>8</v>
      </c>
      <c r="AK615" s="4" t="n">
        <f aca="false">ROUND(SUMPRODUCT(G615:AI615,Gene_Weights!$B$2:$AD$2),3)</f>
        <v>-6.95</v>
      </c>
      <c r="AL615" s="2" t="n">
        <v>7</v>
      </c>
      <c r="AM615" s="2" t="n">
        <v>7</v>
      </c>
      <c r="AN615" s="2" t="n">
        <v>100</v>
      </c>
      <c r="AO615" s="5" t="n">
        <v>64.53</v>
      </c>
      <c r="AP615" s="5" t="n">
        <v>66.13</v>
      </c>
      <c r="AQ615" s="5" t="n">
        <v>67.73</v>
      </c>
      <c r="AR615" s="5" t="n">
        <v>69.33</v>
      </c>
      <c r="AS615" s="5" t="n">
        <v>70.93</v>
      </c>
      <c r="AT615" s="5" t="n">
        <v>72.53</v>
      </c>
      <c r="AU615" s="5" t="n">
        <v>74.13</v>
      </c>
      <c r="AV615" s="5" t="s">
        <v>51</v>
      </c>
    </row>
    <row r="616" customFormat="false" ht="15" hidden="false" customHeight="false" outlineLevel="0" collapsed="false">
      <c r="A616" s="2" t="s">
        <v>158</v>
      </c>
      <c r="B616" s="2" t="n">
        <v>2024</v>
      </c>
      <c r="C616" s="2" t="s">
        <v>53</v>
      </c>
      <c r="D616" s="2" t="n">
        <v>1</v>
      </c>
      <c r="E616" s="2" t="n">
        <v>2</v>
      </c>
      <c r="F616" s="2" t="s">
        <v>50</v>
      </c>
      <c r="G616" s="3" t="n">
        <v>1</v>
      </c>
      <c r="H616" s="3" t="n">
        <v>0</v>
      </c>
      <c r="I616" s="3" t="n">
        <v>0</v>
      </c>
      <c r="J616" s="3" t="n">
        <v>1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1</v>
      </c>
      <c r="P616" s="3" t="n">
        <v>0</v>
      </c>
      <c r="Q616" s="3" t="n">
        <v>1</v>
      </c>
      <c r="R616" s="3" t="n">
        <v>1</v>
      </c>
      <c r="S616" s="3" t="n">
        <v>0</v>
      </c>
      <c r="T616" s="3" t="n">
        <v>0</v>
      </c>
      <c r="U616" s="3" t="n">
        <v>0</v>
      </c>
      <c r="V616" s="3" t="n">
        <v>1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1</v>
      </c>
      <c r="AC616" s="3" t="n">
        <v>1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4" t="n">
        <f aca="false">SUM(G616:AI616)</f>
        <v>8</v>
      </c>
      <c r="AK616" s="4" t="n">
        <f aca="false">ROUND(SUMPRODUCT(G616:AI616,Gene_Weights!$B$2:$AD$2),3)</f>
        <v>-6.95</v>
      </c>
      <c r="AL616" s="2" t="n">
        <v>7</v>
      </c>
      <c r="AM616" s="2" t="n">
        <v>5</v>
      </c>
      <c r="AN616" s="2" t="n">
        <v>71.43</v>
      </c>
      <c r="AO616" s="5" t="n">
        <v>52.86</v>
      </c>
      <c r="AP616" s="5" t="n">
        <v>53.65</v>
      </c>
      <c r="AQ616" s="5" t="n">
        <v>54.45</v>
      </c>
      <c r="AR616" s="5" t="n">
        <v>55.24</v>
      </c>
      <c r="AS616" s="5" t="n">
        <v>56.03</v>
      </c>
      <c r="AT616" s="5" t="n">
        <v>56.83</v>
      </c>
      <c r="AU616" s="5" t="n">
        <v>57.62</v>
      </c>
      <c r="AV616" s="5" t="s">
        <v>51</v>
      </c>
    </row>
    <row r="617" customFormat="false" ht="15" hidden="false" customHeight="false" outlineLevel="0" collapsed="false">
      <c r="A617" s="2" t="s">
        <v>158</v>
      </c>
      <c r="B617" s="2" t="n">
        <v>2024</v>
      </c>
      <c r="C617" s="2" t="s">
        <v>54</v>
      </c>
      <c r="D617" s="2" t="n">
        <v>1</v>
      </c>
      <c r="E617" s="2" t="n">
        <v>2</v>
      </c>
      <c r="F617" s="2" t="s">
        <v>50</v>
      </c>
      <c r="G617" s="3" t="n">
        <v>1</v>
      </c>
      <c r="H617" s="3" t="n">
        <v>0</v>
      </c>
      <c r="I617" s="3" t="n">
        <v>0</v>
      </c>
      <c r="J617" s="3" t="n">
        <v>1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1</v>
      </c>
      <c r="P617" s="3" t="n">
        <v>0</v>
      </c>
      <c r="Q617" s="3" t="n">
        <v>1</v>
      </c>
      <c r="R617" s="3" t="n">
        <v>1</v>
      </c>
      <c r="S617" s="3" t="n">
        <v>0</v>
      </c>
      <c r="T617" s="3" t="n">
        <v>0</v>
      </c>
      <c r="U617" s="3" t="n">
        <v>0</v>
      </c>
      <c r="V617" s="3" t="n">
        <v>1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1</v>
      </c>
      <c r="AC617" s="3" t="n">
        <v>1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4" t="n">
        <f aca="false">SUM(G617:AI617)</f>
        <v>8</v>
      </c>
      <c r="AK617" s="4" t="n">
        <f aca="false">ROUND(SUMPRODUCT(G617:AI617,Gene_Weights!$B$2:$AD$2),3)</f>
        <v>-6.95</v>
      </c>
      <c r="AL617" s="2" t="n">
        <v>7</v>
      </c>
      <c r="AM617" s="2" t="n">
        <v>6</v>
      </c>
      <c r="AN617" s="2" t="n">
        <v>85.71</v>
      </c>
      <c r="AO617" s="5" t="n">
        <v>81.84</v>
      </c>
      <c r="AP617" s="5" t="n">
        <v>84.45</v>
      </c>
      <c r="AQ617" s="5" t="n">
        <v>87.06</v>
      </c>
      <c r="AR617" s="5" t="n">
        <v>89.67</v>
      </c>
      <c r="AS617" s="5" t="n">
        <v>92.27</v>
      </c>
      <c r="AT617" s="5" t="n">
        <v>94.88</v>
      </c>
      <c r="AU617" s="5" t="n">
        <v>97.49</v>
      </c>
      <c r="AV617" s="5" t="s">
        <v>51</v>
      </c>
    </row>
    <row r="618" customFormat="false" ht="15" hidden="false" customHeight="false" outlineLevel="0" collapsed="false">
      <c r="A618" s="2" t="s">
        <v>158</v>
      </c>
      <c r="B618" s="2" t="n">
        <v>2024</v>
      </c>
      <c r="C618" s="2" t="s">
        <v>55</v>
      </c>
      <c r="D618" s="2" t="n">
        <v>1</v>
      </c>
      <c r="E618" s="2" t="n">
        <v>16</v>
      </c>
      <c r="F618" s="2" t="s">
        <v>50</v>
      </c>
      <c r="G618" s="3" t="n">
        <v>1</v>
      </c>
      <c r="H618" s="3" t="n">
        <v>0</v>
      </c>
      <c r="I618" s="3" t="n">
        <v>0</v>
      </c>
      <c r="J618" s="3" t="n">
        <v>1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1</v>
      </c>
      <c r="P618" s="3" t="n">
        <v>0</v>
      </c>
      <c r="Q618" s="3" t="n">
        <v>1</v>
      </c>
      <c r="R618" s="3" t="n">
        <v>1</v>
      </c>
      <c r="S618" s="3" t="n">
        <v>0</v>
      </c>
      <c r="T618" s="3" t="n">
        <v>0</v>
      </c>
      <c r="U618" s="3" t="n">
        <v>0</v>
      </c>
      <c r="V618" s="3" t="n">
        <v>1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1</v>
      </c>
      <c r="AC618" s="3" t="n">
        <v>1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4" t="n">
        <f aca="false">SUM(G618:AI618)</f>
        <v>8</v>
      </c>
      <c r="AK618" s="4" t="n">
        <f aca="false">ROUND(SUMPRODUCT(G618:AI618,Gene_Weights!$B$2:$AD$2),3)</f>
        <v>-6.95</v>
      </c>
      <c r="AL618" s="2" t="n">
        <v>7</v>
      </c>
      <c r="AM618" s="2" t="n">
        <v>5</v>
      </c>
      <c r="AN618" s="2" t="n">
        <v>71.43</v>
      </c>
      <c r="AO618" s="5" t="n">
        <v>58.19</v>
      </c>
      <c r="AP618" s="5" t="n">
        <v>59.74</v>
      </c>
      <c r="AQ618" s="5" t="n">
        <v>61.3</v>
      </c>
      <c r="AR618" s="5" t="n">
        <v>62.86</v>
      </c>
      <c r="AS618" s="5" t="n">
        <v>64.42</v>
      </c>
      <c r="AT618" s="5" t="n">
        <v>65.98</v>
      </c>
      <c r="AU618" s="5" t="n">
        <v>67.53</v>
      </c>
      <c r="AV618" s="5" t="s">
        <v>51</v>
      </c>
    </row>
    <row r="619" customFormat="false" ht="15" hidden="false" customHeight="false" outlineLevel="0" collapsed="false">
      <c r="A619" s="2" t="s">
        <v>158</v>
      </c>
      <c r="B619" s="2" t="n">
        <v>2024</v>
      </c>
      <c r="C619" s="2" t="s">
        <v>56</v>
      </c>
      <c r="D619" s="2" t="n">
        <v>1</v>
      </c>
      <c r="E619" s="2" t="n">
        <v>2</v>
      </c>
      <c r="F619" s="2" t="s">
        <v>50</v>
      </c>
      <c r="G619" s="3" t="n">
        <v>1</v>
      </c>
      <c r="H619" s="3" t="n">
        <v>0</v>
      </c>
      <c r="I619" s="3" t="n">
        <v>0</v>
      </c>
      <c r="J619" s="3" t="n">
        <v>1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1</v>
      </c>
      <c r="P619" s="3" t="n">
        <v>0</v>
      </c>
      <c r="Q619" s="3" t="n">
        <v>1</v>
      </c>
      <c r="R619" s="3" t="n">
        <v>1</v>
      </c>
      <c r="S619" s="3" t="n">
        <v>0</v>
      </c>
      <c r="T619" s="3" t="n">
        <v>0</v>
      </c>
      <c r="U619" s="3" t="n">
        <v>0</v>
      </c>
      <c r="V619" s="3" t="n">
        <v>1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1</v>
      </c>
      <c r="AC619" s="3" t="n">
        <v>1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4" t="n">
        <f aca="false">SUM(G619:AI619)</f>
        <v>8</v>
      </c>
      <c r="AK619" s="4" t="n">
        <f aca="false">ROUND(SUMPRODUCT(G619:AI619,Gene_Weights!$B$2:$AD$2),3)</f>
        <v>-6.95</v>
      </c>
      <c r="AL619" s="2" t="n">
        <v>7</v>
      </c>
      <c r="AM619" s="2" t="n">
        <v>5</v>
      </c>
      <c r="AN619" s="2" t="n">
        <v>71.43</v>
      </c>
      <c r="AO619" s="5" t="n">
        <v>75.59</v>
      </c>
      <c r="AP619" s="5" t="n">
        <v>78.01</v>
      </c>
      <c r="AQ619" s="5" t="n">
        <v>80.42</v>
      </c>
      <c r="AR619" s="5" t="n">
        <v>82.83</v>
      </c>
      <c r="AS619" s="5" t="n">
        <v>85.24</v>
      </c>
      <c r="AT619" s="5" t="n">
        <v>87.66</v>
      </c>
      <c r="AU619" s="5" t="n">
        <v>90.07</v>
      </c>
      <c r="AV619" s="5" t="s">
        <v>51</v>
      </c>
    </row>
    <row r="620" customFormat="false" ht="15" hidden="false" customHeight="false" outlineLevel="0" collapsed="false">
      <c r="A620" s="2" t="s">
        <v>159</v>
      </c>
      <c r="B620" s="2" t="n">
        <v>2004</v>
      </c>
      <c r="C620" s="2" t="s">
        <v>49</v>
      </c>
      <c r="D620" s="2" t="n">
        <v>1</v>
      </c>
      <c r="E620" s="2" t="n">
        <v>4</v>
      </c>
      <c r="F620" s="2" t="s">
        <v>50</v>
      </c>
      <c r="G620" s="3" t="n">
        <v>0</v>
      </c>
      <c r="H620" s="3" t="n">
        <v>0</v>
      </c>
      <c r="I620" s="3" t="n">
        <v>0</v>
      </c>
      <c r="J620" s="3" t="n">
        <v>1</v>
      </c>
      <c r="K620" s="3" t="n">
        <v>1</v>
      </c>
      <c r="L620" s="3" t="n">
        <v>0</v>
      </c>
      <c r="M620" s="3" t="n">
        <v>1</v>
      </c>
      <c r="N620" s="3" t="n">
        <v>1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1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1</v>
      </c>
      <c r="AF620" s="3" t="n">
        <v>0</v>
      </c>
      <c r="AG620" s="3" t="n">
        <v>0</v>
      </c>
      <c r="AH620" s="3" t="n">
        <v>0</v>
      </c>
      <c r="AI620" s="3" t="n">
        <v>1</v>
      </c>
      <c r="AJ620" s="4" t="n">
        <f aca="false">SUM(G620:AI620)</f>
        <v>7</v>
      </c>
      <c r="AK620" s="4" t="n">
        <f aca="false">ROUND(SUMPRODUCT(G620:AI620,Gene_Weights!$B$2:$AD$2),3)</f>
        <v>-6.31</v>
      </c>
      <c r="AL620" s="2" t="n">
        <v>5</v>
      </c>
      <c r="AM620" s="2" t="n">
        <v>2</v>
      </c>
      <c r="AN620" s="2" t="n">
        <v>40</v>
      </c>
      <c r="AO620" s="5" t="n">
        <v>55.12</v>
      </c>
      <c r="AP620" s="5" t="n">
        <v>56.02</v>
      </c>
      <c r="AQ620" s="5" t="n">
        <v>56.92</v>
      </c>
      <c r="AR620" s="5" t="n">
        <v>57.82</v>
      </c>
      <c r="AS620" s="5" t="n">
        <v>58.72</v>
      </c>
      <c r="AT620" s="5" t="n">
        <v>59.62</v>
      </c>
      <c r="AU620" s="5" t="n">
        <v>60.52</v>
      </c>
      <c r="AV620" s="5" t="s">
        <v>51</v>
      </c>
    </row>
    <row r="621" customFormat="false" ht="15" hidden="false" customHeight="false" outlineLevel="0" collapsed="false">
      <c r="A621" s="2" t="s">
        <v>159</v>
      </c>
      <c r="B621" s="2" t="n">
        <v>2004</v>
      </c>
      <c r="C621" s="2" t="s">
        <v>52</v>
      </c>
      <c r="D621" s="2" t="n">
        <v>0</v>
      </c>
      <c r="E621" s="2" t="n">
        <v>32</v>
      </c>
      <c r="F621" s="2" t="s">
        <v>50</v>
      </c>
      <c r="G621" s="3" t="n">
        <v>0</v>
      </c>
      <c r="H621" s="3" t="n">
        <v>0</v>
      </c>
      <c r="I621" s="3" t="n">
        <v>0</v>
      </c>
      <c r="J621" s="3" t="n">
        <v>1</v>
      </c>
      <c r="K621" s="3" t="n">
        <v>1</v>
      </c>
      <c r="L621" s="3" t="n">
        <v>0</v>
      </c>
      <c r="M621" s="3" t="n">
        <v>1</v>
      </c>
      <c r="N621" s="3" t="n">
        <v>1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1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1</v>
      </c>
      <c r="AF621" s="3" t="n">
        <v>0</v>
      </c>
      <c r="AG621" s="3" t="n">
        <v>0</v>
      </c>
      <c r="AH621" s="3" t="n">
        <v>0</v>
      </c>
      <c r="AI621" s="3" t="n">
        <v>1</v>
      </c>
      <c r="AJ621" s="4" t="n">
        <f aca="false">SUM(G621:AI621)</f>
        <v>7</v>
      </c>
      <c r="AK621" s="4" t="n">
        <f aca="false">ROUND(SUMPRODUCT(G621:AI621,Gene_Weights!$B$2:$AD$2),3)</f>
        <v>-6.31</v>
      </c>
      <c r="AL621" s="2" t="n">
        <v>5</v>
      </c>
      <c r="AM621" s="2" t="n">
        <v>1</v>
      </c>
      <c r="AN621" s="2" t="n">
        <v>20</v>
      </c>
      <c r="AO621" s="5" t="n">
        <v>64.53</v>
      </c>
      <c r="AP621" s="5" t="n">
        <v>66.13</v>
      </c>
      <c r="AQ621" s="5" t="n">
        <v>67.73</v>
      </c>
      <c r="AR621" s="5" t="n">
        <v>69.33</v>
      </c>
      <c r="AS621" s="5" t="n">
        <v>70.93</v>
      </c>
      <c r="AT621" s="5" t="n">
        <v>72.53</v>
      </c>
      <c r="AU621" s="5" t="n">
        <v>74.13</v>
      </c>
      <c r="AV621" s="5" t="s">
        <v>51</v>
      </c>
    </row>
    <row r="622" customFormat="false" ht="15" hidden="false" customHeight="false" outlineLevel="0" collapsed="false">
      <c r="A622" s="2" t="s">
        <v>159</v>
      </c>
      <c r="B622" s="2" t="n">
        <v>2004</v>
      </c>
      <c r="C622" s="2" t="s">
        <v>53</v>
      </c>
      <c r="D622" s="2" t="n">
        <v>0</v>
      </c>
      <c r="E622" s="2" t="n">
        <v>4</v>
      </c>
      <c r="F622" s="2" t="s">
        <v>50</v>
      </c>
      <c r="G622" s="3" t="n">
        <v>0</v>
      </c>
      <c r="H622" s="3" t="n">
        <v>0</v>
      </c>
      <c r="I622" s="3" t="n">
        <v>0</v>
      </c>
      <c r="J622" s="3" t="n">
        <v>1</v>
      </c>
      <c r="K622" s="3" t="n">
        <v>1</v>
      </c>
      <c r="L622" s="3" t="n">
        <v>0</v>
      </c>
      <c r="M622" s="3" t="n">
        <v>1</v>
      </c>
      <c r="N622" s="3" t="n">
        <v>1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1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1</v>
      </c>
      <c r="AF622" s="3" t="n">
        <v>0</v>
      </c>
      <c r="AG622" s="3" t="n">
        <v>0</v>
      </c>
      <c r="AH622" s="3" t="n">
        <v>0</v>
      </c>
      <c r="AI622" s="3" t="n">
        <v>1</v>
      </c>
      <c r="AJ622" s="4" t="n">
        <f aca="false">SUM(G622:AI622)</f>
        <v>7</v>
      </c>
      <c r="AK622" s="4" t="n">
        <f aca="false">ROUND(SUMPRODUCT(G622:AI622,Gene_Weights!$B$2:$AD$2),3)</f>
        <v>-6.31</v>
      </c>
      <c r="AL622" s="2" t="n">
        <v>5</v>
      </c>
      <c r="AM622" s="2" t="n">
        <v>1</v>
      </c>
      <c r="AN622" s="2" t="n">
        <v>20</v>
      </c>
      <c r="AO622" s="5" t="n">
        <v>52.86</v>
      </c>
      <c r="AP622" s="5" t="n">
        <v>53.65</v>
      </c>
      <c r="AQ622" s="5" t="n">
        <v>54.45</v>
      </c>
      <c r="AR622" s="5" t="n">
        <v>55.24</v>
      </c>
      <c r="AS622" s="5" t="n">
        <v>56.03</v>
      </c>
      <c r="AT622" s="5" t="n">
        <v>56.83</v>
      </c>
      <c r="AU622" s="5" t="n">
        <v>57.62</v>
      </c>
      <c r="AV622" s="5" t="s">
        <v>51</v>
      </c>
    </row>
    <row r="623" customFormat="false" ht="15" hidden="false" customHeight="false" outlineLevel="0" collapsed="false">
      <c r="A623" s="2" t="s">
        <v>159</v>
      </c>
      <c r="B623" s="2" t="n">
        <v>2004</v>
      </c>
      <c r="C623" s="2" t="s">
        <v>54</v>
      </c>
      <c r="D623" s="2" t="n">
        <v>0</v>
      </c>
      <c r="E623" s="2" t="n">
        <v>16</v>
      </c>
      <c r="F623" s="2" t="s">
        <v>50</v>
      </c>
      <c r="G623" s="3" t="n">
        <v>0</v>
      </c>
      <c r="H623" s="3" t="n">
        <v>0</v>
      </c>
      <c r="I623" s="3" t="n">
        <v>0</v>
      </c>
      <c r="J623" s="3" t="n">
        <v>1</v>
      </c>
      <c r="K623" s="3" t="n">
        <v>1</v>
      </c>
      <c r="L623" s="3" t="n">
        <v>0</v>
      </c>
      <c r="M623" s="3" t="n">
        <v>1</v>
      </c>
      <c r="N623" s="3" t="n">
        <v>1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1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1</v>
      </c>
      <c r="AF623" s="3" t="n">
        <v>0</v>
      </c>
      <c r="AG623" s="3" t="n">
        <v>0</v>
      </c>
      <c r="AH623" s="3" t="n">
        <v>0</v>
      </c>
      <c r="AI623" s="3" t="n">
        <v>1</v>
      </c>
      <c r="AJ623" s="4" t="n">
        <f aca="false">SUM(G623:AI623)</f>
        <v>7</v>
      </c>
      <c r="AK623" s="4" t="n">
        <f aca="false">ROUND(SUMPRODUCT(G623:AI623,Gene_Weights!$B$2:$AD$2),3)</f>
        <v>-6.31</v>
      </c>
      <c r="AL623" s="2" t="n">
        <v>5</v>
      </c>
      <c r="AM623" s="2" t="n">
        <v>1</v>
      </c>
      <c r="AN623" s="2" t="n">
        <v>20</v>
      </c>
      <c r="AO623" s="5" t="n">
        <v>81.84</v>
      </c>
      <c r="AP623" s="5" t="n">
        <v>84.45</v>
      </c>
      <c r="AQ623" s="5" t="n">
        <v>87.06</v>
      </c>
      <c r="AR623" s="5" t="n">
        <v>89.67</v>
      </c>
      <c r="AS623" s="5" t="n">
        <v>92.27</v>
      </c>
      <c r="AT623" s="5" t="n">
        <v>94.88</v>
      </c>
      <c r="AU623" s="5" t="n">
        <v>97.49</v>
      </c>
      <c r="AV623" s="5" t="s">
        <v>51</v>
      </c>
    </row>
    <row r="624" customFormat="false" ht="15" hidden="false" customHeight="false" outlineLevel="0" collapsed="false">
      <c r="A624" s="2" t="s">
        <v>159</v>
      </c>
      <c r="B624" s="2" t="n">
        <v>2004</v>
      </c>
      <c r="C624" s="2" t="s">
        <v>55</v>
      </c>
      <c r="D624" s="2" t="n">
        <v>0</v>
      </c>
      <c r="E624" s="2" t="n">
        <v>16</v>
      </c>
      <c r="F624" s="2" t="s">
        <v>50</v>
      </c>
      <c r="G624" s="3" t="n">
        <v>0</v>
      </c>
      <c r="H624" s="3" t="n">
        <v>0</v>
      </c>
      <c r="I624" s="3" t="n">
        <v>0</v>
      </c>
      <c r="J624" s="3" t="n">
        <v>1</v>
      </c>
      <c r="K624" s="3" t="n">
        <v>1</v>
      </c>
      <c r="L624" s="3" t="n">
        <v>0</v>
      </c>
      <c r="M624" s="3" t="n">
        <v>1</v>
      </c>
      <c r="N624" s="3" t="n">
        <v>1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1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1</v>
      </c>
      <c r="AF624" s="3" t="n">
        <v>0</v>
      </c>
      <c r="AG624" s="3" t="n">
        <v>0</v>
      </c>
      <c r="AH624" s="3" t="n">
        <v>0</v>
      </c>
      <c r="AI624" s="3" t="n">
        <v>1</v>
      </c>
      <c r="AJ624" s="4" t="n">
        <f aca="false">SUM(G624:AI624)</f>
        <v>7</v>
      </c>
      <c r="AK624" s="4" t="n">
        <f aca="false">ROUND(SUMPRODUCT(G624:AI624,Gene_Weights!$B$2:$AD$2),3)</f>
        <v>-6.31</v>
      </c>
      <c r="AL624" s="2" t="n">
        <v>5</v>
      </c>
      <c r="AM624" s="2" t="n">
        <v>3</v>
      </c>
      <c r="AN624" s="2" t="n">
        <v>60</v>
      </c>
      <c r="AO624" s="5" t="n">
        <v>58.19</v>
      </c>
      <c r="AP624" s="5" t="n">
        <v>59.74</v>
      </c>
      <c r="AQ624" s="5" t="n">
        <v>61.3</v>
      </c>
      <c r="AR624" s="5" t="n">
        <v>62.86</v>
      </c>
      <c r="AS624" s="5" t="n">
        <v>64.42</v>
      </c>
      <c r="AT624" s="5" t="n">
        <v>65.98</v>
      </c>
      <c r="AU624" s="5" t="n">
        <v>67.53</v>
      </c>
      <c r="AV624" s="5" t="s">
        <v>51</v>
      </c>
    </row>
    <row r="625" customFormat="false" ht="15" hidden="false" customHeight="false" outlineLevel="0" collapsed="false">
      <c r="A625" s="2" t="s">
        <v>159</v>
      </c>
      <c r="B625" s="2" t="n">
        <v>2004</v>
      </c>
      <c r="C625" s="2" t="s">
        <v>56</v>
      </c>
      <c r="D625" s="2" t="n">
        <v>0</v>
      </c>
      <c r="E625" s="2" t="n">
        <v>2</v>
      </c>
      <c r="F625" s="2" t="s">
        <v>50</v>
      </c>
      <c r="G625" s="3" t="n">
        <v>0</v>
      </c>
      <c r="H625" s="3" t="n">
        <v>0</v>
      </c>
      <c r="I625" s="3" t="n">
        <v>0</v>
      </c>
      <c r="J625" s="3" t="n">
        <v>1</v>
      </c>
      <c r="K625" s="3" t="n">
        <v>1</v>
      </c>
      <c r="L625" s="3" t="n">
        <v>0</v>
      </c>
      <c r="M625" s="3" t="n">
        <v>1</v>
      </c>
      <c r="N625" s="3" t="n">
        <v>1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1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1</v>
      </c>
      <c r="AF625" s="3" t="n">
        <v>0</v>
      </c>
      <c r="AG625" s="3" t="n">
        <v>0</v>
      </c>
      <c r="AH625" s="3" t="n">
        <v>0</v>
      </c>
      <c r="AI625" s="3" t="n">
        <v>1</v>
      </c>
      <c r="AJ625" s="4" t="n">
        <f aca="false">SUM(G625:AI625)</f>
        <v>7</v>
      </c>
      <c r="AK625" s="4" t="n">
        <f aca="false">ROUND(SUMPRODUCT(G625:AI625,Gene_Weights!$B$2:$AD$2),3)</f>
        <v>-6.31</v>
      </c>
      <c r="AL625" s="2" t="n">
        <v>5</v>
      </c>
      <c r="AM625" s="2" t="n">
        <v>1</v>
      </c>
      <c r="AN625" s="2" t="n">
        <v>20</v>
      </c>
      <c r="AO625" s="5" t="n">
        <v>75.59</v>
      </c>
      <c r="AP625" s="5" t="n">
        <v>78.01</v>
      </c>
      <c r="AQ625" s="5" t="n">
        <v>80.42</v>
      </c>
      <c r="AR625" s="5" t="n">
        <v>82.83</v>
      </c>
      <c r="AS625" s="5" t="n">
        <v>85.24</v>
      </c>
      <c r="AT625" s="5" t="n">
        <v>87.66</v>
      </c>
      <c r="AU625" s="5" t="n">
        <v>90.07</v>
      </c>
      <c r="AV625" s="5" t="s">
        <v>51</v>
      </c>
    </row>
    <row r="626" customFormat="false" ht="15" hidden="false" customHeight="false" outlineLevel="0" collapsed="false">
      <c r="A626" s="2" t="s">
        <v>160</v>
      </c>
      <c r="B626" s="2" t="n">
        <v>2014</v>
      </c>
      <c r="C626" s="2" t="s">
        <v>49</v>
      </c>
      <c r="D626" s="2" t="n">
        <v>0</v>
      </c>
      <c r="E626" s="2" t="n">
        <v>16</v>
      </c>
      <c r="F626" s="2" t="s">
        <v>50</v>
      </c>
      <c r="G626" s="3" t="n">
        <v>1</v>
      </c>
      <c r="H626" s="3" t="n">
        <v>0</v>
      </c>
      <c r="I626" s="3" t="n">
        <v>0</v>
      </c>
      <c r="J626" s="3" t="n">
        <v>1</v>
      </c>
      <c r="K626" s="3" t="n">
        <v>0</v>
      </c>
      <c r="L626" s="3" t="n">
        <v>0</v>
      </c>
      <c r="M626" s="3" t="n">
        <v>1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1</v>
      </c>
      <c r="U626" s="3" t="n">
        <v>1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1</v>
      </c>
      <c r="AC626" s="3" t="n">
        <v>0</v>
      </c>
      <c r="AD626" s="3" t="n">
        <v>0</v>
      </c>
      <c r="AE626" s="3" t="n">
        <v>0</v>
      </c>
      <c r="AF626" s="3" t="n">
        <v>1</v>
      </c>
      <c r="AG626" s="3" t="n">
        <v>0</v>
      </c>
      <c r="AH626" s="3" t="n">
        <v>0</v>
      </c>
      <c r="AI626" s="3" t="n">
        <v>0</v>
      </c>
      <c r="AJ626" s="4" t="n">
        <f aca="false">SUM(G626:AI626)</f>
        <v>7</v>
      </c>
      <c r="AK626" s="4" t="n">
        <f aca="false">ROUND(SUMPRODUCT(G626:AI626,Gene_Weights!$B$2:$AD$2),3)</f>
        <v>-5.41</v>
      </c>
      <c r="AL626" s="2" t="n">
        <v>8</v>
      </c>
      <c r="AM626" s="2" t="n">
        <v>3</v>
      </c>
      <c r="AN626" s="2" t="n">
        <v>37.5</v>
      </c>
      <c r="AO626" s="5" t="n">
        <v>55.12</v>
      </c>
      <c r="AP626" s="5" t="n">
        <v>56.02</v>
      </c>
      <c r="AQ626" s="5" t="n">
        <v>56.92</v>
      </c>
      <c r="AR626" s="5" t="n">
        <v>57.82</v>
      </c>
      <c r="AS626" s="5" t="n">
        <v>58.72</v>
      </c>
      <c r="AT626" s="5" t="n">
        <v>59.62</v>
      </c>
      <c r="AU626" s="5" t="n">
        <v>60.52</v>
      </c>
      <c r="AV626" s="5" t="s">
        <v>51</v>
      </c>
    </row>
    <row r="627" customFormat="false" ht="15" hidden="false" customHeight="false" outlineLevel="0" collapsed="false">
      <c r="A627" s="2" t="s">
        <v>160</v>
      </c>
      <c r="B627" s="2" t="n">
        <v>2014</v>
      </c>
      <c r="C627" s="2" t="s">
        <v>52</v>
      </c>
      <c r="D627" s="2" t="n">
        <v>0</v>
      </c>
      <c r="E627" s="2" t="n">
        <v>32</v>
      </c>
      <c r="F627" s="2" t="s">
        <v>50</v>
      </c>
      <c r="G627" s="3" t="n">
        <v>1</v>
      </c>
      <c r="H627" s="3" t="n">
        <v>0</v>
      </c>
      <c r="I627" s="3" t="n">
        <v>0</v>
      </c>
      <c r="J627" s="3" t="n">
        <v>1</v>
      </c>
      <c r="K627" s="3" t="n">
        <v>0</v>
      </c>
      <c r="L627" s="3" t="n">
        <v>0</v>
      </c>
      <c r="M627" s="3" t="n">
        <v>1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1</v>
      </c>
      <c r="U627" s="3" t="n">
        <v>1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1</v>
      </c>
      <c r="AC627" s="3" t="n">
        <v>0</v>
      </c>
      <c r="AD627" s="3" t="n">
        <v>0</v>
      </c>
      <c r="AE627" s="3" t="n">
        <v>0</v>
      </c>
      <c r="AF627" s="3" t="n">
        <v>1</v>
      </c>
      <c r="AG627" s="3" t="n">
        <v>0</v>
      </c>
      <c r="AH627" s="3" t="n">
        <v>0</v>
      </c>
      <c r="AI627" s="3" t="n">
        <v>0</v>
      </c>
      <c r="AJ627" s="4" t="n">
        <f aca="false">SUM(G627:AI627)</f>
        <v>7</v>
      </c>
      <c r="AK627" s="4" t="n">
        <f aca="false">ROUND(SUMPRODUCT(G627:AI627,Gene_Weights!$B$2:$AD$2),3)</f>
        <v>-5.41</v>
      </c>
      <c r="AL627" s="2" t="n">
        <v>8</v>
      </c>
      <c r="AM627" s="2" t="n">
        <v>4</v>
      </c>
      <c r="AN627" s="2" t="n">
        <v>50</v>
      </c>
      <c r="AO627" s="5" t="n">
        <v>64.53</v>
      </c>
      <c r="AP627" s="5" t="n">
        <v>66.13</v>
      </c>
      <c r="AQ627" s="5" t="n">
        <v>67.73</v>
      </c>
      <c r="AR627" s="5" t="n">
        <v>69.33</v>
      </c>
      <c r="AS627" s="5" t="n">
        <v>70.93</v>
      </c>
      <c r="AT627" s="5" t="n">
        <v>72.53</v>
      </c>
      <c r="AU627" s="5" t="n">
        <v>74.13</v>
      </c>
      <c r="AV627" s="5" t="s">
        <v>51</v>
      </c>
    </row>
    <row r="628" customFormat="false" ht="15" hidden="false" customHeight="false" outlineLevel="0" collapsed="false">
      <c r="A628" s="2" t="s">
        <v>160</v>
      </c>
      <c r="B628" s="2" t="n">
        <v>2014</v>
      </c>
      <c r="C628" s="2" t="s">
        <v>53</v>
      </c>
      <c r="D628" s="2" t="n">
        <v>0</v>
      </c>
      <c r="E628" s="2" t="n">
        <v>32</v>
      </c>
      <c r="F628" s="2" t="s">
        <v>50</v>
      </c>
      <c r="G628" s="3" t="n">
        <v>1</v>
      </c>
      <c r="H628" s="3" t="n">
        <v>0</v>
      </c>
      <c r="I628" s="3" t="n">
        <v>0</v>
      </c>
      <c r="J628" s="3" t="n">
        <v>1</v>
      </c>
      <c r="K628" s="3" t="n">
        <v>0</v>
      </c>
      <c r="L628" s="3" t="n">
        <v>0</v>
      </c>
      <c r="M628" s="3" t="n">
        <v>1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1</v>
      </c>
      <c r="U628" s="3" t="n">
        <v>1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1</v>
      </c>
      <c r="AC628" s="3" t="n">
        <v>0</v>
      </c>
      <c r="AD628" s="3" t="n">
        <v>0</v>
      </c>
      <c r="AE628" s="3" t="n">
        <v>0</v>
      </c>
      <c r="AF628" s="3" t="n">
        <v>1</v>
      </c>
      <c r="AG628" s="3" t="n">
        <v>0</v>
      </c>
      <c r="AH628" s="3" t="n">
        <v>0</v>
      </c>
      <c r="AI628" s="3" t="n">
        <v>0</v>
      </c>
      <c r="AJ628" s="4" t="n">
        <f aca="false">SUM(G628:AI628)</f>
        <v>7</v>
      </c>
      <c r="AK628" s="4" t="n">
        <f aca="false">ROUND(SUMPRODUCT(G628:AI628,Gene_Weights!$B$2:$AD$2),3)</f>
        <v>-5.41</v>
      </c>
      <c r="AL628" s="2" t="n">
        <v>8</v>
      </c>
      <c r="AM628" s="2" t="n">
        <v>2</v>
      </c>
      <c r="AN628" s="2" t="n">
        <v>25</v>
      </c>
      <c r="AO628" s="5" t="n">
        <v>52.86</v>
      </c>
      <c r="AP628" s="5" t="n">
        <v>53.65</v>
      </c>
      <c r="AQ628" s="5" t="n">
        <v>54.45</v>
      </c>
      <c r="AR628" s="5" t="n">
        <v>55.24</v>
      </c>
      <c r="AS628" s="5" t="n">
        <v>56.03</v>
      </c>
      <c r="AT628" s="5" t="n">
        <v>56.83</v>
      </c>
      <c r="AU628" s="5" t="n">
        <v>57.62</v>
      </c>
      <c r="AV628" s="5" t="s">
        <v>51</v>
      </c>
    </row>
    <row r="629" customFormat="false" ht="15" hidden="false" customHeight="false" outlineLevel="0" collapsed="false">
      <c r="A629" s="2" t="s">
        <v>160</v>
      </c>
      <c r="B629" s="2" t="n">
        <v>2014</v>
      </c>
      <c r="C629" s="2" t="s">
        <v>54</v>
      </c>
      <c r="D629" s="2" t="n">
        <v>0</v>
      </c>
      <c r="E629" s="2" t="n">
        <v>16</v>
      </c>
      <c r="F629" s="2" t="s">
        <v>50</v>
      </c>
      <c r="G629" s="3" t="n">
        <v>1</v>
      </c>
      <c r="H629" s="3" t="n">
        <v>0</v>
      </c>
      <c r="I629" s="3" t="n">
        <v>0</v>
      </c>
      <c r="J629" s="3" t="n">
        <v>1</v>
      </c>
      <c r="K629" s="3" t="n">
        <v>0</v>
      </c>
      <c r="L629" s="3" t="n">
        <v>0</v>
      </c>
      <c r="M629" s="3" t="n">
        <v>1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1</v>
      </c>
      <c r="U629" s="3" t="n">
        <v>1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1</v>
      </c>
      <c r="AC629" s="3" t="n">
        <v>0</v>
      </c>
      <c r="AD629" s="3" t="n">
        <v>0</v>
      </c>
      <c r="AE629" s="3" t="n">
        <v>0</v>
      </c>
      <c r="AF629" s="3" t="n">
        <v>1</v>
      </c>
      <c r="AG629" s="3" t="n">
        <v>0</v>
      </c>
      <c r="AH629" s="3" t="n">
        <v>0</v>
      </c>
      <c r="AI629" s="3" t="n">
        <v>0</v>
      </c>
      <c r="AJ629" s="4" t="n">
        <f aca="false">SUM(G629:AI629)</f>
        <v>7</v>
      </c>
      <c r="AK629" s="4" t="n">
        <f aca="false">ROUND(SUMPRODUCT(G629:AI629,Gene_Weights!$B$2:$AD$2),3)</f>
        <v>-5.41</v>
      </c>
      <c r="AL629" s="2" t="n">
        <v>8</v>
      </c>
      <c r="AM629" s="2" t="n">
        <v>5</v>
      </c>
      <c r="AN629" s="2" t="n">
        <v>62.5</v>
      </c>
      <c r="AO629" s="5" t="n">
        <v>81.84</v>
      </c>
      <c r="AP629" s="5" t="n">
        <v>84.45</v>
      </c>
      <c r="AQ629" s="5" t="n">
        <v>87.06</v>
      </c>
      <c r="AR629" s="5" t="n">
        <v>89.67</v>
      </c>
      <c r="AS629" s="5" t="n">
        <v>92.27</v>
      </c>
      <c r="AT629" s="5" t="n">
        <v>94.88</v>
      </c>
      <c r="AU629" s="5" t="n">
        <v>97.49</v>
      </c>
      <c r="AV629" s="5" t="s">
        <v>51</v>
      </c>
    </row>
    <row r="630" customFormat="false" ht="15" hidden="false" customHeight="false" outlineLevel="0" collapsed="false">
      <c r="A630" s="2" t="s">
        <v>160</v>
      </c>
      <c r="B630" s="2" t="n">
        <v>2014</v>
      </c>
      <c r="C630" s="2" t="s">
        <v>55</v>
      </c>
      <c r="D630" s="2" t="n">
        <v>0</v>
      </c>
      <c r="E630" s="2" t="n">
        <v>16</v>
      </c>
      <c r="F630" s="2" t="s">
        <v>50</v>
      </c>
      <c r="G630" s="3" t="n">
        <v>1</v>
      </c>
      <c r="H630" s="3" t="n">
        <v>0</v>
      </c>
      <c r="I630" s="3" t="n">
        <v>0</v>
      </c>
      <c r="J630" s="3" t="n">
        <v>1</v>
      </c>
      <c r="K630" s="3" t="n">
        <v>0</v>
      </c>
      <c r="L630" s="3" t="n">
        <v>0</v>
      </c>
      <c r="M630" s="3" t="n">
        <v>1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1</v>
      </c>
      <c r="U630" s="3" t="n">
        <v>1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1</v>
      </c>
      <c r="AC630" s="3" t="n">
        <v>0</v>
      </c>
      <c r="AD630" s="3" t="n">
        <v>0</v>
      </c>
      <c r="AE630" s="3" t="n">
        <v>0</v>
      </c>
      <c r="AF630" s="3" t="n">
        <v>1</v>
      </c>
      <c r="AG630" s="3" t="n">
        <v>0</v>
      </c>
      <c r="AH630" s="3" t="n">
        <v>0</v>
      </c>
      <c r="AI630" s="3" t="n">
        <v>0</v>
      </c>
      <c r="AJ630" s="4" t="n">
        <f aca="false">SUM(G630:AI630)</f>
        <v>7</v>
      </c>
      <c r="AK630" s="4" t="n">
        <f aca="false">ROUND(SUMPRODUCT(G630:AI630,Gene_Weights!$B$2:$AD$2),3)</f>
        <v>-5.41</v>
      </c>
      <c r="AL630" s="2" t="n">
        <v>8</v>
      </c>
      <c r="AM630" s="2" t="n">
        <v>3</v>
      </c>
      <c r="AN630" s="2" t="n">
        <v>37.5</v>
      </c>
      <c r="AO630" s="5" t="n">
        <v>58.19</v>
      </c>
      <c r="AP630" s="5" t="n">
        <v>59.74</v>
      </c>
      <c r="AQ630" s="5" t="n">
        <v>61.3</v>
      </c>
      <c r="AR630" s="5" t="n">
        <v>62.86</v>
      </c>
      <c r="AS630" s="5" t="n">
        <v>64.42</v>
      </c>
      <c r="AT630" s="5" t="n">
        <v>65.98</v>
      </c>
      <c r="AU630" s="5" t="n">
        <v>67.53</v>
      </c>
      <c r="AV630" s="5" t="s">
        <v>51</v>
      </c>
    </row>
    <row r="631" customFormat="false" ht="15" hidden="false" customHeight="false" outlineLevel="0" collapsed="false">
      <c r="A631" s="2" t="s">
        <v>160</v>
      </c>
      <c r="B631" s="2" t="n">
        <v>2014</v>
      </c>
      <c r="C631" s="2" t="s">
        <v>56</v>
      </c>
      <c r="D631" s="2" t="n">
        <v>0</v>
      </c>
      <c r="E631" s="2" t="n">
        <v>32</v>
      </c>
      <c r="F631" s="2" t="s">
        <v>50</v>
      </c>
      <c r="G631" s="3" t="n">
        <v>1</v>
      </c>
      <c r="H631" s="3" t="n">
        <v>0</v>
      </c>
      <c r="I631" s="3" t="n">
        <v>0</v>
      </c>
      <c r="J631" s="3" t="n">
        <v>1</v>
      </c>
      <c r="K631" s="3" t="n">
        <v>0</v>
      </c>
      <c r="L631" s="3" t="n">
        <v>0</v>
      </c>
      <c r="M631" s="3" t="n">
        <v>1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1</v>
      </c>
      <c r="U631" s="3" t="n">
        <v>1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1</v>
      </c>
      <c r="AC631" s="3" t="n">
        <v>0</v>
      </c>
      <c r="AD631" s="3" t="n">
        <v>0</v>
      </c>
      <c r="AE631" s="3" t="n">
        <v>0</v>
      </c>
      <c r="AF631" s="3" t="n">
        <v>1</v>
      </c>
      <c r="AG631" s="3" t="n">
        <v>0</v>
      </c>
      <c r="AH631" s="3" t="n">
        <v>0</v>
      </c>
      <c r="AI631" s="3" t="n">
        <v>0</v>
      </c>
      <c r="AJ631" s="4" t="n">
        <f aca="false">SUM(G631:AI631)</f>
        <v>7</v>
      </c>
      <c r="AK631" s="4" t="n">
        <f aca="false">ROUND(SUMPRODUCT(G631:AI631,Gene_Weights!$B$2:$AD$2),3)</f>
        <v>-5.41</v>
      </c>
      <c r="AL631" s="2" t="n">
        <v>8</v>
      </c>
      <c r="AM631" s="2" t="n">
        <v>3</v>
      </c>
      <c r="AN631" s="2" t="n">
        <v>37.5</v>
      </c>
      <c r="AO631" s="5" t="n">
        <v>75.59</v>
      </c>
      <c r="AP631" s="5" t="n">
        <v>78.01</v>
      </c>
      <c r="AQ631" s="5" t="n">
        <v>80.42</v>
      </c>
      <c r="AR631" s="5" t="n">
        <v>82.83</v>
      </c>
      <c r="AS631" s="5" t="n">
        <v>85.24</v>
      </c>
      <c r="AT631" s="5" t="n">
        <v>87.66</v>
      </c>
      <c r="AU631" s="5" t="n">
        <v>90.07</v>
      </c>
      <c r="AV631" s="5" t="s">
        <v>51</v>
      </c>
    </row>
    <row r="632" customFormat="false" ht="15" hidden="false" customHeight="false" outlineLevel="0" collapsed="false">
      <c r="A632" s="2" t="s">
        <v>161</v>
      </c>
      <c r="B632" s="2" t="n">
        <v>2003</v>
      </c>
      <c r="C632" s="2" t="s">
        <v>49</v>
      </c>
      <c r="D632" s="2" t="n">
        <v>0</v>
      </c>
      <c r="E632" s="2" t="n">
        <v>4</v>
      </c>
      <c r="F632" s="2" t="s">
        <v>50</v>
      </c>
      <c r="G632" s="3" t="n">
        <v>0</v>
      </c>
      <c r="H632" s="3" t="n">
        <v>0</v>
      </c>
      <c r="I632" s="3" t="n">
        <v>1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1</v>
      </c>
      <c r="AB632" s="3" t="n">
        <v>1</v>
      </c>
      <c r="AC632" s="3" t="n">
        <v>0</v>
      </c>
      <c r="AD632" s="3" t="n">
        <v>0</v>
      </c>
      <c r="AE632" s="3" t="n">
        <v>0</v>
      </c>
      <c r="AF632" s="3" t="n">
        <v>1</v>
      </c>
      <c r="AG632" s="3" t="n">
        <v>1</v>
      </c>
      <c r="AH632" s="3" t="n">
        <v>0</v>
      </c>
      <c r="AI632" s="3" t="n">
        <v>0</v>
      </c>
      <c r="AJ632" s="4" t="n">
        <f aca="false">SUM(G632:AI632)</f>
        <v>6</v>
      </c>
      <c r="AK632" s="4" t="n">
        <f aca="false">ROUND(SUMPRODUCT(G632:AI632,Gene_Weights!$B$2:$AD$2),3)</f>
        <v>-1.95</v>
      </c>
      <c r="AL632" s="2" t="n">
        <v>7</v>
      </c>
      <c r="AM632" s="2" t="n">
        <v>2</v>
      </c>
      <c r="AN632" s="2" t="n">
        <v>28.57</v>
      </c>
      <c r="AO632" s="5" t="n">
        <v>55.12</v>
      </c>
      <c r="AP632" s="5" t="n">
        <v>56.02</v>
      </c>
      <c r="AQ632" s="5" t="n">
        <v>56.92</v>
      </c>
      <c r="AR632" s="5" t="n">
        <v>57.82</v>
      </c>
      <c r="AS632" s="5" t="n">
        <v>58.72</v>
      </c>
      <c r="AT632" s="5" t="n">
        <v>59.62</v>
      </c>
      <c r="AU632" s="5" t="n">
        <v>60.52</v>
      </c>
      <c r="AV632" s="5" t="s">
        <v>51</v>
      </c>
    </row>
    <row r="633" customFormat="false" ht="15" hidden="false" customHeight="false" outlineLevel="0" collapsed="false">
      <c r="A633" s="2" t="s">
        <v>161</v>
      </c>
      <c r="B633" s="2" t="n">
        <v>2003</v>
      </c>
      <c r="C633" s="2" t="s">
        <v>52</v>
      </c>
      <c r="D633" s="2" t="n">
        <v>0</v>
      </c>
      <c r="E633" s="2" t="n">
        <v>16</v>
      </c>
      <c r="F633" s="2" t="s">
        <v>50</v>
      </c>
      <c r="G633" s="3" t="n">
        <v>0</v>
      </c>
      <c r="H633" s="3" t="n">
        <v>0</v>
      </c>
      <c r="I633" s="3" t="n">
        <v>1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1</v>
      </c>
      <c r="AB633" s="3" t="n">
        <v>1</v>
      </c>
      <c r="AC633" s="3" t="n">
        <v>0</v>
      </c>
      <c r="AD633" s="3" t="n">
        <v>0</v>
      </c>
      <c r="AE633" s="3" t="n">
        <v>0</v>
      </c>
      <c r="AF633" s="3" t="n">
        <v>1</v>
      </c>
      <c r="AG633" s="3" t="n">
        <v>1</v>
      </c>
      <c r="AH633" s="3" t="n">
        <v>0</v>
      </c>
      <c r="AI633" s="3" t="n">
        <v>0</v>
      </c>
      <c r="AJ633" s="4" t="n">
        <f aca="false">SUM(G633:AI633)</f>
        <v>6</v>
      </c>
      <c r="AK633" s="4" t="n">
        <f aca="false">ROUND(SUMPRODUCT(G633:AI633,Gene_Weights!$B$2:$AD$2),3)</f>
        <v>-1.95</v>
      </c>
      <c r="AL633" s="2" t="n">
        <v>7</v>
      </c>
      <c r="AM633" s="2" t="n">
        <v>2</v>
      </c>
      <c r="AN633" s="2" t="n">
        <v>28.57</v>
      </c>
      <c r="AO633" s="5" t="n">
        <v>64.53</v>
      </c>
      <c r="AP633" s="5" t="n">
        <v>66.13</v>
      </c>
      <c r="AQ633" s="5" t="n">
        <v>67.73</v>
      </c>
      <c r="AR633" s="5" t="n">
        <v>69.33</v>
      </c>
      <c r="AS633" s="5" t="n">
        <v>70.93</v>
      </c>
      <c r="AT633" s="5" t="n">
        <v>72.53</v>
      </c>
      <c r="AU633" s="5" t="n">
        <v>74.13</v>
      </c>
      <c r="AV633" s="5" t="s">
        <v>51</v>
      </c>
    </row>
    <row r="634" customFormat="false" ht="15" hidden="false" customHeight="false" outlineLevel="0" collapsed="false">
      <c r="A634" s="2" t="s">
        <v>161</v>
      </c>
      <c r="B634" s="2" t="n">
        <v>2003</v>
      </c>
      <c r="C634" s="2" t="s">
        <v>53</v>
      </c>
      <c r="D634" s="2" t="n">
        <v>0</v>
      </c>
      <c r="E634" s="2" t="n">
        <v>2</v>
      </c>
      <c r="F634" s="2" t="s">
        <v>50</v>
      </c>
      <c r="G634" s="3" t="n">
        <v>0</v>
      </c>
      <c r="H634" s="3" t="n">
        <v>0</v>
      </c>
      <c r="I634" s="3" t="n">
        <v>1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1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1</v>
      </c>
      <c r="AB634" s="3" t="n">
        <v>1</v>
      </c>
      <c r="AC634" s="3" t="n">
        <v>0</v>
      </c>
      <c r="AD634" s="3" t="n">
        <v>0</v>
      </c>
      <c r="AE634" s="3" t="n">
        <v>0</v>
      </c>
      <c r="AF634" s="3" t="n">
        <v>1</v>
      </c>
      <c r="AG634" s="3" t="n">
        <v>1</v>
      </c>
      <c r="AH634" s="3" t="n">
        <v>0</v>
      </c>
      <c r="AI634" s="3" t="n">
        <v>0</v>
      </c>
      <c r="AJ634" s="4" t="n">
        <f aca="false">SUM(G634:AI634)</f>
        <v>6</v>
      </c>
      <c r="AK634" s="4" t="n">
        <f aca="false">ROUND(SUMPRODUCT(G634:AI634,Gene_Weights!$B$2:$AD$2),3)</f>
        <v>-1.95</v>
      </c>
      <c r="AL634" s="2" t="n">
        <v>7</v>
      </c>
      <c r="AM634" s="2" t="n">
        <v>3</v>
      </c>
      <c r="AN634" s="2" t="n">
        <v>42.86</v>
      </c>
      <c r="AO634" s="5" t="n">
        <v>52.86</v>
      </c>
      <c r="AP634" s="5" t="n">
        <v>53.65</v>
      </c>
      <c r="AQ634" s="5" t="n">
        <v>54.45</v>
      </c>
      <c r="AR634" s="5" t="n">
        <v>55.24</v>
      </c>
      <c r="AS634" s="5" t="n">
        <v>56.03</v>
      </c>
      <c r="AT634" s="5" t="n">
        <v>56.83</v>
      </c>
      <c r="AU634" s="5" t="n">
        <v>57.62</v>
      </c>
      <c r="AV634" s="5" t="s">
        <v>51</v>
      </c>
    </row>
    <row r="635" customFormat="false" ht="15" hidden="false" customHeight="false" outlineLevel="0" collapsed="false">
      <c r="A635" s="2" t="s">
        <v>161</v>
      </c>
      <c r="B635" s="2" t="n">
        <v>2003</v>
      </c>
      <c r="C635" s="2" t="s">
        <v>54</v>
      </c>
      <c r="D635" s="2" t="n">
        <v>0</v>
      </c>
      <c r="E635" s="2" t="n">
        <v>16</v>
      </c>
      <c r="F635" s="2" t="s">
        <v>50</v>
      </c>
      <c r="G635" s="3" t="n">
        <v>0</v>
      </c>
      <c r="H635" s="3" t="n">
        <v>0</v>
      </c>
      <c r="I635" s="3" t="n">
        <v>1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1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1</v>
      </c>
      <c r="AB635" s="3" t="n">
        <v>1</v>
      </c>
      <c r="AC635" s="3" t="n">
        <v>0</v>
      </c>
      <c r="AD635" s="3" t="n">
        <v>0</v>
      </c>
      <c r="AE635" s="3" t="n">
        <v>0</v>
      </c>
      <c r="AF635" s="3" t="n">
        <v>1</v>
      </c>
      <c r="AG635" s="3" t="n">
        <v>1</v>
      </c>
      <c r="AH635" s="3" t="n">
        <v>0</v>
      </c>
      <c r="AI635" s="3" t="n">
        <v>0</v>
      </c>
      <c r="AJ635" s="4" t="n">
        <f aca="false">SUM(G635:AI635)</f>
        <v>6</v>
      </c>
      <c r="AK635" s="4" t="n">
        <f aca="false">ROUND(SUMPRODUCT(G635:AI635,Gene_Weights!$B$2:$AD$2),3)</f>
        <v>-1.95</v>
      </c>
      <c r="AL635" s="2" t="n">
        <v>7</v>
      </c>
      <c r="AM635" s="2" t="n">
        <v>3</v>
      </c>
      <c r="AN635" s="2" t="n">
        <v>42.86</v>
      </c>
      <c r="AO635" s="5" t="n">
        <v>81.84</v>
      </c>
      <c r="AP635" s="5" t="n">
        <v>84.45</v>
      </c>
      <c r="AQ635" s="5" t="n">
        <v>87.06</v>
      </c>
      <c r="AR635" s="5" t="n">
        <v>89.67</v>
      </c>
      <c r="AS635" s="5" t="n">
        <v>92.27</v>
      </c>
      <c r="AT635" s="5" t="n">
        <v>94.88</v>
      </c>
      <c r="AU635" s="5" t="n">
        <v>97.49</v>
      </c>
      <c r="AV635" s="5" t="s">
        <v>51</v>
      </c>
    </row>
    <row r="636" customFormat="false" ht="15" hidden="false" customHeight="false" outlineLevel="0" collapsed="false">
      <c r="A636" s="2" t="s">
        <v>161</v>
      </c>
      <c r="B636" s="2" t="n">
        <v>2003</v>
      </c>
      <c r="C636" s="2" t="s">
        <v>55</v>
      </c>
      <c r="D636" s="2" t="n">
        <v>1</v>
      </c>
      <c r="E636" s="2" t="n">
        <v>32</v>
      </c>
      <c r="F636" s="2" t="s">
        <v>50</v>
      </c>
      <c r="G636" s="3" t="n">
        <v>0</v>
      </c>
      <c r="H636" s="3" t="n">
        <v>0</v>
      </c>
      <c r="I636" s="3" t="n">
        <v>1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1</v>
      </c>
      <c r="AB636" s="3" t="n">
        <v>1</v>
      </c>
      <c r="AC636" s="3" t="n">
        <v>0</v>
      </c>
      <c r="AD636" s="3" t="n">
        <v>0</v>
      </c>
      <c r="AE636" s="3" t="n">
        <v>0</v>
      </c>
      <c r="AF636" s="3" t="n">
        <v>1</v>
      </c>
      <c r="AG636" s="3" t="n">
        <v>1</v>
      </c>
      <c r="AH636" s="3" t="n">
        <v>0</v>
      </c>
      <c r="AI636" s="3" t="n">
        <v>0</v>
      </c>
      <c r="AJ636" s="4" t="n">
        <f aca="false">SUM(G636:AI636)</f>
        <v>6</v>
      </c>
      <c r="AK636" s="4" t="n">
        <f aca="false">ROUND(SUMPRODUCT(G636:AI636,Gene_Weights!$B$2:$AD$2),3)</f>
        <v>-1.95</v>
      </c>
      <c r="AL636" s="2" t="n">
        <v>7</v>
      </c>
      <c r="AM636" s="2" t="n">
        <v>1</v>
      </c>
      <c r="AN636" s="2" t="n">
        <v>14.29</v>
      </c>
      <c r="AO636" s="5" t="n">
        <v>58.19</v>
      </c>
      <c r="AP636" s="5" t="n">
        <v>59.74</v>
      </c>
      <c r="AQ636" s="5" t="n">
        <v>61.3</v>
      </c>
      <c r="AR636" s="5" t="n">
        <v>62.86</v>
      </c>
      <c r="AS636" s="5" t="n">
        <v>64.42</v>
      </c>
      <c r="AT636" s="5" t="n">
        <v>65.98</v>
      </c>
      <c r="AU636" s="5" t="n">
        <v>67.53</v>
      </c>
      <c r="AV636" s="5" t="s">
        <v>51</v>
      </c>
    </row>
    <row r="637" customFormat="false" ht="15" hidden="false" customHeight="false" outlineLevel="0" collapsed="false">
      <c r="A637" s="2" t="s">
        <v>161</v>
      </c>
      <c r="B637" s="2" t="n">
        <v>2003</v>
      </c>
      <c r="C637" s="2" t="s">
        <v>56</v>
      </c>
      <c r="D637" s="2" t="n">
        <v>0</v>
      </c>
      <c r="E637" s="2" t="n">
        <v>16</v>
      </c>
      <c r="F637" s="2" t="s">
        <v>50</v>
      </c>
      <c r="G637" s="3" t="n">
        <v>0</v>
      </c>
      <c r="H637" s="3" t="n">
        <v>0</v>
      </c>
      <c r="I637" s="3" t="n">
        <v>1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1</v>
      </c>
      <c r="AB637" s="3" t="n">
        <v>1</v>
      </c>
      <c r="AC637" s="3" t="n">
        <v>0</v>
      </c>
      <c r="AD637" s="3" t="n">
        <v>0</v>
      </c>
      <c r="AE637" s="3" t="n">
        <v>0</v>
      </c>
      <c r="AF637" s="3" t="n">
        <v>1</v>
      </c>
      <c r="AG637" s="3" t="n">
        <v>1</v>
      </c>
      <c r="AH637" s="3" t="n">
        <v>0</v>
      </c>
      <c r="AI637" s="3" t="n">
        <v>0</v>
      </c>
      <c r="AJ637" s="4" t="n">
        <f aca="false">SUM(G637:AI637)</f>
        <v>6</v>
      </c>
      <c r="AK637" s="4" t="n">
        <f aca="false">ROUND(SUMPRODUCT(G637:AI637,Gene_Weights!$B$2:$AD$2),3)</f>
        <v>-1.95</v>
      </c>
      <c r="AL637" s="2" t="n">
        <v>7</v>
      </c>
      <c r="AM637" s="2" t="n">
        <v>1</v>
      </c>
      <c r="AN637" s="2" t="n">
        <v>14.29</v>
      </c>
      <c r="AO637" s="5" t="n">
        <v>75.59</v>
      </c>
      <c r="AP637" s="5" t="n">
        <v>78.01</v>
      </c>
      <c r="AQ637" s="5" t="n">
        <v>80.42</v>
      </c>
      <c r="AR637" s="5" t="n">
        <v>82.83</v>
      </c>
      <c r="AS637" s="5" t="n">
        <v>85.24</v>
      </c>
      <c r="AT637" s="5" t="n">
        <v>87.66</v>
      </c>
      <c r="AU637" s="5" t="n">
        <v>90.07</v>
      </c>
      <c r="AV637" s="5" t="s">
        <v>51</v>
      </c>
    </row>
    <row r="638" customFormat="false" ht="15" hidden="false" customHeight="false" outlineLevel="0" collapsed="false">
      <c r="A638" s="2" t="s">
        <v>162</v>
      </c>
      <c r="B638" s="2" t="n">
        <v>2023</v>
      </c>
      <c r="C638" s="2" t="s">
        <v>49</v>
      </c>
      <c r="D638" s="2" t="n">
        <v>1</v>
      </c>
      <c r="E638" s="2" t="n">
        <v>4</v>
      </c>
      <c r="F638" s="2" t="s">
        <v>50</v>
      </c>
      <c r="G638" s="3" t="n">
        <v>0</v>
      </c>
      <c r="H638" s="3" t="n">
        <v>1</v>
      </c>
      <c r="I638" s="3" t="n">
        <v>1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1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1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1</v>
      </c>
      <c r="AF638" s="3" t="n">
        <v>1</v>
      </c>
      <c r="AG638" s="3" t="n">
        <v>1</v>
      </c>
      <c r="AH638" s="3" t="n">
        <v>0</v>
      </c>
      <c r="AI638" s="3" t="n">
        <v>1</v>
      </c>
      <c r="AJ638" s="4" t="n">
        <f aca="false">SUM(G638:AI638)</f>
        <v>8</v>
      </c>
      <c r="AK638" s="4" t="n">
        <f aca="false">ROUND(SUMPRODUCT(G638:AI638,Gene_Weights!$B$2:$AD$2),3)</f>
        <v>-5.11</v>
      </c>
      <c r="AL638" s="2" t="n">
        <v>9</v>
      </c>
      <c r="AM638" s="2" t="n">
        <v>5</v>
      </c>
      <c r="AN638" s="2" t="n">
        <v>55.56</v>
      </c>
      <c r="AO638" s="5" t="n">
        <v>55.12</v>
      </c>
      <c r="AP638" s="5" t="n">
        <v>56.02</v>
      </c>
      <c r="AQ638" s="5" t="n">
        <v>56.92</v>
      </c>
      <c r="AR638" s="5" t="n">
        <v>57.82</v>
      </c>
      <c r="AS638" s="5" t="n">
        <v>58.72</v>
      </c>
      <c r="AT638" s="5" t="n">
        <v>59.62</v>
      </c>
      <c r="AU638" s="5" t="n">
        <v>60.52</v>
      </c>
      <c r="AV638" s="5" t="s">
        <v>51</v>
      </c>
    </row>
    <row r="639" customFormat="false" ht="15" hidden="false" customHeight="false" outlineLevel="0" collapsed="false">
      <c r="A639" s="2" t="s">
        <v>162</v>
      </c>
      <c r="B639" s="2" t="n">
        <v>2023</v>
      </c>
      <c r="C639" s="2" t="s">
        <v>52</v>
      </c>
      <c r="D639" s="2" t="n">
        <v>1</v>
      </c>
      <c r="E639" s="2" t="n">
        <v>16</v>
      </c>
      <c r="F639" s="2" t="s">
        <v>50</v>
      </c>
      <c r="G639" s="3" t="n">
        <v>0</v>
      </c>
      <c r="H639" s="3" t="n">
        <v>1</v>
      </c>
      <c r="I639" s="3" t="n">
        <v>1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1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1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1</v>
      </c>
      <c r="AF639" s="3" t="n">
        <v>1</v>
      </c>
      <c r="AG639" s="3" t="n">
        <v>1</v>
      </c>
      <c r="AH639" s="3" t="n">
        <v>0</v>
      </c>
      <c r="AI639" s="3" t="n">
        <v>1</v>
      </c>
      <c r="AJ639" s="4" t="n">
        <f aca="false">SUM(G639:AI639)</f>
        <v>8</v>
      </c>
      <c r="AK639" s="4" t="n">
        <f aca="false">ROUND(SUMPRODUCT(G639:AI639,Gene_Weights!$B$2:$AD$2),3)</f>
        <v>-5.11</v>
      </c>
      <c r="AL639" s="2" t="n">
        <v>9</v>
      </c>
      <c r="AM639" s="2" t="n">
        <v>7</v>
      </c>
      <c r="AN639" s="2" t="n">
        <v>77.78</v>
      </c>
      <c r="AO639" s="5" t="n">
        <v>64.53</v>
      </c>
      <c r="AP639" s="5" t="n">
        <v>66.13</v>
      </c>
      <c r="AQ639" s="5" t="n">
        <v>67.73</v>
      </c>
      <c r="AR639" s="5" t="n">
        <v>69.33</v>
      </c>
      <c r="AS639" s="5" t="n">
        <v>70.93</v>
      </c>
      <c r="AT639" s="5" t="n">
        <v>72.53</v>
      </c>
      <c r="AU639" s="5" t="n">
        <v>74.13</v>
      </c>
      <c r="AV639" s="5" t="s">
        <v>51</v>
      </c>
    </row>
    <row r="640" customFormat="false" ht="15" hidden="false" customHeight="false" outlineLevel="0" collapsed="false">
      <c r="A640" s="2" t="s">
        <v>162</v>
      </c>
      <c r="B640" s="2" t="n">
        <v>2023</v>
      </c>
      <c r="C640" s="2" t="s">
        <v>53</v>
      </c>
      <c r="D640" s="2" t="n">
        <v>0</v>
      </c>
      <c r="E640" s="2" t="n">
        <v>2</v>
      </c>
      <c r="F640" s="2" t="s">
        <v>50</v>
      </c>
      <c r="G640" s="3" t="n">
        <v>0</v>
      </c>
      <c r="H640" s="3" t="n">
        <v>1</v>
      </c>
      <c r="I640" s="3" t="n">
        <v>1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1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1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1</v>
      </c>
      <c r="AF640" s="3" t="n">
        <v>1</v>
      </c>
      <c r="AG640" s="3" t="n">
        <v>1</v>
      </c>
      <c r="AH640" s="3" t="n">
        <v>0</v>
      </c>
      <c r="AI640" s="3" t="n">
        <v>1</v>
      </c>
      <c r="AJ640" s="4" t="n">
        <f aca="false">SUM(G640:AI640)</f>
        <v>8</v>
      </c>
      <c r="AK640" s="4" t="n">
        <f aca="false">ROUND(SUMPRODUCT(G640:AI640,Gene_Weights!$B$2:$AD$2),3)</f>
        <v>-5.11</v>
      </c>
      <c r="AL640" s="2" t="n">
        <v>9</v>
      </c>
      <c r="AM640" s="2" t="n">
        <v>5</v>
      </c>
      <c r="AN640" s="2" t="n">
        <v>55.56</v>
      </c>
      <c r="AO640" s="5" t="n">
        <v>52.86</v>
      </c>
      <c r="AP640" s="5" t="n">
        <v>53.65</v>
      </c>
      <c r="AQ640" s="5" t="n">
        <v>54.45</v>
      </c>
      <c r="AR640" s="5" t="n">
        <v>55.24</v>
      </c>
      <c r="AS640" s="5" t="n">
        <v>56.03</v>
      </c>
      <c r="AT640" s="5" t="n">
        <v>56.83</v>
      </c>
      <c r="AU640" s="5" t="n">
        <v>57.62</v>
      </c>
      <c r="AV640" s="5" t="s">
        <v>51</v>
      </c>
    </row>
    <row r="641" customFormat="false" ht="15" hidden="false" customHeight="false" outlineLevel="0" collapsed="false">
      <c r="A641" s="2" t="s">
        <v>162</v>
      </c>
      <c r="B641" s="2" t="n">
        <v>2023</v>
      </c>
      <c r="C641" s="2" t="s">
        <v>54</v>
      </c>
      <c r="D641" s="2" t="n">
        <v>1</v>
      </c>
      <c r="E641" s="2" t="n">
        <v>32</v>
      </c>
      <c r="F641" s="2" t="s">
        <v>50</v>
      </c>
      <c r="G641" s="3" t="n">
        <v>0</v>
      </c>
      <c r="H641" s="3" t="n">
        <v>1</v>
      </c>
      <c r="I641" s="3" t="n">
        <v>1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1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1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1</v>
      </c>
      <c r="AF641" s="3" t="n">
        <v>1</v>
      </c>
      <c r="AG641" s="3" t="n">
        <v>1</v>
      </c>
      <c r="AH641" s="3" t="n">
        <v>0</v>
      </c>
      <c r="AI641" s="3" t="n">
        <v>1</v>
      </c>
      <c r="AJ641" s="4" t="n">
        <f aca="false">SUM(G641:AI641)</f>
        <v>8</v>
      </c>
      <c r="AK641" s="4" t="n">
        <f aca="false">ROUND(SUMPRODUCT(G641:AI641,Gene_Weights!$B$2:$AD$2),3)</f>
        <v>-5.11</v>
      </c>
      <c r="AL641" s="2" t="n">
        <v>9</v>
      </c>
      <c r="AM641" s="2" t="n">
        <v>7</v>
      </c>
      <c r="AN641" s="2" t="n">
        <v>77.78</v>
      </c>
      <c r="AO641" s="5" t="n">
        <v>81.84</v>
      </c>
      <c r="AP641" s="5" t="n">
        <v>84.45</v>
      </c>
      <c r="AQ641" s="5" t="n">
        <v>87.06</v>
      </c>
      <c r="AR641" s="5" t="n">
        <v>89.67</v>
      </c>
      <c r="AS641" s="5" t="n">
        <v>92.27</v>
      </c>
      <c r="AT641" s="5" t="n">
        <v>94.88</v>
      </c>
      <c r="AU641" s="5" t="n">
        <v>97.49</v>
      </c>
      <c r="AV641" s="5" t="s">
        <v>51</v>
      </c>
    </row>
    <row r="642" customFormat="false" ht="15" hidden="false" customHeight="false" outlineLevel="0" collapsed="false">
      <c r="A642" s="2" t="s">
        <v>162</v>
      </c>
      <c r="B642" s="2" t="n">
        <v>2023</v>
      </c>
      <c r="C642" s="2" t="s">
        <v>55</v>
      </c>
      <c r="D642" s="2" t="n">
        <v>0</v>
      </c>
      <c r="E642" s="2" t="n">
        <v>16</v>
      </c>
      <c r="F642" s="2" t="s">
        <v>50</v>
      </c>
      <c r="G642" s="3" t="n">
        <v>0</v>
      </c>
      <c r="H642" s="3" t="n">
        <v>1</v>
      </c>
      <c r="I642" s="3" t="n">
        <v>1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1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1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1</v>
      </c>
      <c r="AF642" s="3" t="n">
        <v>1</v>
      </c>
      <c r="AG642" s="3" t="n">
        <v>1</v>
      </c>
      <c r="AH642" s="3" t="n">
        <v>0</v>
      </c>
      <c r="AI642" s="3" t="n">
        <v>1</v>
      </c>
      <c r="AJ642" s="4" t="n">
        <f aca="false">SUM(G642:AI642)</f>
        <v>8</v>
      </c>
      <c r="AK642" s="4" t="n">
        <f aca="false">ROUND(SUMPRODUCT(G642:AI642,Gene_Weights!$B$2:$AD$2),3)</f>
        <v>-5.11</v>
      </c>
      <c r="AL642" s="2" t="n">
        <v>9</v>
      </c>
      <c r="AM642" s="2" t="n">
        <v>2</v>
      </c>
      <c r="AN642" s="2" t="n">
        <v>22.22</v>
      </c>
      <c r="AO642" s="5" t="n">
        <v>58.19</v>
      </c>
      <c r="AP642" s="5" t="n">
        <v>59.74</v>
      </c>
      <c r="AQ642" s="5" t="n">
        <v>61.3</v>
      </c>
      <c r="AR642" s="5" t="n">
        <v>62.86</v>
      </c>
      <c r="AS642" s="5" t="n">
        <v>64.42</v>
      </c>
      <c r="AT642" s="5" t="n">
        <v>65.98</v>
      </c>
      <c r="AU642" s="5" t="n">
        <v>67.53</v>
      </c>
      <c r="AV642" s="5" t="s">
        <v>51</v>
      </c>
    </row>
    <row r="643" customFormat="false" ht="15" hidden="false" customHeight="false" outlineLevel="0" collapsed="false">
      <c r="A643" s="2" t="s">
        <v>162</v>
      </c>
      <c r="B643" s="2" t="n">
        <v>2023</v>
      </c>
      <c r="C643" s="2" t="s">
        <v>56</v>
      </c>
      <c r="D643" s="2" t="n">
        <v>0</v>
      </c>
      <c r="E643" s="2" t="n">
        <v>16</v>
      </c>
      <c r="F643" s="2" t="s">
        <v>50</v>
      </c>
      <c r="G643" s="3" t="n">
        <v>0</v>
      </c>
      <c r="H643" s="3" t="n">
        <v>1</v>
      </c>
      <c r="I643" s="3" t="n">
        <v>1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1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1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1</v>
      </c>
      <c r="AF643" s="3" t="n">
        <v>1</v>
      </c>
      <c r="AG643" s="3" t="n">
        <v>1</v>
      </c>
      <c r="AH643" s="3" t="n">
        <v>0</v>
      </c>
      <c r="AI643" s="3" t="n">
        <v>1</v>
      </c>
      <c r="AJ643" s="4" t="n">
        <f aca="false">SUM(G643:AI643)</f>
        <v>8</v>
      </c>
      <c r="AK643" s="4" t="n">
        <f aca="false">ROUND(SUMPRODUCT(G643:AI643,Gene_Weights!$B$2:$AD$2),3)</f>
        <v>-5.11</v>
      </c>
      <c r="AL643" s="2" t="n">
        <v>9</v>
      </c>
      <c r="AM643" s="2" t="n">
        <v>5</v>
      </c>
      <c r="AN643" s="2" t="n">
        <v>55.56</v>
      </c>
      <c r="AO643" s="5" t="n">
        <v>75.59</v>
      </c>
      <c r="AP643" s="5" t="n">
        <v>78.01</v>
      </c>
      <c r="AQ643" s="5" t="n">
        <v>80.42</v>
      </c>
      <c r="AR643" s="5" t="n">
        <v>82.83</v>
      </c>
      <c r="AS643" s="5" t="n">
        <v>85.24</v>
      </c>
      <c r="AT643" s="5" t="n">
        <v>87.66</v>
      </c>
      <c r="AU643" s="5" t="n">
        <v>90.07</v>
      </c>
      <c r="AV643" s="5" t="s">
        <v>51</v>
      </c>
    </row>
    <row r="644" customFormat="false" ht="15" hidden="false" customHeight="false" outlineLevel="0" collapsed="false">
      <c r="A644" s="2" t="s">
        <v>163</v>
      </c>
      <c r="B644" s="2" t="n">
        <v>2017</v>
      </c>
      <c r="C644" s="2" t="s">
        <v>49</v>
      </c>
      <c r="D644" s="2" t="n">
        <v>0</v>
      </c>
      <c r="E644" s="2" t="n">
        <v>4</v>
      </c>
      <c r="F644" s="2" t="s">
        <v>50</v>
      </c>
      <c r="G644" s="3" t="n">
        <v>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1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1</v>
      </c>
      <c r="X644" s="3" t="n">
        <v>1</v>
      </c>
      <c r="Y644" s="3" t="n">
        <v>0</v>
      </c>
      <c r="Z644" s="3" t="n">
        <v>0</v>
      </c>
      <c r="AA644" s="3" t="n">
        <v>0</v>
      </c>
      <c r="AB644" s="3" t="n">
        <v>1</v>
      </c>
      <c r="AC644" s="3" t="n">
        <v>1</v>
      </c>
      <c r="AD644" s="3" t="n">
        <v>1</v>
      </c>
      <c r="AE644" s="3" t="n">
        <v>0</v>
      </c>
      <c r="AF644" s="3" t="n">
        <v>1</v>
      </c>
      <c r="AG644" s="3" t="n">
        <v>0</v>
      </c>
      <c r="AH644" s="3" t="n">
        <v>0</v>
      </c>
      <c r="AI644" s="3" t="n">
        <v>1</v>
      </c>
      <c r="AJ644" s="4" t="n">
        <f aca="false">SUM(G644:AI644)</f>
        <v>10</v>
      </c>
      <c r="AK644" s="4" t="n">
        <f aca="false">ROUND(SUMPRODUCT(G644:AI644,Gene_Weights!$B$2:$AD$2),3)</f>
        <v>-8.56</v>
      </c>
      <c r="AL644" s="2" t="n">
        <v>9</v>
      </c>
      <c r="AM644" s="2" t="n">
        <v>4</v>
      </c>
      <c r="AN644" s="2" t="n">
        <v>44.44</v>
      </c>
      <c r="AO644" s="5" t="n">
        <v>55.12</v>
      </c>
      <c r="AP644" s="5" t="n">
        <v>56.02</v>
      </c>
      <c r="AQ644" s="5" t="n">
        <v>56.92</v>
      </c>
      <c r="AR644" s="5" t="n">
        <v>57.82</v>
      </c>
      <c r="AS644" s="5" t="n">
        <v>58.72</v>
      </c>
      <c r="AT644" s="5" t="n">
        <v>59.62</v>
      </c>
      <c r="AU644" s="5" t="n">
        <v>60.52</v>
      </c>
      <c r="AV644" s="5" t="s">
        <v>51</v>
      </c>
    </row>
    <row r="645" customFormat="false" ht="15" hidden="false" customHeight="false" outlineLevel="0" collapsed="false">
      <c r="A645" s="2" t="s">
        <v>163</v>
      </c>
      <c r="B645" s="2" t="n">
        <v>2017</v>
      </c>
      <c r="C645" s="2" t="s">
        <v>52</v>
      </c>
      <c r="D645" s="2" t="n">
        <v>1</v>
      </c>
      <c r="E645" s="2" t="n">
        <v>16</v>
      </c>
      <c r="F645" s="2" t="s">
        <v>50</v>
      </c>
      <c r="G645" s="3" t="n">
        <v>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1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1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1</v>
      </c>
      <c r="X645" s="3" t="n">
        <v>1</v>
      </c>
      <c r="Y645" s="3" t="n">
        <v>0</v>
      </c>
      <c r="Z645" s="3" t="n">
        <v>0</v>
      </c>
      <c r="AA645" s="3" t="n">
        <v>0</v>
      </c>
      <c r="AB645" s="3" t="n">
        <v>1</v>
      </c>
      <c r="AC645" s="3" t="n">
        <v>1</v>
      </c>
      <c r="AD645" s="3" t="n">
        <v>1</v>
      </c>
      <c r="AE645" s="3" t="n">
        <v>0</v>
      </c>
      <c r="AF645" s="3" t="n">
        <v>1</v>
      </c>
      <c r="AG645" s="3" t="n">
        <v>0</v>
      </c>
      <c r="AH645" s="3" t="n">
        <v>0</v>
      </c>
      <c r="AI645" s="3" t="n">
        <v>1</v>
      </c>
      <c r="AJ645" s="4" t="n">
        <f aca="false">SUM(G645:AI645)</f>
        <v>10</v>
      </c>
      <c r="AK645" s="4" t="n">
        <f aca="false">ROUND(SUMPRODUCT(G645:AI645,Gene_Weights!$B$2:$AD$2),3)</f>
        <v>-8.56</v>
      </c>
      <c r="AL645" s="2" t="n">
        <v>9</v>
      </c>
      <c r="AM645" s="2" t="n">
        <v>7</v>
      </c>
      <c r="AN645" s="2" t="n">
        <v>77.78</v>
      </c>
      <c r="AO645" s="5" t="n">
        <v>64.53</v>
      </c>
      <c r="AP645" s="5" t="n">
        <v>66.13</v>
      </c>
      <c r="AQ645" s="5" t="n">
        <v>67.73</v>
      </c>
      <c r="AR645" s="5" t="n">
        <v>69.33</v>
      </c>
      <c r="AS645" s="5" t="n">
        <v>70.93</v>
      </c>
      <c r="AT645" s="5" t="n">
        <v>72.53</v>
      </c>
      <c r="AU645" s="5" t="n">
        <v>74.13</v>
      </c>
      <c r="AV645" s="5" t="s">
        <v>51</v>
      </c>
    </row>
    <row r="646" customFormat="false" ht="15" hidden="false" customHeight="false" outlineLevel="0" collapsed="false">
      <c r="A646" s="2" t="s">
        <v>163</v>
      </c>
      <c r="B646" s="2" t="n">
        <v>2017</v>
      </c>
      <c r="C646" s="2" t="s">
        <v>53</v>
      </c>
      <c r="D646" s="2" t="n">
        <v>1</v>
      </c>
      <c r="E646" s="2" t="n">
        <v>16</v>
      </c>
      <c r="F646" s="2" t="s">
        <v>50</v>
      </c>
      <c r="G646" s="3" t="n">
        <v>1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1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1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1</v>
      </c>
      <c r="X646" s="3" t="n">
        <v>1</v>
      </c>
      <c r="Y646" s="3" t="n">
        <v>0</v>
      </c>
      <c r="Z646" s="3" t="n">
        <v>0</v>
      </c>
      <c r="AA646" s="3" t="n">
        <v>0</v>
      </c>
      <c r="AB646" s="3" t="n">
        <v>1</v>
      </c>
      <c r="AC646" s="3" t="n">
        <v>1</v>
      </c>
      <c r="AD646" s="3" t="n">
        <v>1</v>
      </c>
      <c r="AE646" s="3" t="n">
        <v>0</v>
      </c>
      <c r="AF646" s="3" t="n">
        <v>1</v>
      </c>
      <c r="AG646" s="3" t="n">
        <v>0</v>
      </c>
      <c r="AH646" s="3" t="n">
        <v>0</v>
      </c>
      <c r="AI646" s="3" t="n">
        <v>1</v>
      </c>
      <c r="AJ646" s="4" t="n">
        <f aca="false">SUM(G646:AI646)</f>
        <v>10</v>
      </c>
      <c r="AK646" s="4" t="n">
        <f aca="false">ROUND(SUMPRODUCT(G646:AI646,Gene_Weights!$B$2:$AD$2),3)</f>
        <v>-8.56</v>
      </c>
      <c r="AL646" s="2" t="n">
        <v>9</v>
      </c>
      <c r="AM646" s="2" t="n">
        <v>6</v>
      </c>
      <c r="AN646" s="2" t="n">
        <v>66.67</v>
      </c>
      <c r="AO646" s="5" t="n">
        <v>52.86</v>
      </c>
      <c r="AP646" s="5" t="n">
        <v>53.65</v>
      </c>
      <c r="AQ646" s="5" t="n">
        <v>54.45</v>
      </c>
      <c r="AR646" s="5" t="n">
        <v>55.24</v>
      </c>
      <c r="AS646" s="5" t="n">
        <v>56.03</v>
      </c>
      <c r="AT646" s="5" t="n">
        <v>56.83</v>
      </c>
      <c r="AU646" s="5" t="n">
        <v>57.62</v>
      </c>
      <c r="AV646" s="5" t="s">
        <v>51</v>
      </c>
    </row>
    <row r="647" customFormat="false" ht="15" hidden="false" customHeight="false" outlineLevel="0" collapsed="false">
      <c r="A647" s="2" t="s">
        <v>163</v>
      </c>
      <c r="B647" s="2" t="n">
        <v>2017</v>
      </c>
      <c r="C647" s="2" t="s">
        <v>54</v>
      </c>
      <c r="D647" s="2" t="n">
        <v>1</v>
      </c>
      <c r="E647" s="2" t="n">
        <v>32</v>
      </c>
      <c r="F647" s="2" t="s">
        <v>50</v>
      </c>
      <c r="G647" s="3" t="n">
        <v>1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1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1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1</v>
      </c>
      <c r="X647" s="3" t="n">
        <v>1</v>
      </c>
      <c r="Y647" s="3" t="n">
        <v>0</v>
      </c>
      <c r="Z647" s="3" t="n">
        <v>0</v>
      </c>
      <c r="AA647" s="3" t="n">
        <v>0</v>
      </c>
      <c r="AB647" s="3" t="n">
        <v>1</v>
      </c>
      <c r="AC647" s="3" t="n">
        <v>1</v>
      </c>
      <c r="AD647" s="3" t="n">
        <v>1</v>
      </c>
      <c r="AE647" s="3" t="n">
        <v>0</v>
      </c>
      <c r="AF647" s="3" t="n">
        <v>1</v>
      </c>
      <c r="AG647" s="3" t="n">
        <v>0</v>
      </c>
      <c r="AH647" s="3" t="n">
        <v>0</v>
      </c>
      <c r="AI647" s="3" t="n">
        <v>1</v>
      </c>
      <c r="AJ647" s="4" t="n">
        <f aca="false">SUM(G647:AI647)</f>
        <v>10</v>
      </c>
      <c r="AK647" s="4" t="n">
        <f aca="false">ROUND(SUMPRODUCT(G647:AI647,Gene_Weights!$B$2:$AD$2),3)</f>
        <v>-8.56</v>
      </c>
      <c r="AL647" s="2" t="n">
        <v>9</v>
      </c>
      <c r="AM647" s="2" t="n">
        <v>3</v>
      </c>
      <c r="AN647" s="2" t="n">
        <v>33.33</v>
      </c>
      <c r="AO647" s="5" t="n">
        <v>81.84</v>
      </c>
      <c r="AP647" s="5" t="n">
        <v>84.45</v>
      </c>
      <c r="AQ647" s="5" t="n">
        <v>87.06</v>
      </c>
      <c r="AR647" s="5" t="n">
        <v>89.67</v>
      </c>
      <c r="AS647" s="5" t="n">
        <v>92.27</v>
      </c>
      <c r="AT647" s="5" t="n">
        <v>94.88</v>
      </c>
      <c r="AU647" s="5" t="n">
        <v>97.49</v>
      </c>
      <c r="AV647" s="5" t="s">
        <v>51</v>
      </c>
    </row>
    <row r="648" customFormat="false" ht="15" hidden="false" customHeight="false" outlineLevel="0" collapsed="false">
      <c r="A648" s="2" t="s">
        <v>163</v>
      </c>
      <c r="B648" s="2" t="n">
        <v>2017</v>
      </c>
      <c r="C648" s="2" t="s">
        <v>55</v>
      </c>
      <c r="D648" s="2" t="n">
        <v>1</v>
      </c>
      <c r="E648" s="2" t="n">
        <v>4</v>
      </c>
      <c r="F648" s="2" t="s">
        <v>50</v>
      </c>
      <c r="G648" s="3" t="n">
        <v>1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1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1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1</v>
      </c>
      <c r="X648" s="3" t="n">
        <v>1</v>
      </c>
      <c r="Y648" s="3" t="n">
        <v>0</v>
      </c>
      <c r="Z648" s="3" t="n">
        <v>0</v>
      </c>
      <c r="AA648" s="3" t="n">
        <v>0</v>
      </c>
      <c r="AB648" s="3" t="n">
        <v>1</v>
      </c>
      <c r="AC648" s="3" t="n">
        <v>1</v>
      </c>
      <c r="AD648" s="3" t="n">
        <v>1</v>
      </c>
      <c r="AE648" s="3" t="n">
        <v>0</v>
      </c>
      <c r="AF648" s="3" t="n">
        <v>1</v>
      </c>
      <c r="AG648" s="3" t="n">
        <v>0</v>
      </c>
      <c r="AH648" s="3" t="n">
        <v>0</v>
      </c>
      <c r="AI648" s="3" t="n">
        <v>1</v>
      </c>
      <c r="AJ648" s="4" t="n">
        <f aca="false">SUM(G648:AI648)</f>
        <v>10</v>
      </c>
      <c r="AK648" s="4" t="n">
        <f aca="false">ROUND(SUMPRODUCT(G648:AI648,Gene_Weights!$B$2:$AD$2),3)</f>
        <v>-8.56</v>
      </c>
      <c r="AL648" s="2" t="n">
        <v>9</v>
      </c>
      <c r="AM648" s="2" t="n">
        <v>7</v>
      </c>
      <c r="AN648" s="2" t="n">
        <v>77.78</v>
      </c>
      <c r="AO648" s="5" t="n">
        <v>58.19</v>
      </c>
      <c r="AP648" s="5" t="n">
        <v>59.74</v>
      </c>
      <c r="AQ648" s="5" t="n">
        <v>61.3</v>
      </c>
      <c r="AR648" s="5" t="n">
        <v>62.86</v>
      </c>
      <c r="AS648" s="5" t="n">
        <v>64.42</v>
      </c>
      <c r="AT648" s="5" t="n">
        <v>65.98</v>
      </c>
      <c r="AU648" s="5" t="n">
        <v>67.53</v>
      </c>
      <c r="AV648" s="5" t="s">
        <v>51</v>
      </c>
    </row>
    <row r="649" customFormat="false" ht="15" hidden="false" customHeight="false" outlineLevel="0" collapsed="false">
      <c r="A649" s="2" t="s">
        <v>163</v>
      </c>
      <c r="B649" s="2" t="n">
        <v>2017</v>
      </c>
      <c r="C649" s="2" t="s">
        <v>56</v>
      </c>
      <c r="D649" s="2" t="n">
        <v>0</v>
      </c>
      <c r="E649" s="2" t="n">
        <v>16</v>
      </c>
      <c r="F649" s="2" t="s">
        <v>50</v>
      </c>
      <c r="G649" s="3" t="n">
        <v>1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1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1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1</v>
      </c>
      <c r="X649" s="3" t="n">
        <v>1</v>
      </c>
      <c r="Y649" s="3" t="n">
        <v>0</v>
      </c>
      <c r="Z649" s="3" t="n">
        <v>0</v>
      </c>
      <c r="AA649" s="3" t="n">
        <v>0</v>
      </c>
      <c r="AB649" s="3" t="n">
        <v>1</v>
      </c>
      <c r="AC649" s="3" t="n">
        <v>1</v>
      </c>
      <c r="AD649" s="3" t="n">
        <v>1</v>
      </c>
      <c r="AE649" s="3" t="n">
        <v>0</v>
      </c>
      <c r="AF649" s="3" t="n">
        <v>1</v>
      </c>
      <c r="AG649" s="3" t="n">
        <v>0</v>
      </c>
      <c r="AH649" s="3" t="n">
        <v>0</v>
      </c>
      <c r="AI649" s="3" t="n">
        <v>1</v>
      </c>
      <c r="AJ649" s="4" t="n">
        <f aca="false">SUM(G649:AI649)</f>
        <v>10</v>
      </c>
      <c r="AK649" s="4" t="n">
        <f aca="false">ROUND(SUMPRODUCT(G649:AI649,Gene_Weights!$B$2:$AD$2),3)</f>
        <v>-8.56</v>
      </c>
      <c r="AL649" s="2" t="n">
        <v>9</v>
      </c>
      <c r="AM649" s="2" t="n">
        <v>5</v>
      </c>
      <c r="AN649" s="2" t="n">
        <v>55.56</v>
      </c>
      <c r="AO649" s="5" t="n">
        <v>75.59</v>
      </c>
      <c r="AP649" s="5" t="n">
        <v>78.01</v>
      </c>
      <c r="AQ649" s="5" t="n">
        <v>80.42</v>
      </c>
      <c r="AR649" s="5" t="n">
        <v>82.83</v>
      </c>
      <c r="AS649" s="5" t="n">
        <v>85.24</v>
      </c>
      <c r="AT649" s="5" t="n">
        <v>87.66</v>
      </c>
      <c r="AU649" s="5" t="n">
        <v>90.07</v>
      </c>
      <c r="AV649" s="5" t="s">
        <v>51</v>
      </c>
    </row>
    <row r="650" customFormat="false" ht="15" hidden="false" customHeight="false" outlineLevel="0" collapsed="false">
      <c r="A650" s="2" t="s">
        <v>164</v>
      </c>
      <c r="B650" s="2" t="n">
        <v>2005</v>
      </c>
      <c r="C650" s="2" t="s">
        <v>49</v>
      </c>
      <c r="D650" s="2" t="n">
        <v>0</v>
      </c>
      <c r="E650" s="2" t="n">
        <v>16</v>
      </c>
      <c r="F650" s="2" t="s">
        <v>50</v>
      </c>
      <c r="G650" s="3" t="n">
        <v>0</v>
      </c>
      <c r="H650" s="3" t="n">
        <v>0</v>
      </c>
      <c r="I650" s="3" t="n">
        <v>0</v>
      </c>
      <c r="J650" s="3" t="n">
        <v>1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1</v>
      </c>
      <c r="P650" s="3" t="n">
        <v>1</v>
      </c>
      <c r="Q650" s="3" t="n">
        <v>1</v>
      </c>
      <c r="R650" s="3" t="n">
        <v>1</v>
      </c>
      <c r="S650" s="3" t="n">
        <v>0</v>
      </c>
      <c r="T650" s="3" t="n">
        <v>0</v>
      </c>
      <c r="U650" s="3" t="n">
        <v>0</v>
      </c>
      <c r="V650" s="3" t="n">
        <v>1</v>
      </c>
      <c r="W650" s="3" t="n">
        <v>1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1</v>
      </c>
      <c r="AC650" s="3" t="n">
        <v>0</v>
      </c>
      <c r="AD650" s="3" t="n">
        <v>1</v>
      </c>
      <c r="AE650" s="3" t="n">
        <v>1</v>
      </c>
      <c r="AF650" s="3" t="n">
        <v>0</v>
      </c>
      <c r="AG650" s="3" t="n">
        <v>1</v>
      </c>
      <c r="AH650" s="3" t="n">
        <v>0</v>
      </c>
      <c r="AI650" s="3" t="n">
        <v>0</v>
      </c>
      <c r="AJ650" s="4" t="n">
        <f aca="false">SUM(G650:AI650)</f>
        <v>11</v>
      </c>
      <c r="AK650" s="4" t="n">
        <f aca="false">ROUND(SUMPRODUCT(G650:AI650,Gene_Weights!$B$2:$AD$2),3)</f>
        <v>-7.08</v>
      </c>
      <c r="AL650" s="2" t="n">
        <v>6</v>
      </c>
      <c r="AM650" s="2" t="n">
        <v>1</v>
      </c>
      <c r="AN650" s="2" t="n">
        <v>16.67</v>
      </c>
      <c r="AO650" s="5" t="n">
        <v>55.12</v>
      </c>
      <c r="AP650" s="5" t="n">
        <v>56.02</v>
      </c>
      <c r="AQ650" s="5" t="n">
        <v>56.92</v>
      </c>
      <c r="AR650" s="5" t="n">
        <v>57.82</v>
      </c>
      <c r="AS650" s="5" t="n">
        <v>58.72</v>
      </c>
      <c r="AT650" s="5" t="n">
        <v>59.62</v>
      </c>
      <c r="AU650" s="5" t="n">
        <v>60.52</v>
      </c>
      <c r="AV650" s="5" t="s">
        <v>51</v>
      </c>
    </row>
    <row r="651" customFormat="false" ht="15" hidden="false" customHeight="false" outlineLevel="0" collapsed="false">
      <c r="A651" s="2" t="s">
        <v>164</v>
      </c>
      <c r="B651" s="2" t="n">
        <v>2005</v>
      </c>
      <c r="C651" s="2" t="s">
        <v>52</v>
      </c>
      <c r="D651" s="2" t="n">
        <v>1</v>
      </c>
      <c r="E651" s="2" t="n">
        <v>16</v>
      </c>
      <c r="F651" s="2" t="s">
        <v>50</v>
      </c>
      <c r="G651" s="3" t="n">
        <v>0</v>
      </c>
      <c r="H651" s="3" t="n">
        <v>0</v>
      </c>
      <c r="I651" s="3" t="n">
        <v>0</v>
      </c>
      <c r="J651" s="3" t="n">
        <v>1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1</v>
      </c>
      <c r="P651" s="3" t="n">
        <v>1</v>
      </c>
      <c r="Q651" s="3" t="n">
        <v>1</v>
      </c>
      <c r="R651" s="3" t="n">
        <v>1</v>
      </c>
      <c r="S651" s="3" t="n">
        <v>0</v>
      </c>
      <c r="T651" s="3" t="n">
        <v>0</v>
      </c>
      <c r="U651" s="3" t="n">
        <v>0</v>
      </c>
      <c r="V651" s="3" t="n">
        <v>1</v>
      </c>
      <c r="W651" s="3" t="n">
        <v>1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1</v>
      </c>
      <c r="AC651" s="3" t="n">
        <v>0</v>
      </c>
      <c r="AD651" s="3" t="n">
        <v>1</v>
      </c>
      <c r="AE651" s="3" t="n">
        <v>1</v>
      </c>
      <c r="AF651" s="3" t="n">
        <v>0</v>
      </c>
      <c r="AG651" s="3" t="n">
        <v>1</v>
      </c>
      <c r="AH651" s="3" t="n">
        <v>0</v>
      </c>
      <c r="AI651" s="3" t="n">
        <v>0</v>
      </c>
      <c r="AJ651" s="4" t="n">
        <f aca="false">SUM(G651:AI651)</f>
        <v>11</v>
      </c>
      <c r="AK651" s="4" t="n">
        <f aca="false">ROUND(SUMPRODUCT(G651:AI651,Gene_Weights!$B$2:$AD$2),3)</f>
        <v>-7.08</v>
      </c>
      <c r="AL651" s="2" t="n">
        <v>6</v>
      </c>
      <c r="AM651" s="2" t="n">
        <v>2</v>
      </c>
      <c r="AN651" s="2" t="n">
        <v>33.33</v>
      </c>
      <c r="AO651" s="5" t="n">
        <v>64.53</v>
      </c>
      <c r="AP651" s="5" t="n">
        <v>66.13</v>
      </c>
      <c r="AQ651" s="5" t="n">
        <v>67.73</v>
      </c>
      <c r="AR651" s="5" t="n">
        <v>69.33</v>
      </c>
      <c r="AS651" s="5" t="n">
        <v>70.93</v>
      </c>
      <c r="AT651" s="5" t="n">
        <v>72.53</v>
      </c>
      <c r="AU651" s="5" t="n">
        <v>74.13</v>
      </c>
      <c r="AV651" s="5" t="s">
        <v>51</v>
      </c>
    </row>
    <row r="652" customFormat="false" ht="15" hidden="false" customHeight="false" outlineLevel="0" collapsed="false">
      <c r="A652" s="2" t="s">
        <v>164</v>
      </c>
      <c r="B652" s="2" t="n">
        <v>2005</v>
      </c>
      <c r="C652" s="2" t="s">
        <v>53</v>
      </c>
      <c r="D652" s="2" t="n">
        <v>0</v>
      </c>
      <c r="E652" s="2" t="n">
        <v>32</v>
      </c>
      <c r="F652" s="2" t="s">
        <v>50</v>
      </c>
      <c r="G652" s="3" t="n">
        <v>0</v>
      </c>
      <c r="H652" s="3" t="n">
        <v>0</v>
      </c>
      <c r="I652" s="3" t="n">
        <v>0</v>
      </c>
      <c r="J652" s="3" t="n">
        <v>1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0</v>
      </c>
      <c r="T652" s="3" t="n">
        <v>0</v>
      </c>
      <c r="U652" s="3" t="n">
        <v>0</v>
      </c>
      <c r="V652" s="3" t="n">
        <v>1</v>
      </c>
      <c r="W652" s="3" t="n">
        <v>1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1</v>
      </c>
      <c r="AC652" s="3" t="n">
        <v>0</v>
      </c>
      <c r="AD652" s="3" t="n">
        <v>1</v>
      </c>
      <c r="AE652" s="3" t="n">
        <v>1</v>
      </c>
      <c r="AF652" s="3" t="n">
        <v>0</v>
      </c>
      <c r="AG652" s="3" t="n">
        <v>1</v>
      </c>
      <c r="AH652" s="3" t="n">
        <v>0</v>
      </c>
      <c r="AI652" s="3" t="n">
        <v>0</v>
      </c>
      <c r="AJ652" s="4" t="n">
        <f aca="false">SUM(G652:AI652)</f>
        <v>11</v>
      </c>
      <c r="AK652" s="4" t="n">
        <f aca="false">ROUND(SUMPRODUCT(G652:AI652,Gene_Weights!$B$2:$AD$2),3)</f>
        <v>-7.08</v>
      </c>
      <c r="AL652" s="2" t="n">
        <v>6</v>
      </c>
      <c r="AM652" s="2" t="n">
        <v>0</v>
      </c>
      <c r="AN652" s="2" t="n">
        <v>0</v>
      </c>
      <c r="AO652" s="5" t="n">
        <v>52.86</v>
      </c>
      <c r="AP652" s="5" t="n">
        <v>53.65</v>
      </c>
      <c r="AQ652" s="5" t="n">
        <v>54.45</v>
      </c>
      <c r="AR652" s="5" t="n">
        <v>55.24</v>
      </c>
      <c r="AS652" s="5" t="n">
        <v>56.03</v>
      </c>
      <c r="AT652" s="5" t="n">
        <v>56.83</v>
      </c>
      <c r="AU652" s="5" t="n">
        <v>57.62</v>
      </c>
      <c r="AV652" s="5" t="s">
        <v>51</v>
      </c>
    </row>
    <row r="653" customFormat="false" ht="15" hidden="false" customHeight="false" outlineLevel="0" collapsed="false">
      <c r="A653" s="2" t="s">
        <v>164</v>
      </c>
      <c r="B653" s="2" t="n">
        <v>2005</v>
      </c>
      <c r="C653" s="2" t="s">
        <v>54</v>
      </c>
      <c r="D653" s="2" t="n">
        <v>0</v>
      </c>
      <c r="E653" s="2" t="n">
        <v>2</v>
      </c>
      <c r="F653" s="2" t="s">
        <v>50</v>
      </c>
      <c r="G653" s="3" t="n">
        <v>0</v>
      </c>
      <c r="H653" s="3" t="n">
        <v>0</v>
      </c>
      <c r="I653" s="3" t="n">
        <v>0</v>
      </c>
      <c r="J653" s="3" t="n">
        <v>1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1</v>
      </c>
      <c r="P653" s="3" t="n">
        <v>1</v>
      </c>
      <c r="Q653" s="3" t="n">
        <v>1</v>
      </c>
      <c r="R653" s="3" t="n">
        <v>1</v>
      </c>
      <c r="S653" s="3" t="n">
        <v>0</v>
      </c>
      <c r="T653" s="3" t="n">
        <v>0</v>
      </c>
      <c r="U653" s="3" t="n">
        <v>0</v>
      </c>
      <c r="V653" s="3" t="n">
        <v>1</v>
      </c>
      <c r="W653" s="3" t="n">
        <v>1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1</v>
      </c>
      <c r="AC653" s="3" t="n">
        <v>0</v>
      </c>
      <c r="AD653" s="3" t="n">
        <v>1</v>
      </c>
      <c r="AE653" s="3" t="n">
        <v>1</v>
      </c>
      <c r="AF653" s="3" t="n">
        <v>0</v>
      </c>
      <c r="AG653" s="3" t="n">
        <v>1</v>
      </c>
      <c r="AH653" s="3" t="n">
        <v>0</v>
      </c>
      <c r="AI653" s="3" t="n">
        <v>0</v>
      </c>
      <c r="AJ653" s="4" t="n">
        <f aca="false">SUM(G653:AI653)</f>
        <v>11</v>
      </c>
      <c r="AK653" s="4" t="n">
        <f aca="false">ROUND(SUMPRODUCT(G653:AI653,Gene_Weights!$B$2:$AD$2),3)</f>
        <v>-7.08</v>
      </c>
      <c r="AL653" s="2" t="n">
        <v>6</v>
      </c>
      <c r="AM653" s="2" t="n">
        <v>0</v>
      </c>
      <c r="AN653" s="2" t="n">
        <v>0</v>
      </c>
      <c r="AO653" s="5" t="n">
        <v>81.84</v>
      </c>
      <c r="AP653" s="5" t="n">
        <v>84.45</v>
      </c>
      <c r="AQ653" s="5" t="n">
        <v>87.06</v>
      </c>
      <c r="AR653" s="5" t="n">
        <v>89.67</v>
      </c>
      <c r="AS653" s="5" t="n">
        <v>92.27</v>
      </c>
      <c r="AT653" s="5" t="n">
        <v>94.88</v>
      </c>
      <c r="AU653" s="5" t="n">
        <v>97.49</v>
      </c>
      <c r="AV653" s="5" t="s">
        <v>51</v>
      </c>
    </row>
    <row r="654" customFormat="false" ht="15" hidden="false" customHeight="false" outlineLevel="0" collapsed="false">
      <c r="A654" s="2" t="s">
        <v>164</v>
      </c>
      <c r="B654" s="2" t="n">
        <v>2005</v>
      </c>
      <c r="C654" s="2" t="s">
        <v>55</v>
      </c>
      <c r="D654" s="2" t="n">
        <v>0</v>
      </c>
      <c r="E654" s="2" t="n">
        <v>2</v>
      </c>
      <c r="F654" s="2" t="s">
        <v>50</v>
      </c>
      <c r="G654" s="3" t="n">
        <v>0</v>
      </c>
      <c r="H654" s="3" t="n">
        <v>0</v>
      </c>
      <c r="I654" s="3" t="n">
        <v>0</v>
      </c>
      <c r="J654" s="3" t="n">
        <v>1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1</v>
      </c>
      <c r="P654" s="3" t="n">
        <v>1</v>
      </c>
      <c r="Q654" s="3" t="n">
        <v>1</v>
      </c>
      <c r="R654" s="3" t="n">
        <v>1</v>
      </c>
      <c r="S654" s="3" t="n">
        <v>0</v>
      </c>
      <c r="T654" s="3" t="n">
        <v>0</v>
      </c>
      <c r="U654" s="3" t="n">
        <v>0</v>
      </c>
      <c r="V654" s="3" t="n">
        <v>1</v>
      </c>
      <c r="W654" s="3" t="n">
        <v>1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1</v>
      </c>
      <c r="AC654" s="3" t="n">
        <v>0</v>
      </c>
      <c r="AD654" s="3" t="n">
        <v>1</v>
      </c>
      <c r="AE654" s="3" t="n">
        <v>1</v>
      </c>
      <c r="AF654" s="3" t="n">
        <v>0</v>
      </c>
      <c r="AG654" s="3" t="n">
        <v>1</v>
      </c>
      <c r="AH654" s="3" t="n">
        <v>0</v>
      </c>
      <c r="AI654" s="3" t="n">
        <v>0</v>
      </c>
      <c r="AJ654" s="4" t="n">
        <f aca="false">SUM(G654:AI654)</f>
        <v>11</v>
      </c>
      <c r="AK654" s="4" t="n">
        <f aca="false">ROUND(SUMPRODUCT(G654:AI654,Gene_Weights!$B$2:$AD$2),3)</f>
        <v>-7.08</v>
      </c>
      <c r="AL654" s="2" t="n">
        <v>6</v>
      </c>
      <c r="AM654" s="2" t="n">
        <v>1</v>
      </c>
      <c r="AN654" s="2" t="n">
        <v>16.67</v>
      </c>
      <c r="AO654" s="5" t="n">
        <v>58.19</v>
      </c>
      <c r="AP654" s="5" t="n">
        <v>59.74</v>
      </c>
      <c r="AQ654" s="5" t="n">
        <v>61.3</v>
      </c>
      <c r="AR654" s="5" t="n">
        <v>62.86</v>
      </c>
      <c r="AS654" s="5" t="n">
        <v>64.42</v>
      </c>
      <c r="AT654" s="5" t="n">
        <v>65.98</v>
      </c>
      <c r="AU654" s="5" t="n">
        <v>67.53</v>
      </c>
      <c r="AV654" s="5" t="s">
        <v>51</v>
      </c>
    </row>
    <row r="655" customFormat="false" ht="15" hidden="false" customHeight="false" outlineLevel="0" collapsed="false">
      <c r="A655" s="2" t="s">
        <v>164</v>
      </c>
      <c r="B655" s="2" t="n">
        <v>2005</v>
      </c>
      <c r="C655" s="2" t="s">
        <v>56</v>
      </c>
      <c r="D655" s="2" t="n">
        <v>0</v>
      </c>
      <c r="E655" s="2" t="n">
        <v>4</v>
      </c>
      <c r="F655" s="2" t="s">
        <v>50</v>
      </c>
      <c r="G655" s="3" t="n">
        <v>0</v>
      </c>
      <c r="H655" s="3" t="n">
        <v>0</v>
      </c>
      <c r="I655" s="3" t="n">
        <v>0</v>
      </c>
      <c r="J655" s="3" t="n">
        <v>1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1</v>
      </c>
      <c r="P655" s="3" t="n">
        <v>1</v>
      </c>
      <c r="Q655" s="3" t="n">
        <v>1</v>
      </c>
      <c r="R655" s="3" t="n">
        <v>1</v>
      </c>
      <c r="S655" s="3" t="n">
        <v>0</v>
      </c>
      <c r="T655" s="3" t="n">
        <v>0</v>
      </c>
      <c r="U655" s="3" t="n">
        <v>0</v>
      </c>
      <c r="V655" s="3" t="n">
        <v>1</v>
      </c>
      <c r="W655" s="3" t="n">
        <v>1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1</v>
      </c>
      <c r="AC655" s="3" t="n">
        <v>0</v>
      </c>
      <c r="AD655" s="3" t="n">
        <v>1</v>
      </c>
      <c r="AE655" s="3" t="n">
        <v>1</v>
      </c>
      <c r="AF655" s="3" t="n">
        <v>0</v>
      </c>
      <c r="AG655" s="3" t="n">
        <v>1</v>
      </c>
      <c r="AH655" s="3" t="n">
        <v>0</v>
      </c>
      <c r="AI655" s="3" t="n">
        <v>0</v>
      </c>
      <c r="AJ655" s="4" t="n">
        <f aca="false">SUM(G655:AI655)</f>
        <v>11</v>
      </c>
      <c r="AK655" s="4" t="n">
        <f aca="false">ROUND(SUMPRODUCT(G655:AI655,Gene_Weights!$B$2:$AD$2),3)</f>
        <v>-7.08</v>
      </c>
      <c r="AL655" s="2" t="n">
        <v>6</v>
      </c>
      <c r="AM655" s="2" t="n">
        <v>1</v>
      </c>
      <c r="AN655" s="2" t="n">
        <v>16.67</v>
      </c>
      <c r="AO655" s="5" t="n">
        <v>75.59</v>
      </c>
      <c r="AP655" s="5" t="n">
        <v>78.01</v>
      </c>
      <c r="AQ655" s="5" t="n">
        <v>80.42</v>
      </c>
      <c r="AR655" s="5" t="n">
        <v>82.83</v>
      </c>
      <c r="AS655" s="5" t="n">
        <v>85.24</v>
      </c>
      <c r="AT655" s="5" t="n">
        <v>87.66</v>
      </c>
      <c r="AU655" s="5" t="n">
        <v>90.07</v>
      </c>
      <c r="AV655" s="5" t="s">
        <v>51</v>
      </c>
    </row>
    <row r="656" customFormat="false" ht="15" hidden="false" customHeight="false" outlineLevel="0" collapsed="false">
      <c r="A656" s="2" t="s">
        <v>165</v>
      </c>
      <c r="B656" s="2" t="n">
        <v>2009</v>
      </c>
      <c r="C656" s="2" t="s">
        <v>49</v>
      </c>
      <c r="D656" s="2" t="n">
        <v>1</v>
      </c>
      <c r="E656" s="2" t="n">
        <v>16</v>
      </c>
      <c r="F656" s="2" t="s">
        <v>50</v>
      </c>
      <c r="G656" s="3" t="n">
        <v>0</v>
      </c>
      <c r="H656" s="3" t="n">
        <v>1</v>
      </c>
      <c r="I656" s="3" t="n">
        <v>0</v>
      </c>
      <c r="J656" s="3" t="n">
        <v>1</v>
      </c>
      <c r="K656" s="3" t="n">
        <v>1</v>
      </c>
      <c r="L656" s="3" t="n">
        <v>0</v>
      </c>
      <c r="M656" s="3" t="n">
        <v>1</v>
      </c>
      <c r="N656" s="3" t="n">
        <v>1</v>
      </c>
      <c r="O656" s="3" t="n">
        <v>0</v>
      </c>
      <c r="P656" s="3" t="n">
        <v>1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1</v>
      </c>
      <c r="AH656" s="3" t="n">
        <v>0</v>
      </c>
      <c r="AI656" s="3" t="n">
        <v>0</v>
      </c>
      <c r="AJ656" s="4" t="n">
        <f aca="false">SUM(G656:AI656)</f>
        <v>7</v>
      </c>
      <c r="AK656" s="4" t="n">
        <f aca="false">ROUND(SUMPRODUCT(G656:AI656,Gene_Weights!$B$2:$AD$2),3)</f>
        <v>-4.74</v>
      </c>
      <c r="AL656" s="2" t="n">
        <v>12</v>
      </c>
      <c r="AM656" s="2" t="n">
        <v>4</v>
      </c>
      <c r="AN656" s="2" t="n">
        <v>33.33</v>
      </c>
      <c r="AO656" s="5" t="n">
        <v>55.12</v>
      </c>
      <c r="AP656" s="5" t="n">
        <v>56.02</v>
      </c>
      <c r="AQ656" s="5" t="n">
        <v>56.92</v>
      </c>
      <c r="AR656" s="5" t="n">
        <v>57.82</v>
      </c>
      <c r="AS656" s="5" t="n">
        <v>58.72</v>
      </c>
      <c r="AT656" s="5" t="n">
        <v>59.62</v>
      </c>
      <c r="AU656" s="5" t="n">
        <v>60.52</v>
      </c>
      <c r="AV656" s="5" t="s">
        <v>51</v>
      </c>
    </row>
    <row r="657" customFormat="false" ht="15" hidden="false" customHeight="false" outlineLevel="0" collapsed="false">
      <c r="A657" s="2" t="s">
        <v>165</v>
      </c>
      <c r="B657" s="2" t="n">
        <v>2009</v>
      </c>
      <c r="C657" s="2" t="s">
        <v>52</v>
      </c>
      <c r="D657" s="2" t="n">
        <v>0</v>
      </c>
      <c r="E657" s="2" t="n">
        <v>4</v>
      </c>
      <c r="F657" s="2" t="s">
        <v>50</v>
      </c>
      <c r="G657" s="3" t="n">
        <v>0</v>
      </c>
      <c r="H657" s="3" t="n">
        <v>1</v>
      </c>
      <c r="I657" s="3" t="n">
        <v>0</v>
      </c>
      <c r="J657" s="3" t="n">
        <v>1</v>
      </c>
      <c r="K657" s="3" t="n">
        <v>1</v>
      </c>
      <c r="L657" s="3" t="n">
        <v>0</v>
      </c>
      <c r="M657" s="3" t="n">
        <v>1</v>
      </c>
      <c r="N657" s="3" t="n">
        <v>1</v>
      </c>
      <c r="O657" s="3" t="n">
        <v>0</v>
      </c>
      <c r="P657" s="3" t="n">
        <v>1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1</v>
      </c>
      <c r="AH657" s="3" t="n">
        <v>0</v>
      </c>
      <c r="AI657" s="3" t="n">
        <v>0</v>
      </c>
      <c r="AJ657" s="4" t="n">
        <f aca="false">SUM(G657:AI657)</f>
        <v>7</v>
      </c>
      <c r="AK657" s="4" t="n">
        <f aca="false">ROUND(SUMPRODUCT(G657:AI657,Gene_Weights!$B$2:$AD$2),3)</f>
        <v>-4.74</v>
      </c>
      <c r="AL657" s="2" t="n">
        <v>12</v>
      </c>
      <c r="AM657" s="2" t="n">
        <v>3</v>
      </c>
      <c r="AN657" s="2" t="n">
        <v>25</v>
      </c>
      <c r="AO657" s="5" t="n">
        <v>64.53</v>
      </c>
      <c r="AP657" s="5" t="n">
        <v>66.13</v>
      </c>
      <c r="AQ657" s="5" t="n">
        <v>67.73</v>
      </c>
      <c r="AR657" s="5" t="n">
        <v>69.33</v>
      </c>
      <c r="AS657" s="5" t="n">
        <v>70.93</v>
      </c>
      <c r="AT657" s="5" t="n">
        <v>72.53</v>
      </c>
      <c r="AU657" s="5" t="n">
        <v>74.13</v>
      </c>
      <c r="AV657" s="5" t="s">
        <v>51</v>
      </c>
    </row>
    <row r="658" customFormat="false" ht="15" hidden="false" customHeight="false" outlineLevel="0" collapsed="false">
      <c r="A658" s="2" t="s">
        <v>165</v>
      </c>
      <c r="B658" s="2" t="n">
        <v>2009</v>
      </c>
      <c r="C658" s="2" t="s">
        <v>53</v>
      </c>
      <c r="D658" s="2" t="n">
        <v>1</v>
      </c>
      <c r="E658" s="2" t="n">
        <v>16</v>
      </c>
      <c r="F658" s="2" t="s">
        <v>50</v>
      </c>
      <c r="G658" s="3" t="n">
        <v>0</v>
      </c>
      <c r="H658" s="3" t="n">
        <v>1</v>
      </c>
      <c r="I658" s="3" t="n">
        <v>0</v>
      </c>
      <c r="J658" s="3" t="n">
        <v>1</v>
      </c>
      <c r="K658" s="3" t="n">
        <v>1</v>
      </c>
      <c r="L658" s="3" t="n">
        <v>0</v>
      </c>
      <c r="M658" s="3" t="n">
        <v>1</v>
      </c>
      <c r="N658" s="3" t="n">
        <v>1</v>
      </c>
      <c r="O658" s="3" t="n">
        <v>0</v>
      </c>
      <c r="P658" s="3" t="n">
        <v>1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1</v>
      </c>
      <c r="AH658" s="3" t="n">
        <v>0</v>
      </c>
      <c r="AI658" s="3" t="n">
        <v>0</v>
      </c>
      <c r="AJ658" s="4" t="n">
        <f aca="false">SUM(G658:AI658)</f>
        <v>7</v>
      </c>
      <c r="AK658" s="4" t="n">
        <f aca="false">ROUND(SUMPRODUCT(G658:AI658,Gene_Weights!$B$2:$AD$2),3)</f>
        <v>-4.74</v>
      </c>
      <c r="AL658" s="2" t="n">
        <v>12</v>
      </c>
      <c r="AM658" s="2" t="n">
        <v>9</v>
      </c>
      <c r="AN658" s="2" t="n">
        <v>75</v>
      </c>
      <c r="AO658" s="5" t="n">
        <v>52.86</v>
      </c>
      <c r="AP658" s="5" t="n">
        <v>53.65</v>
      </c>
      <c r="AQ658" s="5" t="n">
        <v>54.45</v>
      </c>
      <c r="AR658" s="5" t="n">
        <v>55.24</v>
      </c>
      <c r="AS658" s="5" t="n">
        <v>56.03</v>
      </c>
      <c r="AT658" s="5" t="n">
        <v>56.83</v>
      </c>
      <c r="AU658" s="5" t="n">
        <v>57.62</v>
      </c>
      <c r="AV658" s="5" t="s">
        <v>51</v>
      </c>
    </row>
    <row r="659" customFormat="false" ht="15" hidden="false" customHeight="false" outlineLevel="0" collapsed="false">
      <c r="A659" s="2" t="s">
        <v>165</v>
      </c>
      <c r="B659" s="2" t="n">
        <v>2009</v>
      </c>
      <c r="C659" s="2" t="s">
        <v>54</v>
      </c>
      <c r="D659" s="2" t="n">
        <v>1</v>
      </c>
      <c r="E659" s="2" t="n">
        <v>4</v>
      </c>
      <c r="F659" s="2" t="s">
        <v>50</v>
      </c>
      <c r="G659" s="3" t="n">
        <v>0</v>
      </c>
      <c r="H659" s="3" t="n">
        <v>1</v>
      </c>
      <c r="I659" s="3" t="n">
        <v>0</v>
      </c>
      <c r="J659" s="3" t="n">
        <v>1</v>
      </c>
      <c r="K659" s="3" t="n">
        <v>1</v>
      </c>
      <c r="L659" s="3" t="n">
        <v>0</v>
      </c>
      <c r="M659" s="3" t="n">
        <v>1</v>
      </c>
      <c r="N659" s="3" t="n">
        <v>1</v>
      </c>
      <c r="O659" s="3" t="n">
        <v>0</v>
      </c>
      <c r="P659" s="3" t="n">
        <v>1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1</v>
      </c>
      <c r="AH659" s="3" t="n">
        <v>0</v>
      </c>
      <c r="AI659" s="3" t="n">
        <v>0</v>
      </c>
      <c r="AJ659" s="4" t="n">
        <f aca="false">SUM(G659:AI659)</f>
        <v>7</v>
      </c>
      <c r="AK659" s="4" t="n">
        <f aca="false">ROUND(SUMPRODUCT(G659:AI659,Gene_Weights!$B$2:$AD$2),3)</f>
        <v>-4.74</v>
      </c>
      <c r="AL659" s="2" t="n">
        <v>12</v>
      </c>
      <c r="AM659" s="2" t="n">
        <v>8</v>
      </c>
      <c r="AN659" s="2" t="n">
        <v>66.67</v>
      </c>
      <c r="AO659" s="5" t="n">
        <v>81.84</v>
      </c>
      <c r="AP659" s="5" t="n">
        <v>84.45</v>
      </c>
      <c r="AQ659" s="5" t="n">
        <v>87.06</v>
      </c>
      <c r="AR659" s="5" t="n">
        <v>89.67</v>
      </c>
      <c r="AS659" s="5" t="n">
        <v>92.27</v>
      </c>
      <c r="AT659" s="5" t="n">
        <v>94.88</v>
      </c>
      <c r="AU659" s="5" t="n">
        <v>97.49</v>
      </c>
      <c r="AV659" s="5" t="s">
        <v>51</v>
      </c>
    </row>
    <row r="660" customFormat="false" ht="15" hidden="false" customHeight="false" outlineLevel="0" collapsed="false">
      <c r="A660" s="2" t="s">
        <v>165</v>
      </c>
      <c r="B660" s="2" t="n">
        <v>2009</v>
      </c>
      <c r="C660" s="2" t="s">
        <v>55</v>
      </c>
      <c r="D660" s="2" t="n">
        <v>0</v>
      </c>
      <c r="E660" s="2" t="n">
        <v>16</v>
      </c>
      <c r="F660" s="2" t="s">
        <v>50</v>
      </c>
      <c r="G660" s="3" t="n">
        <v>0</v>
      </c>
      <c r="H660" s="3" t="n">
        <v>1</v>
      </c>
      <c r="I660" s="3" t="n">
        <v>0</v>
      </c>
      <c r="J660" s="3" t="n">
        <v>1</v>
      </c>
      <c r="K660" s="3" t="n">
        <v>1</v>
      </c>
      <c r="L660" s="3" t="n">
        <v>0</v>
      </c>
      <c r="M660" s="3" t="n">
        <v>1</v>
      </c>
      <c r="N660" s="3" t="n">
        <v>1</v>
      </c>
      <c r="O660" s="3" t="n">
        <v>0</v>
      </c>
      <c r="P660" s="3" t="n">
        <v>1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1</v>
      </c>
      <c r="AH660" s="3" t="n">
        <v>0</v>
      </c>
      <c r="AI660" s="3" t="n">
        <v>0</v>
      </c>
      <c r="AJ660" s="4" t="n">
        <f aca="false">SUM(G660:AI660)</f>
        <v>7</v>
      </c>
      <c r="AK660" s="4" t="n">
        <f aca="false">ROUND(SUMPRODUCT(G660:AI660,Gene_Weights!$B$2:$AD$2),3)</f>
        <v>-4.74</v>
      </c>
      <c r="AL660" s="2" t="n">
        <v>12</v>
      </c>
      <c r="AM660" s="2" t="n">
        <v>2</v>
      </c>
      <c r="AN660" s="2" t="n">
        <v>16.67</v>
      </c>
      <c r="AO660" s="5" t="n">
        <v>58.19</v>
      </c>
      <c r="AP660" s="5" t="n">
        <v>59.74</v>
      </c>
      <c r="AQ660" s="5" t="n">
        <v>61.3</v>
      </c>
      <c r="AR660" s="5" t="n">
        <v>62.86</v>
      </c>
      <c r="AS660" s="5" t="n">
        <v>64.42</v>
      </c>
      <c r="AT660" s="5" t="n">
        <v>65.98</v>
      </c>
      <c r="AU660" s="5" t="n">
        <v>67.53</v>
      </c>
      <c r="AV660" s="5" t="s">
        <v>51</v>
      </c>
    </row>
    <row r="661" customFormat="false" ht="15" hidden="false" customHeight="false" outlineLevel="0" collapsed="false">
      <c r="A661" s="2" t="s">
        <v>165</v>
      </c>
      <c r="B661" s="2" t="n">
        <v>2009</v>
      </c>
      <c r="C661" s="2" t="s">
        <v>56</v>
      </c>
      <c r="D661" s="2" t="n">
        <v>1</v>
      </c>
      <c r="E661" s="2" t="n">
        <v>4</v>
      </c>
      <c r="F661" s="2" t="s">
        <v>50</v>
      </c>
      <c r="G661" s="3" t="n">
        <v>0</v>
      </c>
      <c r="H661" s="3" t="n">
        <v>1</v>
      </c>
      <c r="I661" s="3" t="n">
        <v>0</v>
      </c>
      <c r="J661" s="3" t="n">
        <v>1</v>
      </c>
      <c r="K661" s="3" t="n">
        <v>1</v>
      </c>
      <c r="L661" s="3" t="n">
        <v>0</v>
      </c>
      <c r="M661" s="3" t="n">
        <v>1</v>
      </c>
      <c r="N661" s="3" t="n">
        <v>1</v>
      </c>
      <c r="O661" s="3" t="n">
        <v>0</v>
      </c>
      <c r="P661" s="3" t="n">
        <v>1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1</v>
      </c>
      <c r="AH661" s="3" t="n">
        <v>0</v>
      </c>
      <c r="AI661" s="3" t="n">
        <v>0</v>
      </c>
      <c r="AJ661" s="4" t="n">
        <f aca="false">SUM(G661:AI661)</f>
        <v>7</v>
      </c>
      <c r="AK661" s="4" t="n">
        <f aca="false">ROUND(SUMPRODUCT(G661:AI661,Gene_Weights!$B$2:$AD$2),3)</f>
        <v>-4.74</v>
      </c>
      <c r="AL661" s="2" t="n">
        <v>12</v>
      </c>
      <c r="AM661" s="2" t="n">
        <v>4</v>
      </c>
      <c r="AN661" s="2" t="n">
        <v>33.33</v>
      </c>
      <c r="AO661" s="5" t="n">
        <v>75.59</v>
      </c>
      <c r="AP661" s="5" t="n">
        <v>78.01</v>
      </c>
      <c r="AQ661" s="5" t="n">
        <v>80.42</v>
      </c>
      <c r="AR661" s="5" t="n">
        <v>82.83</v>
      </c>
      <c r="AS661" s="5" t="n">
        <v>85.24</v>
      </c>
      <c r="AT661" s="5" t="n">
        <v>87.66</v>
      </c>
      <c r="AU661" s="5" t="n">
        <v>90.07</v>
      </c>
      <c r="AV661" s="5" t="s">
        <v>51</v>
      </c>
    </row>
    <row r="662" customFormat="false" ht="15" hidden="false" customHeight="false" outlineLevel="0" collapsed="false">
      <c r="A662" s="2" t="s">
        <v>166</v>
      </c>
      <c r="B662" s="2" t="n">
        <v>2017</v>
      </c>
      <c r="C662" s="2" t="s">
        <v>49</v>
      </c>
      <c r="D662" s="2" t="n">
        <v>1</v>
      </c>
      <c r="E662" s="2" t="n">
        <v>2</v>
      </c>
      <c r="F662" s="2" t="s">
        <v>50</v>
      </c>
      <c r="G662" s="3" t="n">
        <v>0</v>
      </c>
      <c r="H662" s="3" t="n">
        <v>1</v>
      </c>
      <c r="I662" s="3" t="n">
        <v>1</v>
      </c>
      <c r="J662" s="3" t="n">
        <v>1</v>
      </c>
      <c r="K662" s="3" t="n">
        <v>0</v>
      </c>
      <c r="L662" s="3" t="n">
        <v>1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1</v>
      </c>
      <c r="R662" s="3" t="n">
        <v>0</v>
      </c>
      <c r="S662" s="3" t="n">
        <v>1</v>
      </c>
      <c r="T662" s="3" t="n">
        <v>0</v>
      </c>
      <c r="U662" s="3" t="n">
        <v>0</v>
      </c>
      <c r="V662" s="3" t="n">
        <v>0</v>
      </c>
      <c r="W662" s="3" t="n">
        <v>1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1</v>
      </c>
      <c r="AC662" s="3" t="n">
        <v>0</v>
      </c>
      <c r="AD662" s="3" t="n">
        <v>0</v>
      </c>
      <c r="AE662" s="3" t="n">
        <v>1</v>
      </c>
      <c r="AF662" s="3" t="n">
        <v>0</v>
      </c>
      <c r="AG662" s="3" t="n">
        <v>0</v>
      </c>
      <c r="AH662" s="3" t="n">
        <v>0</v>
      </c>
      <c r="AI662" s="3" t="n">
        <v>1</v>
      </c>
      <c r="AJ662" s="4" t="n">
        <f aca="false">SUM(G662:AI662)</f>
        <v>10</v>
      </c>
      <c r="AK662" s="4" t="n">
        <f aca="false">ROUND(SUMPRODUCT(G662:AI662,Gene_Weights!$B$2:$AD$2),3)</f>
        <v>-7.17</v>
      </c>
      <c r="AL662" s="2" t="n">
        <v>9</v>
      </c>
      <c r="AM662" s="2" t="n">
        <v>4</v>
      </c>
      <c r="AN662" s="2" t="n">
        <v>44.44</v>
      </c>
      <c r="AO662" s="5" t="n">
        <v>55.12</v>
      </c>
      <c r="AP662" s="5" t="n">
        <v>56.02</v>
      </c>
      <c r="AQ662" s="5" t="n">
        <v>56.92</v>
      </c>
      <c r="AR662" s="5" t="n">
        <v>57.82</v>
      </c>
      <c r="AS662" s="5" t="n">
        <v>58.72</v>
      </c>
      <c r="AT662" s="5" t="n">
        <v>59.62</v>
      </c>
      <c r="AU662" s="5" t="n">
        <v>60.52</v>
      </c>
      <c r="AV662" s="5" t="s">
        <v>51</v>
      </c>
    </row>
    <row r="663" customFormat="false" ht="15" hidden="false" customHeight="false" outlineLevel="0" collapsed="false">
      <c r="A663" s="2" t="s">
        <v>166</v>
      </c>
      <c r="B663" s="2" t="n">
        <v>2017</v>
      </c>
      <c r="C663" s="2" t="s">
        <v>52</v>
      </c>
      <c r="D663" s="2" t="n">
        <v>1</v>
      </c>
      <c r="E663" s="2" t="n">
        <v>2</v>
      </c>
      <c r="F663" s="2" t="s">
        <v>50</v>
      </c>
      <c r="G663" s="3" t="n">
        <v>0</v>
      </c>
      <c r="H663" s="3" t="n">
        <v>1</v>
      </c>
      <c r="I663" s="3" t="n">
        <v>1</v>
      </c>
      <c r="J663" s="3" t="n">
        <v>1</v>
      </c>
      <c r="K663" s="3" t="n">
        <v>0</v>
      </c>
      <c r="L663" s="3" t="n">
        <v>1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1</v>
      </c>
      <c r="R663" s="3" t="n">
        <v>0</v>
      </c>
      <c r="S663" s="3" t="n">
        <v>1</v>
      </c>
      <c r="T663" s="3" t="n">
        <v>0</v>
      </c>
      <c r="U663" s="3" t="n">
        <v>0</v>
      </c>
      <c r="V663" s="3" t="n">
        <v>0</v>
      </c>
      <c r="W663" s="3" t="n">
        <v>1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1</v>
      </c>
      <c r="AC663" s="3" t="n">
        <v>0</v>
      </c>
      <c r="AD663" s="3" t="n">
        <v>0</v>
      </c>
      <c r="AE663" s="3" t="n">
        <v>1</v>
      </c>
      <c r="AF663" s="3" t="n">
        <v>0</v>
      </c>
      <c r="AG663" s="3" t="n">
        <v>0</v>
      </c>
      <c r="AH663" s="3" t="n">
        <v>0</v>
      </c>
      <c r="AI663" s="3" t="n">
        <v>1</v>
      </c>
      <c r="AJ663" s="4" t="n">
        <f aca="false">SUM(G663:AI663)</f>
        <v>10</v>
      </c>
      <c r="AK663" s="4" t="n">
        <f aca="false">ROUND(SUMPRODUCT(G663:AI663,Gene_Weights!$B$2:$AD$2),3)</f>
        <v>-7.17</v>
      </c>
      <c r="AL663" s="2" t="n">
        <v>9</v>
      </c>
      <c r="AM663" s="2" t="n">
        <v>7</v>
      </c>
      <c r="AN663" s="2" t="n">
        <v>77.78</v>
      </c>
      <c r="AO663" s="5" t="n">
        <v>64.53</v>
      </c>
      <c r="AP663" s="5" t="n">
        <v>66.13</v>
      </c>
      <c r="AQ663" s="5" t="n">
        <v>67.73</v>
      </c>
      <c r="AR663" s="5" t="n">
        <v>69.33</v>
      </c>
      <c r="AS663" s="5" t="n">
        <v>70.93</v>
      </c>
      <c r="AT663" s="5" t="n">
        <v>72.53</v>
      </c>
      <c r="AU663" s="5" t="n">
        <v>74.13</v>
      </c>
      <c r="AV663" s="5" t="s">
        <v>51</v>
      </c>
    </row>
    <row r="664" customFormat="false" ht="15" hidden="false" customHeight="false" outlineLevel="0" collapsed="false">
      <c r="A664" s="2" t="s">
        <v>166</v>
      </c>
      <c r="B664" s="2" t="n">
        <v>2017</v>
      </c>
      <c r="C664" s="2" t="s">
        <v>53</v>
      </c>
      <c r="D664" s="2" t="n">
        <v>1</v>
      </c>
      <c r="E664" s="2" t="n">
        <v>32</v>
      </c>
      <c r="F664" s="2" t="s">
        <v>50</v>
      </c>
      <c r="G664" s="3" t="n">
        <v>0</v>
      </c>
      <c r="H664" s="3" t="n">
        <v>1</v>
      </c>
      <c r="I664" s="3" t="n">
        <v>1</v>
      </c>
      <c r="J664" s="3" t="n">
        <v>1</v>
      </c>
      <c r="K664" s="3" t="n">
        <v>0</v>
      </c>
      <c r="L664" s="3" t="n">
        <v>1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1</v>
      </c>
      <c r="R664" s="3" t="n">
        <v>0</v>
      </c>
      <c r="S664" s="3" t="n">
        <v>1</v>
      </c>
      <c r="T664" s="3" t="n">
        <v>0</v>
      </c>
      <c r="U664" s="3" t="n">
        <v>0</v>
      </c>
      <c r="V664" s="3" t="n">
        <v>0</v>
      </c>
      <c r="W664" s="3" t="n">
        <v>1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1</v>
      </c>
      <c r="AC664" s="3" t="n">
        <v>0</v>
      </c>
      <c r="AD664" s="3" t="n">
        <v>0</v>
      </c>
      <c r="AE664" s="3" t="n">
        <v>1</v>
      </c>
      <c r="AF664" s="3" t="n">
        <v>0</v>
      </c>
      <c r="AG664" s="3" t="n">
        <v>0</v>
      </c>
      <c r="AH664" s="3" t="n">
        <v>0</v>
      </c>
      <c r="AI664" s="3" t="n">
        <v>1</v>
      </c>
      <c r="AJ664" s="4" t="n">
        <f aca="false">SUM(G664:AI664)</f>
        <v>10</v>
      </c>
      <c r="AK664" s="4" t="n">
        <f aca="false">ROUND(SUMPRODUCT(G664:AI664,Gene_Weights!$B$2:$AD$2),3)</f>
        <v>-7.17</v>
      </c>
      <c r="AL664" s="2" t="n">
        <v>9</v>
      </c>
      <c r="AM664" s="2" t="n">
        <v>6</v>
      </c>
      <c r="AN664" s="2" t="n">
        <v>66.67</v>
      </c>
      <c r="AO664" s="5" t="n">
        <v>52.86</v>
      </c>
      <c r="AP664" s="5" t="n">
        <v>53.65</v>
      </c>
      <c r="AQ664" s="5" t="n">
        <v>54.45</v>
      </c>
      <c r="AR664" s="5" t="n">
        <v>55.24</v>
      </c>
      <c r="AS664" s="5" t="n">
        <v>56.03</v>
      </c>
      <c r="AT664" s="5" t="n">
        <v>56.83</v>
      </c>
      <c r="AU664" s="5" t="n">
        <v>57.62</v>
      </c>
      <c r="AV664" s="5" t="s">
        <v>51</v>
      </c>
    </row>
    <row r="665" customFormat="false" ht="15" hidden="false" customHeight="false" outlineLevel="0" collapsed="false">
      <c r="A665" s="2" t="s">
        <v>166</v>
      </c>
      <c r="B665" s="2" t="n">
        <v>2017</v>
      </c>
      <c r="C665" s="2" t="s">
        <v>54</v>
      </c>
      <c r="D665" s="2" t="n">
        <v>0</v>
      </c>
      <c r="E665" s="2" t="n">
        <v>16</v>
      </c>
      <c r="F665" s="2" t="s">
        <v>50</v>
      </c>
      <c r="G665" s="3" t="n">
        <v>0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1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1</v>
      </c>
      <c r="R665" s="3" t="n">
        <v>0</v>
      </c>
      <c r="S665" s="3" t="n">
        <v>1</v>
      </c>
      <c r="T665" s="3" t="n">
        <v>0</v>
      </c>
      <c r="U665" s="3" t="n">
        <v>0</v>
      </c>
      <c r="V665" s="3" t="n">
        <v>0</v>
      </c>
      <c r="W665" s="3" t="n">
        <v>1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1</v>
      </c>
      <c r="AC665" s="3" t="n">
        <v>0</v>
      </c>
      <c r="AD665" s="3" t="n">
        <v>0</v>
      </c>
      <c r="AE665" s="3" t="n">
        <v>1</v>
      </c>
      <c r="AF665" s="3" t="n">
        <v>0</v>
      </c>
      <c r="AG665" s="3" t="n">
        <v>0</v>
      </c>
      <c r="AH665" s="3" t="n">
        <v>0</v>
      </c>
      <c r="AI665" s="3" t="n">
        <v>1</v>
      </c>
      <c r="AJ665" s="4" t="n">
        <f aca="false">SUM(G665:AI665)</f>
        <v>10</v>
      </c>
      <c r="AK665" s="4" t="n">
        <f aca="false">ROUND(SUMPRODUCT(G665:AI665,Gene_Weights!$B$2:$AD$2),3)</f>
        <v>-7.17</v>
      </c>
      <c r="AL665" s="2" t="n">
        <v>9</v>
      </c>
      <c r="AM665" s="2" t="n">
        <v>3</v>
      </c>
      <c r="AN665" s="2" t="n">
        <v>33.33</v>
      </c>
      <c r="AO665" s="5" t="n">
        <v>81.84</v>
      </c>
      <c r="AP665" s="5" t="n">
        <v>84.45</v>
      </c>
      <c r="AQ665" s="5" t="n">
        <v>87.06</v>
      </c>
      <c r="AR665" s="5" t="n">
        <v>89.67</v>
      </c>
      <c r="AS665" s="5" t="n">
        <v>92.27</v>
      </c>
      <c r="AT665" s="5" t="n">
        <v>94.88</v>
      </c>
      <c r="AU665" s="5" t="n">
        <v>97.49</v>
      </c>
      <c r="AV665" s="5" t="s">
        <v>51</v>
      </c>
    </row>
    <row r="666" customFormat="false" ht="15" hidden="false" customHeight="false" outlineLevel="0" collapsed="false">
      <c r="A666" s="2" t="s">
        <v>166</v>
      </c>
      <c r="B666" s="2" t="n">
        <v>2017</v>
      </c>
      <c r="C666" s="2" t="s">
        <v>55</v>
      </c>
      <c r="D666" s="2" t="n">
        <v>1</v>
      </c>
      <c r="E666" s="2" t="n">
        <v>4</v>
      </c>
      <c r="F666" s="2" t="s">
        <v>50</v>
      </c>
      <c r="G666" s="3" t="n">
        <v>0</v>
      </c>
      <c r="H666" s="3" t="n">
        <v>1</v>
      </c>
      <c r="I666" s="3" t="n">
        <v>1</v>
      </c>
      <c r="J666" s="3" t="n">
        <v>1</v>
      </c>
      <c r="K666" s="3" t="n">
        <v>0</v>
      </c>
      <c r="L666" s="3" t="n">
        <v>1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1</v>
      </c>
      <c r="R666" s="3" t="n">
        <v>0</v>
      </c>
      <c r="S666" s="3" t="n">
        <v>1</v>
      </c>
      <c r="T666" s="3" t="n">
        <v>0</v>
      </c>
      <c r="U666" s="3" t="n">
        <v>0</v>
      </c>
      <c r="V666" s="3" t="n">
        <v>0</v>
      </c>
      <c r="W666" s="3" t="n">
        <v>1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1</v>
      </c>
      <c r="AC666" s="3" t="n">
        <v>0</v>
      </c>
      <c r="AD666" s="3" t="n">
        <v>0</v>
      </c>
      <c r="AE666" s="3" t="n">
        <v>1</v>
      </c>
      <c r="AF666" s="3" t="n">
        <v>0</v>
      </c>
      <c r="AG666" s="3" t="n">
        <v>0</v>
      </c>
      <c r="AH666" s="3" t="n">
        <v>0</v>
      </c>
      <c r="AI666" s="3" t="n">
        <v>1</v>
      </c>
      <c r="AJ666" s="4" t="n">
        <f aca="false">SUM(G666:AI666)</f>
        <v>10</v>
      </c>
      <c r="AK666" s="4" t="n">
        <f aca="false">ROUND(SUMPRODUCT(G666:AI666,Gene_Weights!$B$2:$AD$2),3)</f>
        <v>-7.17</v>
      </c>
      <c r="AL666" s="2" t="n">
        <v>9</v>
      </c>
      <c r="AM666" s="2" t="n">
        <v>7</v>
      </c>
      <c r="AN666" s="2" t="n">
        <v>77.78</v>
      </c>
      <c r="AO666" s="5" t="n">
        <v>58.19</v>
      </c>
      <c r="AP666" s="5" t="n">
        <v>59.74</v>
      </c>
      <c r="AQ666" s="5" t="n">
        <v>61.3</v>
      </c>
      <c r="AR666" s="5" t="n">
        <v>62.86</v>
      </c>
      <c r="AS666" s="5" t="n">
        <v>64.42</v>
      </c>
      <c r="AT666" s="5" t="n">
        <v>65.98</v>
      </c>
      <c r="AU666" s="5" t="n">
        <v>67.53</v>
      </c>
      <c r="AV666" s="5" t="s">
        <v>51</v>
      </c>
    </row>
    <row r="667" customFormat="false" ht="15" hidden="false" customHeight="false" outlineLevel="0" collapsed="false">
      <c r="A667" s="2" t="s">
        <v>166</v>
      </c>
      <c r="B667" s="2" t="n">
        <v>2017</v>
      </c>
      <c r="C667" s="2" t="s">
        <v>56</v>
      </c>
      <c r="D667" s="2" t="n">
        <v>1</v>
      </c>
      <c r="E667" s="2" t="n">
        <v>16</v>
      </c>
      <c r="F667" s="2" t="s">
        <v>50</v>
      </c>
      <c r="G667" s="3" t="n">
        <v>0</v>
      </c>
      <c r="H667" s="3" t="n">
        <v>1</v>
      </c>
      <c r="I667" s="3" t="n">
        <v>1</v>
      </c>
      <c r="J667" s="3" t="n">
        <v>1</v>
      </c>
      <c r="K667" s="3" t="n">
        <v>0</v>
      </c>
      <c r="L667" s="3" t="n">
        <v>1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1</v>
      </c>
      <c r="R667" s="3" t="n">
        <v>0</v>
      </c>
      <c r="S667" s="3" t="n">
        <v>1</v>
      </c>
      <c r="T667" s="3" t="n">
        <v>0</v>
      </c>
      <c r="U667" s="3" t="n">
        <v>0</v>
      </c>
      <c r="V667" s="3" t="n">
        <v>0</v>
      </c>
      <c r="W667" s="3" t="n">
        <v>1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1</v>
      </c>
      <c r="AC667" s="3" t="n">
        <v>0</v>
      </c>
      <c r="AD667" s="3" t="n">
        <v>0</v>
      </c>
      <c r="AE667" s="3" t="n">
        <v>1</v>
      </c>
      <c r="AF667" s="3" t="n">
        <v>0</v>
      </c>
      <c r="AG667" s="3" t="n">
        <v>0</v>
      </c>
      <c r="AH667" s="3" t="n">
        <v>0</v>
      </c>
      <c r="AI667" s="3" t="n">
        <v>1</v>
      </c>
      <c r="AJ667" s="4" t="n">
        <f aca="false">SUM(G667:AI667)</f>
        <v>10</v>
      </c>
      <c r="AK667" s="4" t="n">
        <f aca="false">ROUND(SUMPRODUCT(G667:AI667,Gene_Weights!$B$2:$AD$2),3)</f>
        <v>-7.17</v>
      </c>
      <c r="AL667" s="2" t="n">
        <v>9</v>
      </c>
      <c r="AM667" s="2" t="n">
        <v>5</v>
      </c>
      <c r="AN667" s="2" t="n">
        <v>55.56</v>
      </c>
      <c r="AO667" s="5" t="n">
        <v>75.59</v>
      </c>
      <c r="AP667" s="5" t="n">
        <v>78.01</v>
      </c>
      <c r="AQ667" s="5" t="n">
        <v>80.42</v>
      </c>
      <c r="AR667" s="5" t="n">
        <v>82.83</v>
      </c>
      <c r="AS667" s="5" t="n">
        <v>85.24</v>
      </c>
      <c r="AT667" s="5" t="n">
        <v>87.66</v>
      </c>
      <c r="AU667" s="5" t="n">
        <v>90.07</v>
      </c>
      <c r="AV667" s="5" t="s">
        <v>51</v>
      </c>
    </row>
    <row r="668" customFormat="false" ht="15" hidden="false" customHeight="false" outlineLevel="0" collapsed="false">
      <c r="A668" s="2" t="s">
        <v>167</v>
      </c>
      <c r="B668" s="2" t="n">
        <v>2017</v>
      </c>
      <c r="C668" s="2" t="s">
        <v>49</v>
      </c>
      <c r="D668" s="2" t="n">
        <v>0</v>
      </c>
      <c r="E668" s="2" t="n">
        <v>4</v>
      </c>
      <c r="F668" s="2" t="s">
        <v>50</v>
      </c>
      <c r="G668" s="3" t="n">
        <v>1</v>
      </c>
      <c r="H668" s="3" t="n">
        <v>0</v>
      </c>
      <c r="I668" s="3" t="n">
        <v>0</v>
      </c>
      <c r="J668" s="3" t="n">
        <v>1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1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1</v>
      </c>
      <c r="X668" s="3" t="n">
        <v>0</v>
      </c>
      <c r="Y668" s="3" t="n">
        <v>0</v>
      </c>
      <c r="Z668" s="3" t="n">
        <v>0</v>
      </c>
      <c r="AA668" s="3" t="n">
        <v>1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1</v>
      </c>
      <c r="AG668" s="3" t="n">
        <v>1</v>
      </c>
      <c r="AH668" s="3" t="n">
        <v>0</v>
      </c>
      <c r="AI668" s="3" t="n">
        <v>1</v>
      </c>
      <c r="AJ668" s="4" t="n">
        <f aca="false">SUM(G668:AI668)</f>
        <v>8</v>
      </c>
      <c r="AK668" s="4" t="n">
        <f aca="false">ROUND(SUMPRODUCT(G668:AI668,Gene_Weights!$B$2:$AD$2),3)</f>
        <v>-7.08</v>
      </c>
      <c r="AL668" s="2" t="n">
        <v>9</v>
      </c>
      <c r="AM668" s="2" t="n">
        <v>4</v>
      </c>
      <c r="AN668" s="2" t="n">
        <v>44.44</v>
      </c>
      <c r="AO668" s="5" t="n">
        <v>55.12</v>
      </c>
      <c r="AP668" s="5" t="n">
        <v>56.02</v>
      </c>
      <c r="AQ668" s="5" t="n">
        <v>56.92</v>
      </c>
      <c r="AR668" s="5" t="n">
        <v>57.82</v>
      </c>
      <c r="AS668" s="5" t="n">
        <v>58.72</v>
      </c>
      <c r="AT668" s="5" t="n">
        <v>59.62</v>
      </c>
      <c r="AU668" s="5" t="n">
        <v>60.52</v>
      </c>
      <c r="AV668" s="5" t="s">
        <v>51</v>
      </c>
    </row>
    <row r="669" customFormat="false" ht="15" hidden="false" customHeight="false" outlineLevel="0" collapsed="false">
      <c r="A669" s="2" t="s">
        <v>167</v>
      </c>
      <c r="B669" s="2" t="n">
        <v>2017</v>
      </c>
      <c r="C669" s="2" t="s">
        <v>52</v>
      </c>
      <c r="D669" s="2" t="n">
        <v>1</v>
      </c>
      <c r="E669" s="2" t="n">
        <v>2</v>
      </c>
      <c r="F669" s="2" t="s">
        <v>50</v>
      </c>
      <c r="G669" s="3" t="n">
        <v>1</v>
      </c>
      <c r="H669" s="3" t="n">
        <v>0</v>
      </c>
      <c r="I669" s="3" t="n">
        <v>0</v>
      </c>
      <c r="J669" s="3" t="n">
        <v>1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1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1</v>
      </c>
      <c r="X669" s="3" t="n">
        <v>0</v>
      </c>
      <c r="Y669" s="3" t="n">
        <v>0</v>
      </c>
      <c r="Z669" s="3" t="n">
        <v>0</v>
      </c>
      <c r="AA669" s="3" t="n">
        <v>1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1</v>
      </c>
      <c r="AG669" s="3" t="n">
        <v>1</v>
      </c>
      <c r="AH669" s="3" t="n">
        <v>0</v>
      </c>
      <c r="AI669" s="3" t="n">
        <v>1</v>
      </c>
      <c r="AJ669" s="4" t="n">
        <f aca="false">SUM(G669:AI669)</f>
        <v>8</v>
      </c>
      <c r="AK669" s="4" t="n">
        <f aca="false">ROUND(SUMPRODUCT(G669:AI669,Gene_Weights!$B$2:$AD$2),3)</f>
        <v>-7.08</v>
      </c>
      <c r="AL669" s="2" t="n">
        <v>9</v>
      </c>
      <c r="AM669" s="2" t="n">
        <v>7</v>
      </c>
      <c r="AN669" s="2" t="n">
        <v>77.78</v>
      </c>
      <c r="AO669" s="5" t="n">
        <v>64.53</v>
      </c>
      <c r="AP669" s="5" t="n">
        <v>66.13</v>
      </c>
      <c r="AQ669" s="5" t="n">
        <v>67.73</v>
      </c>
      <c r="AR669" s="5" t="n">
        <v>69.33</v>
      </c>
      <c r="AS669" s="5" t="n">
        <v>70.93</v>
      </c>
      <c r="AT669" s="5" t="n">
        <v>72.53</v>
      </c>
      <c r="AU669" s="5" t="n">
        <v>74.13</v>
      </c>
      <c r="AV669" s="5" t="s">
        <v>51</v>
      </c>
    </row>
    <row r="670" customFormat="false" ht="15" hidden="false" customHeight="false" outlineLevel="0" collapsed="false">
      <c r="A670" s="2" t="s">
        <v>167</v>
      </c>
      <c r="B670" s="2" t="n">
        <v>2017</v>
      </c>
      <c r="C670" s="2" t="s">
        <v>53</v>
      </c>
      <c r="D670" s="2" t="n">
        <v>1</v>
      </c>
      <c r="E670" s="2" t="n">
        <v>4</v>
      </c>
      <c r="F670" s="2" t="s">
        <v>50</v>
      </c>
      <c r="G670" s="3" t="n">
        <v>1</v>
      </c>
      <c r="H670" s="3" t="n">
        <v>0</v>
      </c>
      <c r="I670" s="3" t="n">
        <v>0</v>
      </c>
      <c r="J670" s="3" t="n">
        <v>1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1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1</v>
      </c>
      <c r="X670" s="3" t="n">
        <v>0</v>
      </c>
      <c r="Y670" s="3" t="n">
        <v>0</v>
      </c>
      <c r="Z670" s="3" t="n">
        <v>0</v>
      </c>
      <c r="AA670" s="3" t="n">
        <v>1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1</v>
      </c>
      <c r="AG670" s="3" t="n">
        <v>1</v>
      </c>
      <c r="AH670" s="3" t="n">
        <v>0</v>
      </c>
      <c r="AI670" s="3" t="n">
        <v>1</v>
      </c>
      <c r="AJ670" s="4" t="n">
        <f aca="false">SUM(G670:AI670)</f>
        <v>8</v>
      </c>
      <c r="AK670" s="4" t="n">
        <f aca="false">ROUND(SUMPRODUCT(G670:AI670,Gene_Weights!$B$2:$AD$2),3)</f>
        <v>-7.08</v>
      </c>
      <c r="AL670" s="2" t="n">
        <v>9</v>
      </c>
      <c r="AM670" s="2" t="n">
        <v>6</v>
      </c>
      <c r="AN670" s="2" t="n">
        <v>66.67</v>
      </c>
      <c r="AO670" s="5" t="n">
        <v>52.86</v>
      </c>
      <c r="AP670" s="5" t="n">
        <v>53.65</v>
      </c>
      <c r="AQ670" s="5" t="n">
        <v>54.45</v>
      </c>
      <c r="AR670" s="5" t="n">
        <v>55.24</v>
      </c>
      <c r="AS670" s="5" t="n">
        <v>56.03</v>
      </c>
      <c r="AT670" s="5" t="n">
        <v>56.83</v>
      </c>
      <c r="AU670" s="5" t="n">
        <v>57.62</v>
      </c>
      <c r="AV670" s="5" t="s">
        <v>51</v>
      </c>
    </row>
    <row r="671" customFormat="false" ht="15" hidden="false" customHeight="false" outlineLevel="0" collapsed="false">
      <c r="A671" s="2" t="s">
        <v>167</v>
      </c>
      <c r="B671" s="2" t="n">
        <v>2017</v>
      </c>
      <c r="C671" s="2" t="s">
        <v>54</v>
      </c>
      <c r="D671" s="2" t="n">
        <v>0</v>
      </c>
      <c r="E671" s="2" t="n">
        <v>4</v>
      </c>
      <c r="F671" s="2" t="s">
        <v>50</v>
      </c>
      <c r="G671" s="3" t="n">
        <v>1</v>
      </c>
      <c r="H671" s="3" t="n">
        <v>0</v>
      </c>
      <c r="I671" s="3" t="n">
        <v>0</v>
      </c>
      <c r="J671" s="3" t="n">
        <v>1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1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1</v>
      </c>
      <c r="X671" s="3" t="n">
        <v>0</v>
      </c>
      <c r="Y671" s="3" t="n">
        <v>0</v>
      </c>
      <c r="Z671" s="3" t="n">
        <v>0</v>
      </c>
      <c r="AA671" s="3" t="n">
        <v>1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1</v>
      </c>
      <c r="AG671" s="3" t="n">
        <v>1</v>
      </c>
      <c r="AH671" s="3" t="n">
        <v>0</v>
      </c>
      <c r="AI671" s="3" t="n">
        <v>1</v>
      </c>
      <c r="AJ671" s="4" t="n">
        <f aca="false">SUM(G671:AI671)</f>
        <v>8</v>
      </c>
      <c r="AK671" s="4" t="n">
        <f aca="false">ROUND(SUMPRODUCT(G671:AI671,Gene_Weights!$B$2:$AD$2),3)</f>
        <v>-7.08</v>
      </c>
      <c r="AL671" s="2" t="n">
        <v>9</v>
      </c>
      <c r="AM671" s="2" t="n">
        <v>3</v>
      </c>
      <c r="AN671" s="2" t="n">
        <v>33.33</v>
      </c>
      <c r="AO671" s="5" t="n">
        <v>81.84</v>
      </c>
      <c r="AP671" s="5" t="n">
        <v>84.45</v>
      </c>
      <c r="AQ671" s="5" t="n">
        <v>87.06</v>
      </c>
      <c r="AR671" s="5" t="n">
        <v>89.67</v>
      </c>
      <c r="AS671" s="5" t="n">
        <v>92.27</v>
      </c>
      <c r="AT671" s="5" t="n">
        <v>94.88</v>
      </c>
      <c r="AU671" s="5" t="n">
        <v>97.49</v>
      </c>
      <c r="AV671" s="5" t="s">
        <v>51</v>
      </c>
    </row>
    <row r="672" customFormat="false" ht="15" hidden="false" customHeight="false" outlineLevel="0" collapsed="false">
      <c r="A672" s="2" t="s">
        <v>167</v>
      </c>
      <c r="B672" s="2" t="n">
        <v>2017</v>
      </c>
      <c r="C672" s="2" t="s">
        <v>55</v>
      </c>
      <c r="D672" s="2" t="n">
        <v>1</v>
      </c>
      <c r="E672" s="2" t="n">
        <v>2</v>
      </c>
      <c r="F672" s="2" t="s">
        <v>50</v>
      </c>
      <c r="G672" s="3" t="n">
        <v>1</v>
      </c>
      <c r="H672" s="3" t="n">
        <v>0</v>
      </c>
      <c r="I672" s="3" t="n">
        <v>0</v>
      </c>
      <c r="J672" s="3" t="n">
        <v>1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1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1</v>
      </c>
      <c r="X672" s="3" t="n">
        <v>0</v>
      </c>
      <c r="Y672" s="3" t="n">
        <v>0</v>
      </c>
      <c r="Z672" s="3" t="n">
        <v>0</v>
      </c>
      <c r="AA672" s="3" t="n">
        <v>1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1</v>
      </c>
      <c r="AG672" s="3" t="n">
        <v>1</v>
      </c>
      <c r="AH672" s="3" t="n">
        <v>0</v>
      </c>
      <c r="AI672" s="3" t="n">
        <v>1</v>
      </c>
      <c r="AJ672" s="4" t="n">
        <f aca="false">SUM(G672:AI672)</f>
        <v>8</v>
      </c>
      <c r="AK672" s="4" t="n">
        <f aca="false">ROUND(SUMPRODUCT(G672:AI672,Gene_Weights!$B$2:$AD$2),3)</f>
        <v>-7.08</v>
      </c>
      <c r="AL672" s="2" t="n">
        <v>9</v>
      </c>
      <c r="AM672" s="2" t="n">
        <v>7</v>
      </c>
      <c r="AN672" s="2" t="n">
        <v>77.78</v>
      </c>
      <c r="AO672" s="5" t="n">
        <v>58.19</v>
      </c>
      <c r="AP672" s="5" t="n">
        <v>59.74</v>
      </c>
      <c r="AQ672" s="5" t="n">
        <v>61.3</v>
      </c>
      <c r="AR672" s="5" t="n">
        <v>62.86</v>
      </c>
      <c r="AS672" s="5" t="n">
        <v>64.42</v>
      </c>
      <c r="AT672" s="5" t="n">
        <v>65.98</v>
      </c>
      <c r="AU672" s="5" t="n">
        <v>67.53</v>
      </c>
      <c r="AV672" s="5" t="s">
        <v>51</v>
      </c>
    </row>
    <row r="673" customFormat="false" ht="15" hidden="false" customHeight="false" outlineLevel="0" collapsed="false">
      <c r="A673" s="2" t="s">
        <v>167</v>
      </c>
      <c r="B673" s="2" t="n">
        <v>2017</v>
      </c>
      <c r="C673" s="2" t="s">
        <v>56</v>
      </c>
      <c r="D673" s="2" t="n">
        <v>1</v>
      </c>
      <c r="E673" s="2" t="n">
        <v>2</v>
      </c>
      <c r="F673" s="2" t="s">
        <v>50</v>
      </c>
      <c r="G673" s="3" t="n">
        <v>1</v>
      </c>
      <c r="H673" s="3" t="n">
        <v>0</v>
      </c>
      <c r="I673" s="3" t="n">
        <v>0</v>
      </c>
      <c r="J673" s="3" t="n">
        <v>1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1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1</v>
      </c>
      <c r="X673" s="3" t="n">
        <v>0</v>
      </c>
      <c r="Y673" s="3" t="n">
        <v>0</v>
      </c>
      <c r="Z673" s="3" t="n">
        <v>0</v>
      </c>
      <c r="AA673" s="3" t="n">
        <v>1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1</v>
      </c>
      <c r="AG673" s="3" t="n">
        <v>1</v>
      </c>
      <c r="AH673" s="3" t="n">
        <v>0</v>
      </c>
      <c r="AI673" s="3" t="n">
        <v>1</v>
      </c>
      <c r="AJ673" s="4" t="n">
        <f aca="false">SUM(G673:AI673)</f>
        <v>8</v>
      </c>
      <c r="AK673" s="4" t="n">
        <f aca="false">ROUND(SUMPRODUCT(G673:AI673,Gene_Weights!$B$2:$AD$2),3)</f>
        <v>-7.08</v>
      </c>
      <c r="AL673" s="2" t="n">
        <v>9</v>
      </c>
      <c r="AM673" s="2" t="n">
        <v>5</v>
      </c>
      <c r="AN673" s="2" t="n">
        <v>55.56</v>
      </c>
      <c r="AO673" s="5" t="n">
        <v>75.59</v>
      </c>
      <c r="AP673" s="5" t="n">
        <v>78.01</v>
      </c>
      <c r="AQ673" s="5" t="n">
        <v>80.42</v>
      </c>
      <c r="AR673" s="5" t="n">
        <v>82.83</v>
      </c>
      <c r="AS673" s="5" t="n">
        <v>85.24</v>
      </c>
      <c r="AT673" s="5" t="n">
        <v>87.66</v>
      </c>
      <c r="AU673" s="5" t="n">
        <v>90.07</v>
      </c>
      <c r="AV673" s="5" t="s">
        <v>51</v>
      </c>
    </row>
    <row r="674" customFormat="false" ht="15" hidden="false" customHeight="false" outlineLevel="0" collapsed="false">
      <c r="A674" s="2" t="s">
        <v>168</v>
      </c>
      <c r="B674" s="2" t="n">
        <v>2011</v>
      </c>
      <c r="C674" s="2" t="s">
        <v>49</v>
      </c>
      <c r="D674" s="2" t="n">
        <v>1</v>
      </c>
      <c r="E674" s="2" t="n">
        <v>16</v>
      </c>
      <c r="F674" s="2" t="s">
        <v>50</v>
      </c>
      <c r="G674" s="3" t="n">
        <v>1</v>
      </c>
      <c r="H674" s="3" t="n">
        <v>1</v>
      </c>
      <c r="I674" s="3" t="n">
        <v>0</v>
      </c>
      <c r="J674" s="3" t="n">
        <v>1</v>
      </c>
      <c r="K674" s="3" t="n">
        <v>0</v>
      </c>
      <c r="L674" s="3" t="n">
        <v>0</v>
      </c>
      <c r="M674" s="3" t="n">
        <v>1</v>
      </c>
      <c r="N674" s="3" t="n">
        <v>0</v>
      </c>
      <c r="O674" s="3" t="n">
        <v>1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1</v>
      </c>
      <c r="AB674" s="3" t="n">
        <v>0</v>
      </c>
      <c r="AC674" s="3" t="n">
        <v>0</v>
      </c>
      <c r="AD674" s="3" t="n">
        <v>1</v>
      </c>
      <c r="AE674" s="3" t="n">
        <v>0</v>
      </c>
      <c r="AF674" s="3" t="n">
        <v>0</v>
      </c>
      <c r="AG674" s="3" t="n">
        <v>0</v>
      </c>
      <c r="AH674" s="3" t="n">
        <v>1</v>
      </c>
      <c r="AI674" s="3" t="n">
        <v>0</v>
      </c>
      <c r="AJ674" s="4" t="n">
        <f aca="false">SUM(G674:AI674)</f>
        <v>8</v>
      </c>
      <c r="AK674" s="4" t="n">
        <f aca="false">ROUND(SUMPRODUCT(G674:AI674,Gene_Weights!$B$2:$AD$2),3)</f>
        <v>-4.25</v>
      </c>
      <c r="AL674" s="2" t="n">
        <v>11</v>
      </c>
      <c r="AM674" s="2" t="n">
        <v>5</v>
      </c>
      <c r="AN674" s="2" t="n">
        <v>45.45</v>
      </c>
      <c r="AO674" s="5" t="n">
        <v>55.12</v>
      </c>
      <c r="AP674" s="5" t="n">
        <v>56.02</v>
      </c>
      <c r="AQ674" s="5" t="n">
        <v>56.92</v>
      </c>
      <c r="AR674" s="5" t="n">
        <v>57.82</v>
      </c>
      <c r="AS674" s="5" t="n">
        <v>58.72</v>
      </c>
      <c r="AT674" s="5" t="n">
        <v>59.62</v>
      </c>
      <c r="AU674" s="5" t="n">
        <v>60.52</v>
      </c>
      <c r="AV674" s="5" t="s">
        <v>51</v>
      </c>
    </row>
    <row r="675" customFormat="false" ht="15" hidden="false" customHeight="false" outlineLevel="0" collapsed="false">
      <c r="A675" s="2" t="s">
        <v>168</v>
      </c>
      <c r="B675" s="2" t="n">
        <v>2011</v>
      </c>
      <c r="C675" s="2" t="s">
        <v>52</v>
      </c>
      <c r="D675" s="2" t="n">
        <v>1</v>
      </c>
      <c r="E675" s="2" t="n">
        <v>32</v>
      </c>
      <c r="F675" s="2" t="s">
        <v>50</v>
      </c>
      <c r="G675" s="3" t="n">
        <v>1</v>
      </c>
      <c r="H675" s="3" t="n">
        <v>1</v>
      </c>
      <c r="I675" s="3" t="n">
        <v>0</v>
      </c>
      <c r="J675" s="3" t="n">
        <v>1</v>
      </c>
      <c r="K675" s="3" t="n">
        <v>0</v>
      </c>
      <c r="L675" s="3" t="n">
        <v>0</v>
      </c>
      <c r="M675" s="3" t="n">
        <v>1</v>
      </c>
      <c r="N675" s="3" t="n">
        <v>0</v>
      </c>
      <c r="O675" s="3" t="n">
        <v>1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1</v>
      </c>
      <c r="AB675" s="3" t="n">
        <v>0</v>
      </c>
      <c r="AC675" s="3" t="n">
        <v>0</v>
      </c>
      <c r="AD675" s="3" t="n">
        <v>1</v>
      </c>
      <c r="AE675" s="3" t="n">
        <v>0</v>
      </c>
      <c r="AF675" s="3" t="n">
        <v>0</v>
      </c>
      <c r="AG675" s="3" t="n">
        <v>0</v>
      </c>
      <c r="AH675" s="3" t="n">
        <v>1</v>
      </c>
      <c r="AI675" s="3" t="n">
        <v>0</v>
      </c>
      <c r="AJ675" s="4" t="n">
        <f aca="false">SUM(G675:AI675)</f>
        <v>8</v>
      </c>
      <c r="AK675" s="4" t="n">
        <f aca="false">ROUND(SUMPRODUCT(G675:AI675,Gene_Weights!$B$2:$AD$2),3)</f>
        <v>-4.25</v>
      </c>
      <c r="AL675" s="2" t="n">
        <v>11</v>
      </c>
      <c r="AM675" s="2" t="n">
        <v>4</v>
      </c>
      <c r="AN675" s="2" t="n">
        <v>36.36</v>
      </c>
      <c r="AO675" s="5" t="n">
        <v>64.53</v>
      </c>
      <c r="AP675" s="5" t="n">
        <v>66.13</v>
      </c>
      <c r="AQ675" s="5" t="n">
        <v>67.73</v>
      </c>
      <c r="AR675" s="5" t="n">
        <v>69.33</v>
      </c>
      <c r="AS675" s="5" t="n">
        <v>70.93</v>
      </c>
      <c r="AT675" s="5" t="n">
        <v>72.53</v>
      </c>
      <c r="AU675" s="5" t="n">
        <v>74.13</v>
      </c>
      <c r="AV675" s="5" t="s">
        <v>51</v>
      </c>
    </row>
    <row r="676" customFormat="false" ht="15" hidden="false" customHeight="false" outlineLevel="0" collapsed="false">
      <c r="A676" s="2" t="s">
        <v>168</v>
      </c>
      <c r="B676" s="2" t="n">
        <v>2011</v>
      </c>
      <c r="C676" s="2" t="s">
        <v>53</v>
      </c>
      <c r="D676" s="2" t="n">
        <v>1</v>
      </c>
      <c r="E676" s="2" t="n">
        <v>16</v>
      </c>
      <c r="F676" s="2" t="s">
        <v>50</v>
      </c>
      <c r="G676" s="3" t="n">
        <v>1</v>
      </c>
      <c r="H676" s="3" t="n">
        <v>1</v>
      </c>
      <c r="I676" s="3" t="n">
        <v>0</v>
      </c>
      <c r="J676" s="3" t="n">
        <v>1</v>
      </c>
      <c r="K676" s="3" t="n">
        <v>0</v>
      </c>
      <c r="L676" s="3" t="n">
        <v>0</v>
      </c>
      <c r="M676" s="3" t="n">
        <v>1</v>
      </c>
      <c r="N676" s="3" t="n">
        <v>0</v>
      </c>
      <c r="O676" s="3" t="n">
        <v>1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1</v>
      </c>
      <c r="AB676" s="3" t="n">
        <v>0</v>
      </c>
      <c r="AC676" s="3" t="n">
        <v>0</v>
      </c>
      <c r="AD676" s="3" t="n">
        <v>1</v>
      </c>
      <c r="AE676" s="3" t="n">
        <v>0</v>
      </c>
      <c r="AF676" s="3" t="n">
        <v>0</v>
      </c>
      <c r="AG676" s="3" t="n">
        <v>0</v>
      </c>
      <c r="AH676" s="3" t="n">
        <v>1</v>
      </c>
      <c r="AI676" s="3" t="n">
        <v>0</v>
      </c>
      <c r="AJ676" s="4" t="n">
        <f aca="false">SUM(G676:AI676)</f>
        <v>8</v>
      </c>
      <c r="AK676" s="4" t="n">
        <f aca="false">ROUND(SUMPRODUCT(G676:AI676,Gene_Weights!$B$2:$AD$2),3)</f>
        <v>-4.25</v>
      </c>
      <c r="AL676" s="2" t="n">
        <v>11</v>
      </c>
      <c r="AM676" s="2" t="n">
        <v>6</v>
      </c>
      <c r="AN676" s="2" t="n">
        <v>54.55</v>
      </c>
      <c r="AO676" s="5" t="n">
        <v>52.86</v>
      </c>
      <c r="AP676" s="5" t="n">
        <v>53.65</v>
      </c>
      <c r="AQ676" s="5" t="n">
        <v>54.45</v>
      </c>
      <c r="AR676" s="5" t="n">
        <v>55.24</v>
      </c>
      <c r="AS676" s="5" t="n">
        <v>56.03</v>
      </c>
      <c r="AT676" s="5" t="n">
        <v>56.83</v>
      </c>
      <c r="AU676" s="5" t="n">
        <v>57.62</v>
      </c>
      <c r="AV676" s="5" t="s">
        <v>51</v>
      </c>
    </row>
    <row r="677" customFormat="false" ht="15" hidden="false" customHeight="false" outlineLevel="0" collapsed="false">
      <c r="A677" s="2" t="s">
        <v>168</v>
      </c>
      <c r="B677" s="2" t="n">
        <v>2011</v>
      </c>
      <c r="C677" s="2" t="s">
        <v>54</v>
      </c>
      <c r="D677" s="2" t="n">
        <v>0</v>
      </c>
      <c r="E677" s="2" t="n">
        <v>2</v>
      </c>
      <c r="F677" s="2" t="s">
        <v>50</v>
      </c>
      <c r="G677" s="3" t="n">
        <v>1</v>
      </c>
      <c r="H677" s="3" t="n">
        <v>1</v>
      </c>
      <c r="I677" s="3" t="n">
        <v>0</v>
      </c>
      <c r="J677" s="3" t="n">
        <v>1</v>
      </c>
      <c r="K677" s="3" t="n">
        <v>0</v>
      </c>
      <c r="L677" s="3" t="n">
        <v>0</v>
      </c>
      <c r="M677" s="3" t="n">
        <v>1</v>
      </c>
      <c r="N677" s="3" t="n">
        <v>0</v>
      </c>
      <c r="O677" s="3" t="n">
        <v>1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1</v>
      </c>
      <c r="AB677" s="3" t="n">
        <v>0</v>
      </c>
      <c r="AC677" s="3" t="n">
        <v>0</v>
      </c>
      <c r="AD677" s="3" t="n">
        <v>1</v>
      </c>
      <c r="AE677" s="3" t="n">
        <v>0</v>
      </c>
      <c r="AF677" s="3" t="n">
        <v>0</v>
      </c>
      <c r="AG677" s="3" t="n">
        <v>0</v>
      </c>
      <c r="AH677" s="3" t="n">
        <v>1</v>
      </c>
      <c r="AI677" s="3" t="n">
        <v>0</v>
      </c>
      <c r="AJ677" s="4" t="n">
        <f aca="false">SUM(G677:AI677)</f>
        <v>8</v>
      </c>
      <c r="AK677" s="4" t="n">
        <f aca="false">ROUND(SUMPRODUCT(G677:AI677,Gene_Weights!$B$2:$AD$2),3)</f>
        <v>-4.25</v>
      </c>
      <c r="AL677" s="2" t="n">
        <v>11</v>
      </c>
      <c r="AM677" s="2" t="n">
        <v>4</v>
      </c>
      <c r="AN677" s="2" t="n">
        <v>36.36</v>
      </c>
      <c r="AO677" s="5" t="n">
        <v>81.84</v>
      </c>
      <c r="AP677" s="5" t="n">
        <v>84.45</v>
      </c>
      <c r="AQ677" s="5" t="n">
        <v>87.06</v>
      </c>
      <c r="AR677" s="5" t="n">
        <v>89.67</v>
      </c>
      <c r="AS677" s="5" t="n">
        <v>92.27</v>
      </c>
      <c r="AT677" s="5" t="n">
        <v>94.88</v>
      </c>
      <c r="AU677" s="5" t="n">
        <v>97.49</v>
      </c>
      <c r="AV677" s="5" t="s">
        <v>51</v>
      </c>
    </row>
    <row r="678" customFormat="false" ht="15" hidden="false" customHeight="false" outlineLevel="0" collapsed="false">
      <c r="A678" s="2" t="s">
        <v>168</v>
      </c>
      <c r="B678" s="2" t="n">
        <v>2011</v>
      </c>
      <c r="C678" s="2" t="s">
        <v>55</v>
      </c>
      <c r="D678" s="2" t="n">
        <v>1</v>
      </c>
      <c r="E678" s="2" t="n">
        <v>32</v>
      </c>
      <c r="F678" s="2" t="s">
        <v>50</v>
      </c>
      <c r="G678" s="3" t="n">
        <v>1</v>
      </c>
      <c r="H678" s="3" t="n">
        <v>1</v>
      </c>
      <c r="I678" s="3" t="n">
        <v>0</v>
      </c>
      <c r="J678" s="3" t="n">
        <v>1</v>
      </c>
      <c r="K678" s="3" t="n">
        <v>0</v>
      </c>
      <c r="L678" s="3" t="n">
        <v>0</v>
      </c>
      <c r="M678" s="3" t="n">
        <v>1</v>
      </c>
      <c r="N678" s="3" t="n">
        <v>0</v>
      </c>
      <c r="O678" s="3" t="n">
        <v>1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1</v>
      </c>
      <c r="AB678" s="3" t="n">
        <v>0</v>
      </c>
      <c r="AC678" s="3" t="n">
        <v>0</v>
      </c>
      <c r="AD678" s="3" t="n">
        <v>1</v>
      </c>
      <c r="AE678" s="3" t="n">
        <v>0</v>
      </c>
      <c r="AF678" s="3" t="n">
        <v>0</v>
      </c>
      <c r="AG678" s="3" t="n">
        <v>0</v>
      </c>
      <c r="AH678" s="3" t="n">
        <v>1</v>
      </c>
      <c r="AI678" s="3" t="n">
        <v>0</v>
      </c>
      <c r="AJ678" s="4" t="n">
        <f aca="false">SUM(G678:AI678)</f>
        <v>8</v>
      </c>
      <c r="AK678" s="4" t="n">
        <f aca="false">ROUND(SUMPRODUCT(G678:AI678,Gene_Weights!$B$2:$AD$2),3)</f>
        <v>-4.25</v>
      </c>
      <c r="AL678" s="2" t="n">
        <v>11</v>
      </c>
      <c r="AM678" s="2" t="n">
        <v>7</v>
      </c>
      <c r="AN678" s="2" t="n">
        <v>63.64</v>
      </c>
      <c r="AO678" s="5" t="n">
        <v>58.19</v>
      </c>
      <c r="AP678" s="5" t="n">
        <v>59.74</v>
      </c>
      <c r="AQ678" s="5" t="n">
        <v>61.3</v>
      </c>
      <c r="AR678" s="5" t="n">
        <v>62.86</v>
      </c>
      <c r="AS678" s="5" t="n">
        <v>64.42</v>
      </c>
      <c r="AT678" s="5" t="n">
        <v>65.98</v>
      </c>
      <c r="AU678" s="5" t="n">
        <v>67.53</v>
      </c>
      <c r="AV678" s="5" t="s">
        <v>51</v>
      </c>
    </row>
    <row r="679" customFormat="false" ht="15" hidden="false" customHeight="false" outlineLevel="0" collapsed="false">
      <c r="A679" s="2" t="s">
        <v>168</v>
      </c>
      <c r="B679" s="2" t="n">
        <v>2011</v>
      </c>
      <c r="C679" s="2" t="s">
        <v>56</v>
      </c>
      <c r="D679" s="2" t="n">
        <v>0</v>
      </c>
      <c r="E679" s="2" t="n">
        <v>32</v>
      </c>
      <c r="F679" s="2" t="s">
        <v>50</v>
      </c>
      <c r="G679" s="3" t="n">
        <v>1</v>
      </c>
      <c r="H679" s="3" t="n">
        <v>1</v>
      </c>
      <c r="I679" s="3" t="n">
        <v>0</v>
      </c>
      <c r="J679" s="3" t="n">
        <v>1</v>
      </c>
      <c r="K679" s="3" t="n">
        <v>0</v>
      </c>
      <c r="L679" s="3" t="n">
        <v>0</v>
      </c>
      <c r="M679" s="3" t="n">
        <v>1</v>
      </c>
      <c r="N679" s="3" t="n">
        <v>0</v>
      </c>
      <c r="O679" s="3" t="n">
        <v>1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1</v>
      </c>
      <c r="AB679" s="3" t="n">
        <v>0</v>
      </c>
      <c r="AC679" s="3" t="n">
        <v>0</v>
      </c>
      <c r="AD679" s="3" t="n">
        <v>1</v>
      </c>
      <c r="AE679" s="3" t="n">
        <v>0</v>
      </c>
      <c r="AF679" s="3" t="n">
        <v>0</v>
      </c>
      <c r="AG679" s="3" t="n">
        <v>0</v>
      </c>
      <c r="AH679" s="3" t="n">
        <v>1</v>
      </c>
      <c r="AI679" s="3" t="n">
        <v>0</v>
      </c>
      <c r="AJ679" s="4" t="n">
        <f aca="false">SUM(G679:AI679)</f>
        <v>8</v>
      </c>
      <c r="AK679" s="4" t="n">
        <f aca="false">ROUND(SUMPRODUCT(G679:AI679,Gene_Weights!$B$2:$AD$2),3)</f>
        <v>-4.25</v>
      </c>
      <c r="AL679" s="2" t="n">
        <v>11</v>
      </c>
      <c r="AM679" s="2" t="n">
        <v>7</v>
      </c>
      <c r="AN679" s="2" t="n">
        <v>63.64</v>
      </c>
      <c r="AO679" s="5" t="n">
        <v>75.59</v>
      </c>
      <c r="AP679" s="5" t="n">
        <v>78.01</v>
      </c>
      <c r="AQ679" s="5" t="n">
        <v>80.42</v>
      </c>
      <c r="AR679" s="5" t="n">
        <v>82.83</v>
      </c>
      <c r="AS679" s="5" t="n">
        <v>85.24</v>
      </c>
      <c r="AT679" s="5" t="n">
        <v>87.66</v>
      </c>
      <c r="AU679" s="5" t="n">
        <v>90.07</v>
      </c>
      <c r="AV679" s="5" t="s">
        <v>51</v>
      </c>
    </row>
    <row r="680" customFormat="false" ht="15" hidden="false" customHeight="false" outlineLevel="0" collapsed="false">
      <c r="A680" s="2" t="s">
        <v>169</v>
      </c>
      <c r="B680" s="2" t="n">
        <v>2011</v>
      </c>
      <c r="C680" s="2" t="s">
        <v>49</v>
      </c>
      <c r="D680" s="2" t="n">
        <v>0</v>
      </c>
      <c r="E680" s="2" t="n">
        <v>4</v>
      </c>
      <c r="F680" s="2" t="s">
        <v>50</v>
      </c>
      <c r="G680" s="3" t="n">
        <v>0</v>
      </c>
      <c r="H680" s="3" t="n">
        <v>0</v>
      </c>
      <c r="I680" s="3" t="n">
        <v>0</v>
      </c>
      <c r="J680" s="3" t="n">
        <v>1</v>
      </c>
      <c r="K680" s="3" t="n">
        <v>1</v>
      </c>
      <c r="L680" s="3" t="n">
        <v>1</v>
      </c>
      <c r="M680" s="3" t="n">
        <v>0</v>
      </c>
      <c r="N680" s="3" t="n">
        <v>1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1</v>
      </c>
      <c r="U680" s="3" t="n">
        <v>0</v>
      </c>
      <c r="V680" s="3" t="n">
        <v>1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1</v>
      </c>
      <c r="AG680" s="3" t="n">
        <v>1</v>
      </c>
      <c r="AH680" s="3" t="n">
        <v>0</v>
      </c>
      <c r="AI680" s="3" t="n">
        <v>1</v>
      </c>
      <c r="AJ680" s="4" t="n">
        <f aca="false">SUM(G680:AI680)</f>
        <v>9</v>
      </c>
      <c r="AK680" s="4" t="n">
        <f aca="false">ROUND(SUMPRODUCT(G680:AI680,Gene_Weights!$B$2:$AD$2),3)</f>
        <v>-8.45</v>
      </c>
      <c r="AL680" s="2" t="n">
        <v>11</v>
      </c>
      <c r="AM680" s="2" t="n">
        <v>5</v>
      </c>
      <c r="AN680" s="2" t="n">
        <v>45.45</v>
      </c>
      <c r="AO680" s="5" t="n">
        <v>55.12</v>
      </c>
      <c r="AP680" s="5" t="n">
        <v>56.02</v>
      </c>
      <c r="AQ680" s="5" t="n">
        <v>56.92</v>
      </c>
      <c r="AR680" s="5" t="n">
        <v>57.82</v>
      </c>
      <c r="AS680" s="5" t="n">
        <v>58.72</v>
      </c>
      <c r="AT680" s="5" t="n">
        <v>59.62</v>
      </c>
      <c r="AU680" s="5" t="n">
        <v>60.52</v>
      </c>
      <c r="AV680" s="5" t="s">
        <v>51</v>
      </c>
    </row>
    <row r="681" customFormat="false" ht="15" hidden="false" customHeight="false" outlineLevel="0" collapsed="false">
      <c r="A681" s="2" t="s">
        <v>169</v>
      </c>
      <c r="B681" s="2" t="n">
        <v>2011</v>
      </c>
      <c r="C681" s="2" t="s">
        <v>52</v>
      </c>
      <c r="D681" s="2" t="n">
        <v>0</v>
      </c>
      <c r="E681" s="2" t="n">
        <v>2</v>
      </c>
      <c r="F681" s="2" t="s">
        <v>50</v>
      </c>
      <c r="G681" s="3" t="n">
        <v>0</v>
      </c>
      <c r="H681" s="3" t="n">
        <v>0</v>
      </c>
      <c r="I681" s="3" t="n">
        <v>0</v>
      </c>
      <c r="J681" s="3" t="n">
        <v>1</v>
      </c>
      <c r="K681" s="3" t="n">
        <v>1</v>
      </c>
      <c r="L681" s="3" t="n">
        <v>1</v>
      </c>
      <c r="M681" s="3" t="n">
        <v>0</v>
      </c>
      <c r="N681" s="3" t="n">
        <v>1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1</v>
      </c>
      <c r="U681" s="3" t="n">
        <v>0</v>
      </c>
      <c r="V681" s="3" t="n">
        <v>1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1</v>
      </c>
      <c r="AG681" s="3" t="n">
        <v>1</v>
      </c>
      <c r="AH681" s="3" t="n">
        <v>0</v>
      </c>
      <c r="AI681" s="3" t="n">
        <v>1</v>
      </c>
      <c r="AJ681" s="4" t="n">
        <f aca="false">SUM(G681:AI681)</f>
        <v>9</v>
      </c>
      <c r="AK681" s="4" t="n">
        <f aca="false">ROUND(SUMPRODUCT(G681:AI681,Gene_Weights!$B$2:$AD$2),3)</f>
        <v>-8.45</v>
      </c>
      <c r="AL681" s="2" t="n">
        <v>11</v>
      </c>
      <c r="AM681" s="2" t="n">
        <v>4</v>
      </c>
      <c r="AN681" s="2" t="n">
        <v>36.36</v>
      </c>
      <c r="AO681" s="5" t="n">
        <v>64.53</v>
      </c>
      <c r="AP681" s="5" t="n">
        <v>66.13</v>
      </c>
      <c r="AQ681" s="5" t="n">
        <v>67.73</v>
      </c>
      <c r="AR681" s="5" t="n">
        <v>69.33</v>
      </c>
      <c r="AS681" s="5" t="n">
        <v>70.93</v>
      </c>
      <c r="AT681" s="5" t="n">
        <v>72.53</v>
      </c>
      <c r="AU681" s="5" t="n">
        <v>74.13</v>
      </c>
      <c r="AV681" s="5" t="s">
        <v>51</v>
      </c>
    </row>
    <row r="682" customFormat="false" ht="15" hidden="false" customHeight="false" outlineLevel="0" collapsed="false">
      <c r="A682" s="2" t="s">
        <v>169</v>
      </c>
      <c r="B682" s="2" t="n">
        <v>2011</v>
      </c>
      <c r="C682" s="2" t="s">
        <v>53</v>
      </c>
      <c r="D682" s="2" t="n">
        <v>0</v>
      </c>
      <c r="E682" s="2" t="n">
        <v>32</v>
      </c>
      <c r="F682" s="2" t="s">
        <v>50</v>
      </c>
      <c r="G682" s="3" t="n">
        <v>0</v>
      </c>
      <c r="H682" s="3" t="n">
        <v>0</v>
      </c>
      <c r="I682" s="3" t="n">
        <v>0</v>
      </c>
      <c r="J682" s="3" t="n">
        <v>1</v>
      </c>
      <c r="K682" s="3" t="n">
        <v>1</v>
      </c>
      <c r="L682" s="3" t="n">
        <v>1</v>
      </c>
      <c r="M682" s="3" t="n">
        <v>0</v>
      </c>
      <c r="N682" s="3" t="n">
        <v>1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1</v>
      </c>
      <c r="U682" s="3" t="n">
        <v>0</v>
      </c>
      <c r="V682" s="3" t="n">
        <v>1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1</v>
      </c>
      <c r="AG682" s="3" t="n">
        <v>1</v>
      </c>
      <c r="AH682" s="3" t="n">
        <v>0</v>
      </c>
      <c r="AI682" s="3" t="n">
        <v>1</v>
      </c>
      <c r="AJ682" s="4" t="n">
        <f aca="false">SUM(G682:AI682)</f>
        <v>9</v>
      </c>
      <c r="AK682" s="4" t="n">
        <f aca="false">ROUND(SUMPRODUCT(G682:AI682,Gene_Weights!$B$2:$AD$2),3)</f>
        <v>-8.45</v>
      </c>
      <c r="AL682" s="2" t="n">
        <v>11</v>
      </c>
      <c r="AM682" s="2" t="n">
        <v>6</v>
      </c>
      <c r="AN682" s="2" t="n">
        <v>54.55</v>
      </c>
      <c r="AO682" s="5" t="n">
        <v>52.86</v>
      </c>
      <c r="AP682" s="5" t="n">
        <v>53.65</v>
      </c>
      <c r="AQ682" s="5" t="n">
        <v>54.45</v>
      </c>
      <c r="AR682" s="5" t="n">
        <v>55.24</v>
      </c>
      <c r="AS682" s="5" t="n">
        <v>56.03</v>
      </c>
      <c r="AT682" s="5" t="n">
        <v>56.83</v>
      </c>
      <c r="AU682" s="5" t="n">
        <v>57.62</v>
      </c>
      <c r="AV682" s="5" t="s">
        <v>51</v>
      </c>
    </row>
    <row r="683" customFormat="false" ht="15" hidden="false" customHeight="false" outlineLevel="0" collapsed="false">
      <c r="A683" s="2" t="s">
        <v>169</v>
      </c>
      <c r="B683" s="2" t="n">
        <v>2011</v>
      </c>
      <c r="C683" s="2" t="s">
        <v>54</v>
      </c>
      <c r="D683" s="2" t="n">
        <v>1</v>
      </c>
      <c r="E683" s="2" t="n">
        <v>32</v>
      </c>
      <c r="F683" s="2" t="s">
        <v>50</v>
      </c>
      <c r="G683" s="3" t="n">
        <v>0</v>
      </c>
      <c r="H683" s="3" t="n">
        <v>0</v>
      </c>
      <c r="I683" s="3" t="n">
        <v>0</v>
      </c>
      <c r="J683" s="3" t="n">
        <v>1</v>
      </c>
      <c r="K683" s="3" t="n">
        <v>1</v>
      </c>
      <c r="L683" s="3" t="n">
        <v>1</v>
      </c>
      <c r="M683" s="3" t="n">
        <v>0</v>
      </c>
      <c r="N683" s="3" t="n">
        <v>1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1</v>
      </c>
      <c r="U683" s="3" t="n">
        <v>0</v>
      </c>
      <c r="V683" s="3" t="n">
        <v>1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1</v>
      </c>
      <c r="AG683" s="3" t="n">
        <v>1</v>
      </c>
      <c r="AH683" s="3" t="n">
        <v>0</v>
      </c>
      <c r="AI683" s="3" t="n">
        <v>1</v>
      </c>
      <c r="AJ683" s="4" t="n">
        <f aca="false">SUM(G683:AI683)</f>
        <v>9</v>
      </c>
      <c r="AK683" s="4" t="n">
        <f aca="false">ROUND(SUMPRODUCT(G683:AI683,Gene_Weights!$B$2:$AD$2),3)</f>
        <v>-8.45</v>
      </c>
      <c r="AL683" s="2" t="n">
        <v>11</v>
      </c>
      <c r="AM683" s="2" t="n">
        <v>4</v>
      </c>
      <c r="AN683" s="2" t="n">
        <v>36.36</v>
      </c>
      <c r="AO683" s="5" t="n">
        <v>81.84</v>
      </c>
      <c r="AP683" s="5" t="n">
        <v>84.45</v>
      </c>
      <c r="AQ683" s="5" t="n">
        <v>87.06</v>
      </c>
      <c r="AR683" s="5" t="n">
        <v>89.67</v>
      </c>
      <c r="AS683" s="5" t="n">
        <v>92.27</v>
      </c>
      <c r="AT683" s="5" t="n">
        <v>94.88</v>
      </c>
      <c r="AU683" s="5" t="n">
        <v>97.49</v>
      </c>
      <c r="AV683" s="5" t="s">
        <v>51</v>
      </c>
    </row>
    <row r="684" customFormat="false" ht="15" hidden="false" customHeight="false" outlineLevel="0" collapsed="false">
      <c r="A684" s="2" t="s">
        <v>169</v>
      </c>
      <c r="B684" s="2" t="n">
        <v>2011</v>
      </c>
      <c r="C684" s="2" t="s">
        <v>55</v>
      </c>
      <c r="D684" s="2" t="n">
        <v>0</v>
      </c>
      <c r="E684" s="2" t="n">
        <v>4</v>
      </c>
      <c r="F684" s="2" t="s">
        <v>50</v>
      </c>
      <c r="G684" s="3" t="n">
        <v>0</v>
      </c>
      <c r="H684" s="3" t="n">
        <v>0</v>
      </c>
      <c r="I684" s="3" t="n">
        <v>0</v>
      </c>
      <c r="J684" s="3" t="n">
        <v>1</v>
      </c>
      <c r="K684" s="3" t="n">
        <v>1</v>
      </c>
      <c r="L684" s="3" t="n">
        <v>1</v>
      </c>
      <c r="M684" s="3" t="n">
        <v>0</v>
      </c>
      <c r="N684" s="3" t="n">
        <v>1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1</v>
      </c>
      <c r="U684" s="3" t="n">
        <v>0</v>
      </c>
      <c r="V684" s="3" t="n">
        <v>1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1</v>
      </c>
      <c r="AG684" s="3" t="n">
        <v>1</v>
      </c>
      <c r="AH684" s="3" t="n">
        <v>0</v>
      </c>
      <c r="AI684" s="3" t="n">
        <v>1</v>
      </c>
      <c r="AJ684" s="4" t="n">
        <f aca="false">SUM(G684:AI684)</f>
        <v>9</v>
      </c>
      <c r="AK684" s="4" t="n">
        <f aca="false">ROUND(SUMPRODUCT(G684:AI684,Gene_Weights!$B$2:$AD$2),3)</f>
        <v>-8.45</v>
      </c>
      <c r="AL684" s="2" t="n">
        <v>11</v>
      </c>
      <c r="AM684" s="2" t="n">
        <v>7</v>
      </c>
      <c r="AN684" s="2" t="n">
        <v>63.64</v>
      </c>
      <c r="AO684" s="5" t="n">
        <v>58.19</v>
      </c>
      <c r="AP684" s="5" t="n">
        <v>59.74</v>
      </c>
      <c r="AQ684" s="5" t="n">
        <v>61.3</v>
      </c>
      <c r="AR684" s="5" t="n">
        <v>62.86</v>
      </c>
      <c r="AS684" s="5" t="n">
        <v>64.42</v>
      </c>
      <c r="AT684" s="5" t="n">
        <v>65.98</v>
      </c>
      <c r="AU684" s="5" t="n">
        <v>67.53</v>
      </c>
      <c r="AV684" s="5" t="s">
        <v>51</v>
      </c>
    </row>
    <row r="685" customFormat="false" ht="15" hidden="false" customHeight="false" outlineLevel="0" collapsed="false">
      <c r="A685" s="2" t="s">
        <v>169</v>
      </c>
      <c r="B685" s="2" t="n">
        <v>2011</v>
      </c>
      <c r="C685" s="2" t="s">
        <v>56</v>
      </c>
      <c r="D685" s="2" t="n">
        <v>0</v>
      </c>
      <c r="E685" s="2" t="n">
        <v>2</v>
      </c>
      <c r="F685" s="2" t="s">
        <v>50</v>
      </c>
      <c r="G685" s="3" t="n">
        <v>0</v>
      </c>
      <c r="H685" s="3" t="n">
        <v>0</v>
      </c>
      <c r="I685" s="3" t="n">
        <v>0</v>
      </c>
      <c r="J685" s="3" t="n">
        <v>1</v>
      </c>
      <c r="K685" s="3" t="n">
        <v>1</v>
      </c>
      <c r="L685" s="3" t="n">
        <v>1</v>
      </c>
      <c r="M685" s="3" t="n">
        <v>0</v>
      </c>
      <c r="N685" s="3" t="n">
        <v>1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1</v>
      </c>
      <c r="U685" s="3" t="n">
        <v>0</v>
      </c>
      <c r="V685" s="3" t="n">
        <v>1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1</v>
      </c>
      <c r="AG685" s="3" t="n">
        <v>1</v>
      </c>
      <c r="AH685" s="3" t="n">
        <v>0</v>
      </c>
      <c r="AI685" s="3" t="n">
        <v>1</v>
      </c>
      <c r="AJ685" s="4" t="n">
        <f aca="false">SUM(G685:AI685)</f>
        <v>9</v>
      </c>
      <c r="AK685" s="4" t="n">
        <f aca="false">ROUND(SUMPRODUCT(G685:AI685,Gene_Weights!$B$2:$AD$2),3)</f>
        <v>-8.45</v>
      </c>
      <c r="AL685" s="2" t="n">
        <v>11</v>
      </c>
      <c r="AM685" s="2" t="n">
        <v>7</v>
      </c>
      <c r="AN685" s="2" t="n">
        <v>63.64</v>
      </c>
      <c r="AO685" s="5" t="n">
        <v>75.59</v>
      </c>
      <c r="AP685" s="5" t="n">
        <v>78.01</v>
      </c>
      <c r="AQ685" s="5" t="n">
        <v>80.42</v>
      </c>
      <c r="AR685" s="5" t="n">
        <v>82.83</v>
      </c>
      <c r="AS685" s="5" t="n">
        <v>85.24</v>
      </c>
      <c r="AT685" s="5" t="n">
        <v>87.66</v>
      </c>
      <c r="AU685" s="5" t="n">
        <v>90.07</v>
      </c>
      <c r="AV685" s="5" t="s">
        <v>51</v>
      </c>
    </row>
    <row r="686" customFormat="false" ht="15" hidden="false" customHeight="false" outlineLevel="0" collapsed="false">
      <c r="A686" s="2" t="s">
        <v>170</v>
      </c>
      <c r="B686" s="2" t="n">
        <v>2011</v>
      </c>
      <c r="C686" s="2" t="s">
        <v>49</v>
      </c>
      <c r="D686" s="2" t="n">
        <v>1</v>
      </c>
      <c r="E686" s="2" t="n">
        <v>4</v>
      </c>
      <c r="F686" s="2" t="s">
        <v>50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1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1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1</v>
      </c>
      <c r="Z686" s="3" t="n">
        <v>1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1</v>
      </c>
      <c r="AJ686" s="4" t="n">
        <f aca="false">SUM(G686:AI686)</f>
        <v>5</v>
      </c>
      <c r="AK686" s="4" t="n">
        <f aca="false">ROUND(SUMPRODUCT(G686:AI686,Gene_Weights!$B$2:$AD$2),3)</f>
        <v>-5.51</v>
      </c>
      <c r="AL686" s="2" t="n">
        <v>11</v>
      </c>
      <c r="AM686" s="2" t="n">
        <v>5</v>
      </c>
      <c r="AN686" s="2" t="n">
        <v>45.45</v>
      </c>
      <c r="AO686" s="5" t="n">
        <v>55.12</v>
      </c>
      <c r="AP686" s="5" t="n">
        <v>56.02</v>
      </c>
      <c r="AQ686" s="5" t="n">
        <v>56.92</v>
      </c>
      <c r="AR686" s="5" t="n">
        <v>57.82</v>
      </c>
      <c r="AS686" s="5" t="n">
        <v>58.72</v>
      </c>
      <c r="AT686" s="5" t="n">
        <v>59.62</v>
      </c>
      <c r="AU686" s="5" t="n">
        <v>60.52</v>
      </c>
      <c r="AV686" s="5" t="s">
        <v>51</v>
      </c>
    </row>
    <row r="687" customFormat="false" ht="15" hidden="false" customHeight="false" outlineLevel="0" collapsed="false">
      <c r="A687" s="2" t="s">
        <v>170</v>
      </c>
      <c r="B687" s="2" t="n">
        <v>2011</v>
      </c>
      <c r="C687" s="2" t="s">
        <v>52</v>
      </c>
      <c r="D687" s="2" t="n">
        <v>1</v>
      </c>
      <c r="E687" s="2" t="n">
        <v>2</v>
      </c>
      <c r="F687" s="2" t="s">
        <v>50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1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1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1</v>
      </c>
      <c r="Z687" s="3" t="n">
        <v>1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1</v>
      </c>
      <c r="AJ687" s="4" t="n">
        <f aca="false">SUM(G687:AI687)</f>
        <v>5</v>
      </c>
      <c r="AK687" s="4" t="n">
        <f aca="false">ROUND(SUMPRODUCT(G687:AI687,Gene_Weights!$B$2:$AD$2),3)</f>
        <v>-5.51</v>
      </c>
      <c r="AL687" s="2" t="n">
        <v>11</v>
      </c>
      <c r="AM687" s="2" t="n">
        <v>4</v>
      </c>
      <c r="AN687" s="2" t="n">
        <v>36.36</v>
      </c>
      <c r="AO687" s="5" t="n">
        <v>64.53</v>
      </c>
      <c r="AP687" s="5" t="n">
        <v>66.13</v>
      </c>
      <c r="AQ687" s="5" t="n">
        <v>67.73</v>
      </c>
      <c r="AR687" s="5" t="n">
        <v>69.33</v>
      </c>
      <c r="AS687" s="5" t="n">
        <v>70.93</v>
      </c>
      <c r="AT687" s="5" t="n">
        <v>72.53</v>
      </c>
      <c r="AU687" s="5" t="n">
        <v>74.13</v>
      </c>
      <c r="AV687" s="5" t="s">
        <v>51</v>
      </c>
    </row>
    <row r="688" customFormat="false" ht="15" hidden="false" customHeight="false" outlineLevel="0" collapsed="false">
      <c r="A688" s="2" t="s">
        <v>170</v>
      </c>
      <c r="B688" s="2" t="n">
        <v>2011</v>
      </c>
      <c r="C688" s="2" t="s">
        <v>53</v>
      </c>
      <c r="D688" s="2" t="n">
        <v>1</v>
      </c>
      <c r="E688" s="2" t="n">
        <v>16</v>
      </c>
      <c r="F688" s="2" t="s">
        <v>50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1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1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1</v>
      </c>
      <c r="Z688" s="3" t="n">
        <v>1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1</v>
      </c>
      <c r="AJ688" s="4" t="n">
        <f aca="false">SUM(G688:AI688)</f>
        <v>5</v>
      </c>
      <c r="AK688" s="4" t="n">
        <f aca="false">ROUND(SUMPRODUCT(G688:AI688,Gene_Weights!$B$2:$AD$2),3)</f>
        <v>-5.51</v>
      </c>
      <c r="AL688" s="2" t="n">
        <v>11</v>
      </c>
      <c r="AM688" s="2" t="n">
        <v>6</v>
      </c>
      <c r="AN688" s="2" t="n">
        <v>54.55</v>
      </c>
      <c r="AO688" s="5" t="n">
        <v>52.86</v>
      </c>
      <c r="AP688" s="5" t="n">
        <v>53.65</v>
      </c>
      <c r="AQ688" s="5" t="n">
        <v>54.45</v>
      </c>
      <c r="AR688" s="5" t="n">
        <v>55.24</v>
      </c>
      <c r="AS688" s="5" t="n">
        <v>56.03</v>
      </c>
      <c r="AT688" s="5" t="n">
        <v>56.83</v>
      </c>
      <c r="AU688" s="5" t="n">
        <v>57.62</v>
      </c>
      <c r="AV688" s="5" t="s">
        <v>51</v>
      </c>
    </row>
    <row r="689" customFormat="false" ht="15" hidden="false" customHeight="false" outlineLevel="0" collapsed="false">
      <c r="A689" s="2" t="s">
        <v>170</v>
      </c>
      <c r="B689" s="2" t="n">
        <v>2011</v>
      </c>
      <c r="C689" s="2" t="s">
        <v>54</v>
      </c>
      <c r="D689" s="2" t="n">
        <v>0</v>
      </c>
      <c r="E689" s="2" t="n">
        <v>2</v>
      </c>
      <c r="F689" s="2" t="s">
        <v>50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1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1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1</v>
      </c>
      <c r="Z689" s="3" t="n">
        <v>1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1</v>
      </c>
      <c r="AJ689" s="4" t="n">
        <f aca="false">SUM(G689:AI689)</f>
        <v>5</v>
      </c>
      <c r="AK689" s="4" t="n">
        <f aca="false">ROUND(SUMPRODUCT(G689:AI689,Gene_Weights!$B$2:$AD$2),3)</f>
        <v>-5.51</v>
      </c>
      <c r="AL689" s="2" t="n">
        <v>11</v>
      </c>
      <c r="AM689" s="2" t="n">
        <v>4</v>
      </c>
      <c r="AN689" s="2" t="n">
        <v>36.36</v>
      </c>
      <c r="AO689" s="5" t="n">
        <v>81.84</v>
      </c>
      <c r="AP689" s="5" t="n">
        <v>84.45</v>
      </c>
      <c r="AQ689" s="5" t="n">
        <v>87.06</v>
      </c>
      <c r="AR689" s="5" t="n">
        <v>89.67</v>
      </c>
      <c r="AS689" s="5" t="n">
        <v>92.27</v>
      </c>
      <c r="AT689" s="5" t="n">
        <v>94.88</v>
      </c>
      <c r="AU689" s="5" t="n">
        <v>97.49</v>
      </c>
      <c r="AV689" s="5" t="s">
        <v>51</v>
      </c>
    </row>
    <row r="690" customFormat="false" ht="15" hidden="false" customHeight="false" outlineLevel="0" collapsed="false">
      <c r="A690" s="2" t="s">
        <v>170</v>
      </c>
      <c r="B690" s="2" t="n">
        <v>2011</v>
      </c>
      <c r="C690" s="2" t="s">
        <v>55</v>
      </c>
      <c r="D690" s="2" t="n">
        <v>1</v>
      </c>
      <c r="E690" s="2" t="n">
        <v>16</v>
      </c>
      <c r="F690" s="2" t="s">
        <v>50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1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1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1</v>
      </c>
      <c r="Z690" s="3" t="n">
        <v>1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1</v>
      </c>
      <c r="AJ690" s="4" t="n">
        <f aca="false">SUM(G690:AI690)</f>
        <v>5</v>
      </c>
      <c r="AK690" s="4" t="n">
        <f aca="false">ROUND(SUMPRODUCT(G690:AI690,Gene_Weights!$B$2:$AD$2),3)</f>
        <v>-5.51</v>
      </c>
      <c r="AL690" s="2" t="n">
        <v>11</v>
      </c>
      <c r="AM690" s="2" t="n">
        <v>7</v>
      </c>
      <c r="AN690" s="2" t="n">
        <v>63.64</v>
      </c>
      <c r="AO690" s="5" t="n">
        <v>58.19</v>
      </c>
      <c r="AP690" s="5" t="n">
        <v>59.74</v>
      </c>
      <c r="AQ690" s="5" t="n">
        <v>61.3</v>
      </c>
      <c r="AR690" s="5" t="n">
        <v>62.86</v>
      </c>
      <c r="AS690" s="5" t="n">
        <v>64.42</v>
      </c>
      <c r="AT690" s="5" t="n">
        <v>65.98</v>
      </c>
      <c r="AU690" s="5" t="n">
        <v>67.53</v>
      </c>
      <c r="AV690" s="5" t="s">
        <v>51</v>
      </c>
    </row>
    <row r="691" customFormat="false" ht="15" hidden="false" customHeight="false" outlineLevel="0" collapsed="false">
      <c r="A691" s="2" t="s">
        <v>170</v>
      </c>
      <c r="B691" s="2" t="n">
        <v>2011</v>
      </c>
      <c r="C691" s="2" t="s">
        <v>56</v>
      </c>
      <c r="D691" s="2" t="n">
        <v>1</v>
      </c>
      <c r="E691" s="2" t="n">
        <v>2</v>
      </c>
      <c r="F691" s="2" t="s">
        <v>50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1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1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1</v>
      </c>
      <c r="Z691" s="3" t="n">
        <v>1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1</v>
      </c>
      <c r="AJ691" s="4" t="n">
        <f aca="false">SUM(G691:AI691)</f>
        <v>5</v>
      </c>
      <c r="AK691" s="4" t="n">
        <f aca="false">ROUND(SUMPRODUCT(G691:AI691,Gene_Weights!$B$2:$AD$2),3)</f>
        <v>-5.51</v>
      </c>
      <c r="AL691" s="2" t="n">
        <v>11</v>
      </c>
      <c r="AM691" s="2" t="n">
        <v>7</v>
      </c>
      <c r="AN691" s="2" t="n">
        <v>63.64</v>
      </c>
      <c r="AO691" s="5" t="n">
        <v>75.59</v>
      </c>
      <c r="AP691" s="5" t="n">
        <v>78.01</v>
      </c>
      <c r="AQ691" s="5" t="n">
        <v>80.42</v>
      </c>
      <c r="AR691" s="5" t="n">
        <v>82.83</v>
      </c>
      <c r="AS691" s="5" t="n">
        <v>85.24</v>
      </c>
      <c r="AT691" s="5" t="n">
        <v>87.66</v>
      </c>
      <c r="AU691" s="5" t="n">
        <v>90.07</v>
      </c>
      <c r="AV691" s="5" t="s">
        <v>51</v>
      </c>
    </row>
    <row r="692" customFormat="false" ht="15" hidden="false" customHeight="false" outlineLevel="0" collapsed="false">
      <c r="A692" s="2" t="s">
        <v>171</v>
      </c>
      <c r="B692" s="2" t="n">
        <v>2000</v>
      </c>
      <c r="C692" s="2" t="s">
        <v>49</v>
      </c>
      <c r="D692" s="2" t="n">
        <v>0</v>
      </c>
      <c r="E692" s="2" t="n">
        <v>2</v>
      </c>
      <c r="F692" s="2" t="s">
        <v>50</v>
      </c>
      <c r="G692" s="3" t="n">
        <v>0</v>
      </c>
      <c r="H692" s="3" t="n">
        <v>0</v>
      </c>
      <c r="I692" s="3" t="n">
        <v>1</v>
      </c>
      <c r="J692" s="3" t="n">
        <v>0</v>
      </c>
      <c r="K692" s="3" t="n">
        <v>1</v>
      </c>
      <c r="L692" s="3" t="n">
        <v>1</v>
      </c>
      <c r="M692" s="3" t="n">
        <v>1</v>
      </c>
      <c r="N692" s="3" t="n">
        <v>1</v>
      </c>
      <c r="O692" s="3" t="n">
        <v>0</v>
      </c>
      <c r="P692" s="3" t="n">
        <v>1</v>
      </c>
      <c r="Q692" s="3" t="n">
        <v>0</v>
      </c>
      <c r="R692" s="3" t="n">
        <v>0</v>
      </c>
      <c r="S692" s="3" t="n">
        <v>0</v>
      </c>
      <c r="T692" s="3" t="n">
        <v>1</v>
      </c>
      <c r="U692" s="3" t="n">
        <v>0</v>
      </c>
      <c r="V692" s="3" t="n">
        <v>0</v>
      </c>
      <c r="W692" s="3" t="n">
        <v>1</v>
      </c>
      <c r="X692" s="3" t="n">
        <v>0</v>
      </c>
      <c r="Y692" s="3" t="n">
        <v>1</v>
      </c>
      <c r="Z692" s="3" t="n">
        <v>1</v>
      </c>
      <c r="AA692" s="3" t="n">
        <v>0</v>
      </c>
      <c r="AB692" s="3" t="n">
        <v>0</v>
      </c>
      <c r="AC692" s="3" t="n">
        <v>0</v>
      </c>
      <c r="AD692" s="3" t="n">
        <v>1</v>
      </c>
      <c r="AE692" s="3" t="n">
        <v>0</v>
      </c>
      <c r="AF692" s="3" t="n">
        <v>0</v>
      </c>
      <c r="AG692" s="3" t="n">
        <v>0</v>
      </c>
      <c r="AH692" s="3" t="n">
        <v>1</v>
      </c>
      <c r="AI692" s="3" t="n">
        <v>0</v>
      </c>
      <c r="AJ692" s="4" t="n">
        <f aca="false">SUM(G692:AI692)</f>
        <v>12</v>
      </c>
      <c r="AK692" s="4" t="n">
        <f aca="false">ROUND(SUMPRODUCT(G692:AI692,Gene_Weights!$B$2:$AD$2),3)</f>
        <v>-9.07</v>
      </c>
      <c r="AL692" s="2" t="n">
        <v>8</v>
      </c>
      <c r="AM692" s="2" t="n">
        <v>2</v>
      </c>
      <c r="AN692" s="2" t="n">
        <v>25</v>
      </c>
      <c r="AO692" s="5" t="n">
        <v>55.12</v>
      </c>
      <c r="AP692" s="5" t="n">
        <v>56.02</v>
      </c>
      <c r="AQ692" s="5" t="n">
        <v>56.92</v>
      </c>
      <c r="AR692" s="5" t="n">
        <v>57.82</v>
      </c>
      <c r="AS692" s="5" t="n">
        <v>58.72</v>
      </c>
      <c r="AT692" s="5" t="n">
        <v>59.62</v>
      </c>
      <c r="AU692" s="5" t="n">
        <v>60.52</v>
      </c>
      <c r="AV692" s="5" t="s">
        <v>51</v>
      </c>
    </row>
    <row r="693" customFormat="false" ht="15" hidden="false" customHeight="false" outlineLevel="0" collapsed="false">
      <c r="A693" s="2" t="s">
        <v>171</v>
      </c>
      <c r="B693" s="2" t="n">
        <v>2000</v>
      </c>
      <c r="C693" s="2" t="s">
        <v>52</v>
      </c>
      <c r="D693" s="2" t="n">
        <v>1</v>
      </c>
      <c r="E693" s="2" t="n">
        <v>4</v>
      </c>
      <c r="F693" s="2" t="s">
        <v>50</v>
      </c>
      <c r="G693" s="3" t="n">
        <v>0</v>
      </c>
      <c r="H693" s="3" t="n">
        <v>0</v>
      </c>
      <c r="I693" s="3" t="n">
        <v>1</v>
      </c>
      <c r="J693" s="3" t="n">
        <v>0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0</v>
      </c>
      <c r="P693" s="3" t="n">
        <v>1</v>
      </c>
      <c r="Q693" s="3" t="n">
        <v>0</v>
      </c>
      <c r="R693" s="3" t="n">
        <v>0</v>
      </c>
      <c r="S693" s="3" t="n">
        <v>0</v>
      </c>
      <c r="T693" s="3" t="n">
        <v>1</v>
      </c>
      <c r="U693" s="3" t="n">
        <v>0</v>
      </c>
      <c r="V693" s="3" t="n">
        <v>0</v>
      </c>
      <c r="W693" s="3" t="n">
        <v>1</v>
      </c>
      <c r="X693" s="3" t="n">
        <v>0</v>
      </c>
      <c r="Y693" s="3" t="n">
        <v>1</v>
      </c>
      <c r="Z693" s="3" t="n">
        <v>1</v>
      </c>
      <c r="AA693" s="3" t="n">
        <v>0</v>
      </c>
      <c r="AB693" s="3" t="n">
        <v>0</v>
      </c>
      <c r="AC693" s="3" t="n">
        <v>0</v>
      </c>
      <c r="AD693" s="3" t="n">
        <v>1</v>
      </c>
      <c r="AE693" s="3" t="n">
        <v>0</v>
      </c>
      <c r="AF693" s="3" t="n">
        <v>0</v>
      </c>
      <c r="AG693" s="3" t="n">
        <v>0</v>
      </c>
      <c r="AH693" s="3" t="n">
        <v>1</v>
      </c>
      <c r="AI693" s="3" t="n">
        <v>0</v>
      </c>
      <c r="AJ693" s="4" t="n">
        <f aca="false">SUM(G693:AI693)</f>
        <v>12</v>
      </c>
      <c r="AK693" s="4" t="n">
        <f aca="false">ROUND(SUMPRODUCT(G693:AI693,Gene_Weights!$B$2:$AD$2),3)</f>
        <v>-9.07</v>
      </c>
      <c r="AL693" s="2" t="n">
        <v>8</v>
      </c>
      <c r="AM693" s="2" t="n">
        <v>2</v>
      </c>
      <c r="AN693" s="2" t="n">
        <v>25</v>
      </c>
      <c r="AO693" s="5" t="n">
        <v>64.53</v>
      </c>
      <c r="AP693" s="5" t="n">
        <v>66.13</v>
      </c>
      <c r="AQ693" s="5" t="n">
        <v>67.73</v>
      </c>
      <c r="AR693" s="5" t="n">
        <v>69.33</v>
      </c>
      <c r="AS693" s="5" t="n">
        <v>70.93</v>
      </c>
      <c r="AT693" s="5" t="n">
        <v>72.53</v>
      </c>
      <c r="AU693" s="5" t="n">
        <v>74.13</v>
      </c>
      <c r="AV693" s="5" t="s">
        <v>51</v>
      </c>
    </row>
    <row r="694" customFormat="false" ht="15" hidden="false" customHeight="false" outlineLevel="0" collapsed="false">
      <c r="A694" s="2" t="s">
        <v>171</v>
      </c>
      <c r="B694" s="2" t="n">
        <v>2000</v>
      </c>
      <c r="C694" s="2" t="s">
        <v>53</v>
      </c>
      <c r="D694" s="2" t="n">
        <v>0</v>
      </c>
      <c r="E694" s="2" t="n">
        <v>4</v>
      </c>
      <c r="F694" s="2" t="s">
        <v>50</v>
      </c>
      <c r="G694" s="3" t="n">
        <v>0</v>
      </c>
      <c r="H694" s="3" t="n">
        <v>0</v>
      </c>
      <c r="I694" s="3" t="n">
        <v>1</v>
      </c>
      <c r="J694" s="3" t="n">
        <v>0</v>
      </c>
      <c r="K694" s="3" t="n">
        <v>1</v>
      </c>
      <c r="L694" s="3" t="n">
        <v>1</v>
      </c>
      <c r="M694" s="3" t="n">
        <v>1</v>
      </c>
      <c r="N694" s="3" t="n">
        <v>1</v>
      </c>
      <c r="O694" s="3" t="n">
        <v>0</v>
      </c>
      <c r="P694" s="3" t="n">
        <v>1</v>
      </c>
      <c r="Q694" s="3" t="n">
        <v>0</v>
      </c>
      <c r="R694" s="3" t="n">
        <v>0</v>
      </c>
      <c r="S694" s="3" t="n">
        <v>0</v>
      </c>
      <c r="T694" s="3" t="n">
        <v>1</v>
      </c>
      <c r="U694" s="3" t="n">
        <v>0</v>
      </c>
      <c r="V694" s="3" t="n">
        <v>0</v>
      </c>
      <c r="W694" s="3" t="n">
        <v>1</v>
      </c>
      <c r="X694" s="3" t="n">
        <v>0</v>
      </c>
      <c r="Y694" s="3" t="n">
        <v>1</v>
      </c>
      <c r="Z694" s="3" t="n">
        <v>1</v>
      </c>
      <c r="AA694" s="3" t="n">
        <v>0</v>
      </c>
      <c r="AB694" s="3" t="n">
        <v>0</v>
      </c>
      <c r="AC694" s="3" t="n">
        <v>0</v>
      </c>
      <c r="AD694" s="3" t="n">
        <v>1</v>
      </c>
      <c r="AE694" s="3" t="n">
        <v>0</v>
      </c>
      <c r="AF694" s="3" t="n">
        <v>0</v>
      </c>
      <c r="AG694" s="3" t="n">
        <v>0</v>
      </c>
      <c r="AH694" s="3" t="n">
        <v>1</v>
      </c>
      <c r="AI694" s="3" t="n">
        <v>0</v>
      </c>
      <c r="AJ694" s="4" t="n">
        <f aca="false">SUM(G694:AI694)</f>
        <v>12</v>
      </c>
      <c r="AK694" s="4" t="n">
        <f aca="false">ROUND(SUMPRODUCT(G694:AI694,Gene_Weights!$B$2:$AD$2),3)</f>
        <v>-9.07</v>
      </c>
      <c r="AL694" s="2" t="n">
        <v>8</v>
      </c>
      <c r="AM694" s="2" t="n">
        <v>1</v>
      </c>
      <c r="AN694" s="2" t="n">
        <v>12.5</v>
      </c>
      <c r="AO694" s="5" t="n">
        <v>52.86</v>
      </c>
      <c r="AP694" s="5" t="n">
        <v>53.65</v>
      </c>
      <c r="AQ694" s="5" t="n">
        <v>54.45</v>
      </c>
      <c r="AR694" s="5" t="n">
        <v>55.24</v>
      </c>
      <c r="AS694" s="5" t="n">
        <v>56.03</v>
      </c>
      <c r="AT694" s="5" t="n">
        <v>56.83</v>
      </c>
      <c r="AU694" s="5" t="n">
        <v>57.62</v>
      </c>
      <c r="AV694" s="5" t="s">
        <v>51</v>
      </c>
    </row>
    <row r="695" customFormat="false" ht="15" hidden="false" customHeight="false" outlineLevel="0" collapsed="false">
      <c r="A695" s="2" t="s">
        <v>171</v>
      </c>
      <c r="B695" s="2" t="n">
        <v>2000</v>
      </c>
      <c r="C695" s="2" t="s">
        <v>54</v>
      </c>
      <c r="D695" s="2" t="n">
        <v>0</v>
      </c>
      <c r="E695" s="2" t="n">
        <v>32</v>
      </c>
      <c r="F695" s="2" t="s">
        <v>50</v>
      </c>
      <c r="G695" s="3" t="n">
        <v>0</v>
      </c>
      <c r="H695" s="3" t="n">
        <v>0</v>
      </c>
      <c r="I695" s="3" t="n">
        <v>1</v>
      </c>
      <c r="J695" s="3" t="n">
        <v>0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0</v>
      </c>
      <c r="P695" s="3" t="n">
        <v>1</v>
      </c>
      <c r="Q695" s="3" t="n">
        <v>0</v>
      </c>
      <c r="R695" s="3" t="n">
        <v>0</v>
      </c>
      <c r="S695" s="3" t="n">
        <v>0</v>
      </c>
      <c r="T695" s="3" t="n">
        <v>1</v>
      </c>
      <c r="U695" s="3" t="n">
        <v>0</v>
      </c>
      <c r="V695" s="3" t="n">
        <v>0</v>
      </c>
      <c r="W695" s="3" t="n">
        <v>1</v>
      </c>
      <c r="X695" s="3" t="n">
        <v>0</v>
      </c>
      <c r="Y695" s="3" t="n">
        <v>1</v>
      </c>
      <c r="Z695" s="3" t="n">
        <v>1</v>
      </c>
      <c r="AA695" s="3" t="n">
        <v>0</v>
      </c>
      <c r="AB695" s="3" t="n">
        <v>0</v>
      </c>
      <c r="AC695" s="3" t="n">
        <v>0</v>
      </c>
      <c r="AD695" s="3" t="n">
        <v>1</v>
      </c>
      <c r="AE695" s="3" t="n">
        <v>0</v>
      </c>
      <c r="AF695" s="3" t="n">
        <v>0</v>
      </c>
      <c r="AG695" s="3" t="n">
        <v>0</v>
      </c>
      <c r="AH695" s="3" t="n">
        <v>1</v>
      </c>
      <c r="AI695" s="3" t="n">
        <v>0</v>
      </c>
      <c r="AJ695" s="4" t="n">
        <f aca="false">SUM(G695:AI695)</f>
        <v>12</v>
      </c>
      <c r="AK695" s="4" t="n">
        <f aca="false">ROUND(SUMPRODUCT(G695:AI695,Gene_Weights!$B$2:$AD$2),3)</f>
        <v>-9.07</v>
      </c>
      <c r="AL695" s="2" t="n">
        <v>8</v>
      </c>
      <c r="AM695" s="2" t="n">
        <v>1</v>
      </c>
      <c r="AN695" s="2" t="n">
        <v>12.5</v>
      </c>
      <c r="AO695" s="5" t="n">
        <v>81.84</v>
      </c>
      <c r="AP695" s="5" t="n">
        <v>84.45</v>
      </c>
      <c r="AQ695" s="5" t="n">
        <v>87.06</v>
      </c>
      <c r="AR695" s="5" t="n">
        <v>89.67</v>
      </c>
      <c r="AS695" s="5" t="n">
        <v>92.27</v>
      </c>
      <c r="AT695" s="5" t="n">
        <v>94.88</v>
      </c>
      <c r="AU695" s="5" t="n">
        <v>97.49</v>
      </c>
      <c r="AV695" s="5" t="s">
        <v>51</v>
      </c>
    </row>
    <row r="696" customFormat="false" ht="15" hidden="false" customHeight="false" outlineLevel="0" collapsed="false">
      <c r="A696" s="2" t="s">
        <v>171</v>
      </c>
      <c r="B696" s="2" t="n">
        <v>2000</v>
      </c>
      <c r="C696" s="2" t="s">
        <v>55</v>
      </c>
      <c r="D696" s="2" t="n">
        <v>0</v>
      </c>
      <c r="E696" s="2" t="n">
        <v>16</v>
      </c>
      <c r="F696" s="2" t="s">
        <v>50</v>
      </c>
      <c r="G696" s="3" t="n">
        <v>0</v>
      </c>
      <c r="H696" s="3" t="n">
        <v>0</v>
      </c>
      <c r="I696" s="3" t="n">
        <v>1</v>
      </c>
      <c r="J696" s="3" t="n">
        <v>0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0</v>
      </c>
      <c r="P696" s="3" t="n">
        <v>1</v>
      </c>
      <c r="Q696" s="3" t="n">
        <v>0</v>
      </c>
      <c r="R696" s="3" t="n">
        <v>0</v>
      </c>
      <c r="S696" s="3" t="n">
        <v>0</v>
      </c>
      <c r="T696" s="3" t="n">
        <v>1</v>
      </c>
      <c r="U696" s="3" t="n">
        <v>0</v>
      </c>
      <c r="V696" s="3" t="n">
        <v>0</v>
      </c>
      <c r="W696" s="3" t="n">
        <v>1</v>
      </c>
      <c r="X696" s="3" t="n">
        <v>0</v>
      </c>
      <c r="Y696" s="3" t="n">
        <v>1</v>
      </c>
      <c r="Z696" s="3" t="n">
        <v>1</v>
      </c>
      <c r="AA696" s="3" t="n">
        <v>0</v>
      </c>
      <c r="AB696" s="3" t="n">
        <v>0</v>
      </c>
      <c r="AC696" s="3" t="n">
        <v>0</v>
      </c>
      <c r="AD696" s="3" t="n">
        <v>1</v>
      </c>
      <c r="AE696" s="3" t="n">
        <v>0</v>
      </c>
      <c r="AF696" s="3" t="n">
        <v>0</v>
      </c>
      <c r="AG696" s="3" t="n">
        <v>0</v>
      </c>
      <c r="AH696" s="3" t="n">
        <v>1</v>
      </c>
      <c r="AI696" s="3" t="n">
        <v>0</v>
      </c>
      <c r="AJ696" s="4" t="n">
        <f aca="false">SUM(G696:AI696)</f>
        <v>12</v>
      </c>
      <c r="AK696" s="4" t="n">
        <f aca="false">ROUND(SUMPRODUCT(G696:AI696,Gene_Weights!$B$2:$AD$2),3)</f>
        <v>-9.07</v>
      </c>
      <c r="AL696" s="2" t="n">
        <v>8</v>
      </c>
      <c r="AM696" s="2" t="n">
        <v>0</v>
      </c>
      <c r="AN696" s="2" t="n">
        <v>0</v>
      </c>
      <c r="AO696" s="5" t="n">
        <v>58.19</v>
      </c>
      <c r="AP696" s="5" t="n">
        <v>59.74</v>
      </c>
      <c r="AQ696" s="5" t="n">
        <v>61.3</v>
      </c>
      <c r="AR696" s="5" t="n">
        <v>62.86</v>
      </c>
      <c r="AS696" s="5" t="n">
        <v>64.42</v>
      </c>
      <c r="AT696" s="5" t="n">
        <v>65.98</v>
      </c>
      <c r="AU696" s="5" t="n">
        <v>67.53</v>
      </c>
      <c r="AV696" s="5" t="s">
        <v>51</v>
      </c>
    </row>
    <row r="697" customFormat="false" ht="15" hidden="false" customHeight="false" outlineLevel="0" collapsed="false">
      <c r="A697" s="2" t="s">
        <v>171</v>
      </c>
      <c r="B697" s="2" t="n">
        <v>2000</v>
      </c>
      <c r="C697" s="2" t="s">
        <v>56</v>
      </c>
      <c r="D697" s="2" t="n">
        <v>0</v>
      </c>
      <c r="E697" s="2" t="n">
        <v>32</v>
      </c>
      <c r="F697" s="2" t="s">
        <v>50</v>
      </c>
      <c r="G697" s="3" t="n">
        <v>0</v>
      </c>
      <c r="H697" s="3" t="n">
        <v>0</v>
      </c>
      <c r="I697" s="3" t="n">
        <v>1</v>
      </c>
      <c r="J697" s="3" t="n">
        <v>0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0</v>
      </c>
      <c r="P697" s="3" t="n">
        <v>1</v>
      </c>
      <c r="Q697" s="3" t="n">
        <v>0</v>
      </c>
      <c r="R697" s="3" t="n">
        <v>0</v>
      </c>
      <c r="S697" s="3" t="n">
        <v>0</v>
      </c>
      <c r="T697" s="3" t="n">
        <v>1</v>
      </c>
      <c r="U697" s="3" t="n">
        <v>0</v>
      </c>
      <c r="V697" s="3" t="n">
        <v>0</v>
      </c>
      <c r="W697" s="3" t="n">
        <v>1</v>
      </c>
      <c r="X697" s="3" t="n">
        <v>0</v>
      </c>
      <c r="Y697" s="3" t="n">
        <v>1</v>
      </c>
      <c r="Z697" s="3" t="n">
        <v>1</v>
      </c>
      <c r="AA697" s="3" t="n">
        <v>0</v>
      </c>
      <c r="AB697" s="3" t="n">
        <v>0</v>
      </c>
      <c r="AC697" s="3" t="n">
        <v>0</v>
      </c>
      <c r="AD697" s="3" t="n">
        <v>1</v>
      </c>
      <c r="AE697" s="3" t="n">
        <v>0</v>
      </c>
      <c r="AF697" s="3" t="n">
        <v>0</v>
      </c>
      <c r="AG697" s="3" t="n">
        <v>0</v>
      </c>
      <c r="AH697" s="3" t="n">
        <v>1</v>
      </c>
      <c r="AI697" s="3" t="n">
        <v>0</v>
      </c>
      <c r="AJ697" s="4" t="n">
        <f aca="false">SUM(G697:AI697)</f>
        <v>12</v>
      </c>
      <c r="AK697" s="4" t="n">
        <f aca="false">ROUND(SUMPRODUCT(G697:AI697,Gene_Weights!$B$2:$AD$2),3)</f>
        <v>-9.07</v>
      </c>
      <c r="AL697" s="2" t="n">
        <v>8</v>
      </c>
      <c r="AM697" s="2" t="n">
        <v>2</v>
      </c>
      <c r="AN697" s="2" t="n">
        <v>25</v>
      </c>
      <c r="AO697" s="5" t="n">
        <v>75.59</v>
      </c>
      <c r="AP697" s="5" t="n">
        <v>78.01</v>
      </c>
      <c r="AQ697" s="5" t="n">
        <v>80.42</v>
      </c>
      <c r="AR697" s="5" t="n">
        <v>82.83</v>
      </c>
      <c r="AS697" s="5" t="n">
        <v>85.24</v>
      </c>
      <c r="AT697" s="5" t="n">
        <v>87.66</v>
      </c>
      <c r="AU697" s="5" t="n">
        <v>90.07</v>
      </c>
      <c r="AV697" s="5" t="s">
        <v>51</v>
      </c>
    </row>
    <row r="698" customFormat="false" ht="15" hidden="false" customHeight="false" outlineLevel="0" collapsed="false">
      <c r="A698" s="2" t="s">
        <v>172</v>
      </c>
      <c r="B698" s="2" t="n">
        <v>2012</v>
      </c>
      <c r="C698" s="2" t="s">
        <v>49</v>
      </c>
      <c r="D698" s="2" t="n">
        <v>1</v>
      </c>
      <c r="E698" s="2" t="n">
        <v>32</v>
      </c>
      <c r="F698" s="2" t="s">
        <v>50</v>
      </c>
      <c r="G698" s="3" t="n">
        <v>0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1</v>
      </c>
      <c r="M698" s="3" t="n">
        <v>0</v>
      </c>
      <c r="N698" s="3" t="n">
        <v>1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1</v>
      </c>
      <c r="W698" s="3" t="n">
        <v>1</v>
      </c>
      <c r="X698" s="3" t="n">
        <v>0</v>
      </c>
      <c r="Y698" s="3" t="n">
        <v>1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1</v>
      </c>
      <c r="AF698" s="3" t="n">
        <v>0</v>
      </c>
      <c r="AG698" s="3" t="n">
        <v>1</v>
      </c>
      <c r="AH698" s="3" t="n">
        <v>1</v>
      </c>
      <c r="AI698" s="3" t="n">
        <v>0</v>
      </c>
      <c r="AJ698" s="4" t="n">
        <f aca="false">SUM(G698:AI698)</f>
        <v>9</v>
      </c>
      <c r="AK698" s="4" t="n">
        <f aca="false">ROUND(SUMPRODUCT(G698:AI698,Gene_Weights!$B$2:$AD$2),3)</f>
        <v>-5.04</v>
      </c>
      <c r="AL698" s="2" t="n">
        <v>4</v>
      </c>
      <c r="AM698" s="2" t="n">
        <v>3</v>
      </c>
      <c r="AN698" s="2" t="n">
        <v>75</v>
      </c>
      <c r="AO698" s="5" t="n">
        <v>55.12</v>
      </c>
      <c r="AP698" s="5" t="n">
        <v>56.02</v>
      </c>
      <c r="AQ698" s="5" t="n">
        <v>56.92</v>
      </c>
      <c r="AR698" s="5" t="n">
        <v>57.82</v>
      </c>
      <c r="AS698" s="5" t="n">
        <v>58.72</v>
      </c>
      <c r="AT698" s="5" t="n">
        <v>59.62</v>
      </c>
      <c r="AU698" s="5" t="n">
        <v>60.52</v>
      </c>
      <c r="AV698" s="5" t="s">
        <v>51</v>
      </c>
    </row>
    <row r="699" customFormat="false" ht="15" hidden="false" customHeight="false" outlineLevel="0" collapsed="false">
      <c r="A699" s="2" t="s">
        <v>172</v>
      </c>
      <c r="B699" s="2" t="n">
        <v>2012</v>
      </c>
      <c r="C699" s="2" t="s">
        <v>52</v>
      </c>
      <c r="D699" s="2" t="n">
        <v>0</v>
      </c>
      <c r="E699" s="2" t="n">
        <v>4</v>
      </c>
      <c r="F699" s="2" t="s">
        <v>50</v>
      </c>
      <c r="G699" s="3" t="n">
        <v>0</v>
      </c>
      <c r="H699" s="3" t="n">
        <v>1</v>
      </c>
      <c r="I699" s="3" t="n">
        <v>0</v>
      </c>
      <c r="J699" s="3" t="n">
        <v>0</v>
      </c>
      <c r="K699" s="3" t="n">
        <v>0</v>
      </c>
      <c r="L699" s="3" t="n">
        <v>1</v>
      </c>
      <c r="M699" s="3" t="n">
        <v>0</v>
      </c>
      <c r="N699" s="3" t="n">
        <v>1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1</v>
      </c>
      <c r="W699" s="3" t="n">
        <v>1</v>
      </c>
      <c r="X699" s="3" t="n">
        <v>0</v>
      </c>
      <c r="Y699" s="3" t="n">
        <v>1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1</v>
      </c>
      <c r="AF699" s="3" t="n">
        <v>0</v>
      </c>
      <c r="AG699" s="3" t="n">
        <v>1</v>
      </c>
      <c r="AH699" s="3" t="n">
        <v>1</v>
      </c>
      <c r="AI699" s="3" t="n">
        <v>0</v>
      </c>
      <c r="AJ699" s="4" t="n">
        <f aca="false">SUM(G699:AI699)</f>
        <v>9</v>
      </c>
      <c r="AK699" s="4" t="n">
        <f aca="false">ROUND(SUMPRODUCT(G699:AI699,Gene_Weights!$B$2:$AD$2),3)</f>
        <v>-5.04</v>
      </c>
      <c r="AL699" s="2" t="n">
        <v>4</v>
      </c>
      <c r="AM699" s="2" t="n">
        <v>0</v>
      </c>
      <c r="AN699" s="2" t="n">
        <v>0</v>
      </c>
      <c r="AO699" s="5" t="n">
        <v>64.53</v>
      </c>
      <c r="AP699" s="5" t="n">
        <v>66.13</v>
      </c>
      <c r="AQ699" s="5" t="n">
        <v>67.73</v>
      </c>
      <c r="AR699" s="5" t="n">
        <v>69.33</v>
      </c>
      <c r="AS699" s="5" t="n">
        <v>70.93</v>
      </c>
      <c r="AT699" s="5" t="n">
        <v>72.53</v>
      </c>
      <c r="AU699" s="5" t="n">
        <v>74.13</v>
      </c>
      <c r="AV699" s="5" t="s">
        <v>51</v>
      </c>
    </row>
    <row r="700" customFormat="false" ht="15" hidden="false" customHeight="false" outlineLevel="0" collapsed="false">
      <c r="A700" s="2" t="s">
        <v>172</v>
      </c>
      <c r="B700" s="2" t="n">
        <v>2012</v>
      </c>
      <c r="C700" s="2" t="s">
        <v>53</v>
      </c>
      <c r="D700" s="2" t="n">
        <v>0</v>
      </c>
      <c r="E700" s="2" t="n">
        <v>32</v>
      </c>
      <c r="F700" s="2" t="s">
        <v>50</v>
      </c>
      <c r="G700" s="3" t="n">
        <v>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1</v>
      </c>
      <c r="M700" s="3" t="n">
        <v>0</v>
      </c>
      <c r="N700" s="3" t="n">
        <v>1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1</v>
      </c>
      <c r="W700" s="3" t="n">
        <v>1</v>
      </c>
      <c r="X700" s="3" t="n">
        <v>0</v>
      </c>
      <c r="Y700" s="3" t="n">
        <v>1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1</v>
      </c>
      <c r="AF700" s="3" t="n">
        <v>0</v>
      </c>
      <c r="AG700" s="3" t="n">
        <v>1</v>
      </c>
      <c r="AH700" s="3" t="n">
        <v>1</v>
      </c>
      <c r="AI700" s="3" t="n">
        <v>0</v>
      </c>
      <c r="AJ700" s="4" t="n">
        <f aca="false">SUM(G700:AI700)</f>
        <v>9</v>
      </c>
      <c r="AK700" s="4" t="n">
        <f aca="false">ROUND(SUMPRODUCT(G700:AI700,Gene_Weights!$B$2:$AD$2),3)</f>
        <v>-5.04</v>
      </c>
      <c r="AL700" s="2" t="n">
        <v>4</v>
      </c>
      <c r="AM700" s="2" t="n">
        <v>1</v>
      </c>
      <c r="AN700" s="2" t="n">
        <v>25</v>
      </c>
      <c r="AO700" s="5" t="n">
        <v>52.86</v>
      </c>
      <c r="AP700" s="5" t="n">
        <v>53.65</v>
      </c>
      <c r="AQ700" s="5" t="n">
        <v>54.45</v>
      </c>
      <c r="AR700" s="5" t="n">
        <v>55.24</v>
      </c>
      <c r="AS700" s="5" t="n">
        <v>56.03</v>
      </c>
      <c r="AT700" s="5" t="n">
        <v>56.83</v>
      </c>
      <c r="AU700" s="5" t="n">
        <v>57.62</v>
      </c>
      <c r="AV700" s="5" t="s">
        <v>51</v>
      </c>
    </row>
    <row r="701" customFormat="false" ht="15" hidden="false" customHeight="false" outlineLevel="0" collapsed="false">
      <c r="A701" s="2" t="s">
        <v>172</v>
      </c>
      <c r="B701" s="2" t="n">
        <v>2012</v>
      </c>
      <c r="C701" s="2" t="s">
        <v>54</v>
      </c>
      <c r="D701" s="2" t="n">
        <v>1</v>
      </c>
      <c r="E701" s="2" t="n">
        <v>32</v>
      </c>
      <c r="F701" s="2" t="s">
        <v>50</v>
      </c>
      <c r="G701" s="3" t="n">
        <v>0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1</v>
      </c>
      <c r="M701" s="3" t="n">
        <v>0</v>
      </c>
      <c r="N701" s="3" t="n">
        <v>1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1</v>
      </c>
      <c r="W701" s="3" t="n">
        <v>1</v>
      </c>
      <c r="X701" s="3" t="n">
        <v>0</v>
      </c>
      <c r="Y701" s="3" t="n">
        <v>1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1</v>
      </c>
      <c r="AF701" s="3" t="n">
        <v>0</v>
      </c>
      <c r="AG701" s="3" t="n">
        <v>1</v>
      </c>
      <c r="AH701" s="3" t="n">
        <v>1</v>
      </c>
      <c r="AI701" s="3" t="n">
        <v>0</v>
      </c>
      <c r="AJ701" s="4" t="n">
        <f aca="false">SUM(G701:AI701)</f>
        <v>9</v>
      </c>
      <c r="AK701" s="4" t="n">
        <f aca="false">ROUND(SUMPRODUCT(G701:AI701,Gene_Weights!$B$2:$AD$2),3)</f>
        <v>-5.04</v>
      </c>
      <c r="AL701" s="2" t="n">
        <v>4</v>
      </c>
      <c r="AM701" s="2" t="n">
        <v>3</v>
      </c>
      <c r="AN701" s="2" t="n">
        <v>75</v>
      </c>
      <c r="AO701" s="5" t="n">
        <v>81.84</v>
      </c>
      <c r="AP701" s="5" t="n">
        <v>84.45</v>
      </c>
      <c r="AQ701" s="5" t="n">
        <v>87.06</v>
      </c>
      <c r="AR701" s="5" t="n">
        <v>89.67</v>
      </c>
      <c r="AS701" s="5" t="n">
        <v>92.27</v>
      </c>
      <c r="AT701" s="5" t="n">
        <v>94.88</v>
      </c>
      <c r="AU701" s="5" t="n">
        <v>97.49</v>
      </c>
      <c r="AV701" s="5" t="s">
        <v>51</v>
      </c>
    </row>
    <row r="702" customFormat="false" ht="15" hidden="false" customHeight="false" outlineLevel="0" collapsed="false">
      <c r="A702" s="2" t="s">
        <v>172</v>
      </c>
      <c r="B702" s="2" t="n">
        <v>2012</v>
      </c>
      <c r="C702" s="2" t="s">
        <v>55</v>
      </c>
      <c r="D702" s="2" t="n">
        <v>0</v>
      </c>
      <c r="E702" s="2" t="n">
        <v>16</v>
      </c>
      <c r="F702" s="2" t="s">
        <v>50</v>
      </c>
      <c r="G702" s="3" t="n">
        <v>0</v>
      </c>
      <c r="H702" s="3" t="n">
        <v>1</v>
      </c>
      <c r="I702" s="3" t="n">
        <v>0</v>
      </c>
      <c r="J702" s="3" t="n">
        <v>0</v>
      </c>
      <c r="K702" s="3" t="n">
        <v>0</v>
      </c>
      <c r="L702" s="3" t="n">
        <v>1</v>
      </c>
      <c r="M702" s="3" t="n">
        <v>0</v>
      </c>
      <c r="N702" s="3" t="n">
        <v>1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1</v>
      </c>
      <c r="W702" s="3" t="n">
        <v>1</v>
      </c>
      <c r="X702" s="3" t="n">
        <v>0</v>
      </c>
      <c r="Y702" s="3" t="n">
        <v>1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1</v>
      </c>
      <c r="AF702" s="3" t="n">
        <v>0</v>
      </c>
      <c r="AG702" s="3" t="n">
        <v>1</v>
      </c>
      <c r="AH702" s="3" t="n">
        <v>1</v>
      </c>
      <c r="AI702" s="3" t="n">
        <v>0</v>
      </c>
      <c r="AJ702" s="4" t="n">
        <f aca="false">SUM(G702:AI702)</f>
        <v>9</v>
      </c>
      <c r="AK702" s="4" t="n">
        <f aca="false">ROUND(SUMPRODUCT(G702:AI702,Gene_Weights!$B$2:$AD$2),3)</f>
        <v>-5.04</v>
      </c>
      <c r="AL702" s="2" t="n">
        <v>4</v>
      </c>
      <c r="AM702" s="2" t="n">
        <v>1</v>
      </c>
      <c r="AN702" s="2" t="n">
        <v>25</v>
      </c>
      <c r="AO702" s="5" t="n">
        <v>58.19</v>
      </c>
      <c r="AP702" s="5" t="n">
        <v>59.74</v>
      </c>
      <c r="AQ702" s="5" t="n">
        <v>61.3</v>
      </c>
      <c r="AR702" s="5" t="n">
        <v>62.86</v>
      </c>
      <c r="AS702" s="5" t="n">
        <v>64.42</v>
      </c>
      <c r="AT702" s="5" t="n">
        <v>65.98</v>
      </c>
      <c r="AU702" s="5" t="n">
        <v>67.53</v>
      </c>
      <c r="AV702" s="5" t="s">
        <v>51</v>
      </c>
    </row>
    <row r="703" customFormat="false" ht="15" hidden="false" customHeight="false" outlineLevel="0" collapsed="false">
      <c r="A703" s="2" t="s">
        <v>172</v>
      </c>
      <c r="B703" s="2" t="n">
        <v>2012</v>
      </c>
      <c r="C703" s="2" t="s">
        <v>56</v>
      </c>
      <c r="D703" s="2" t="n">
        <v>0</v>
      </c>
      <c r="E703" s="2" t="n">
        <v>32</v>
      </c>
      <c r="F703" s="2" t="s">
        <v>50</v>
      </c>
      <c r="G703" s="3" t="n">
        <v>0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1</v>
      </c>
      <c r="M703" s="3" t="n">
        <v>0</v>
      </c>
      <c r="N703" s="3" t="n">
        <v>1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1</v>
      </c>
      <c r="W703" s="3" t="n">
        <v>1</v>
      </c>
      <c r="X703" s="3" t="n">
        <v>0</v>
      </c>
      <c r="Y703" s="3" t="n">
        <v>1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1</v>
      </c>
      <c r="AF703" s="3" t="n">
        <v>0</v>
      </c>
      <c r="AG703" s="3" t="n">
        <v>1</v>
      </c>
      <c r="AH703" s="3" t="n">
        <v>1</v>
      </c>
      <c r="AI703" s="3" t="n">
        <v>0</v>
      </c>
      <c r="AJ703" s="4" t="n">
        <f aca="false">SUM(G703:AI703)</f>
        <v>9</v>
      </c>
      <c r="AK703" s="4" t="n">
        <f aca="false">ROUND(SUMPRODUCT(G703:AI703,Gene_Weights!$B$2:$AD$2),3)</f>
        <v>-5.04</v>
      </c>
      <c r="AL703" s="2" t="n">
        <v>4</v>
      </c>
      <c r="AM703" s="2" t="n">
        <v>0</v>
      </c>
      <c r="AN703" s="2" t="n">
        <v>0</v>
      </c>
      <c r="AO703" s="5" t="n">
        <v>75.59</v>
      </c>
      <c r="AP703" s="5" t="n">
        <v>78.01</v>
      </c>
      <c r="AQ703" s="5" t="n">
        <v>80.42</v>
      </c>
      <c r="AR703" s="5" t="n">
        <v>82.83</v>
      </c>
      <c r="AS703" s="5" t="n">
        <v>85.24</v>
      </c>
      <c r="AT703" s="5" t="n">
        <v>87.66</v>
      </c>
      <c r="AU703" s="5" t="n">
        <v>90.07</v>
      </c>
      <c r="AV703" s="5" t="s">
        <v>51</v>
      </c>
    </row>
    <row r="704" customFormat="false" ht="15" hidden="false" customHeight="false" outlineLevel="0" collapsed="false">
      <c r="A704" s="2" t="s">
        <v>173</v>
      </c>
      <c r="B704" s="2" t="n">
        <v>2007</v>
      </c>
      <c r="C704" s="2" t="s">
        <v>49</v>
      </c>
      <c r="D704" s="2" t="n">
        <v>0</v>
      </c>
      <c r="E704" s="2" t="n">
        <v>32</v>
      </c>
      <c r="F704" s="2" t="s">
        <v>50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1</v>
      </c>
      <c r="R704" s="3" t="n">
        <v>0</v>
      </c>
      <c r="S704" s="3" t="n">
        <v>0</v>
      </c>
      <c r="T704" s="3" t="n">
        <v>0</v>
      </c>
      <c r="U704" s="3" t="n">
        <v>1</v>
      </c>
      <c r="V704" s="3" t="n">
        <v>0</v>
      </c>
      <c r="W704" s="3" t="n">
        <v>1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1</v>
      </c>
      <c r="AE704" s="3" t="n">
        <v>0</v>
      </c>
      <c r="AF704" s="3" t="n">
        <v>0</v>
      </c>
      <c r="AG704" s="3" t="n">
        <v>0</v>
      </c>
      <c r="AH704" s="3" t="n">
        <v>1</v>
      </c>
      <c r="AI704" s="3" t="n">
        <v>0</v>
      </c>
      <c r="AJ704" s="4" t="n">
        <f aca="false">SUM(G704:AI704)</f>
        <v>5</v>
      </c>
      <c r="AK704" s="4" t="n">
        <f aca="false">ROUND(SUMPRODUCT(G704:AI704,Gene_Weights!$B$2:$AD$2),3)</f>
        <v>-4.75</v>
      </c>
      <c r="AL704" s="2" t="n">
        <v>3</v>
      </c>
      <c r="AM704" s="2" t="n">
        <v>1</v>
      </c>
      <c r="AN704" s="2" t="n">
        <v>33.33</v>
      </c>
      <c r="AO704" s="5" t="n">
        <v>55.12</v>
      </c>
      <c r="AP704" s="5" t="n">
        <v>56.02</v>
      </c>
      <c r="AQ704" s="5" t="n">
        <v>56.92</v>
      </c>
      <c r="AR704" s="5" t="n">
        <v>57.82</v>
      </c>
      <c r="AS704" s="5" t="n">
        <v>58.72</v>
      </c>
      <c r="AT704" s="5" t="n">
        <v>59.62</v>
      </c>
      <c r="AU704" s="5" t="n">
        <v>60.52</v>
      </c>
      <c r="AV704" s="5" t="s">
        <v>51</v>
      </c>
    </row>
    <row r="705" customFormat="false" ht="15" hidden="false" customHeight="false" outlineLevel="0" collapsed="false">
      <c r="A705" s="2" t="s">
        <v>173</v>
      </c>
      <c r="B705" s="2" t="n">
        <v>2007</v>
      </c>
      <c r="C705" s="2" t="s">
        <v>52</v>
      </c>
      <c r="D705" s="2" t="n">
        <v>0</v>
      </c>
      <c r="E705" s="2" t="n">
        <v>16</v>
      </c>
      <c r="F705" s="2" t="s">
        <v>50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1</v>
      </c>
      <c r="R705" s="3" t="n">
        <v>0</v>
      </c>
      <c r="S705" s="3" t="n">
        <v>0</v>
      </c>
      <c r="T705" s="3" t="n">
        <v>0</v>
      </c>
      <c r="U705" s="3" t="n">
        <v>1</v>
      </c>
      <c r="V705" s="3" t="n">
        <v>0</v>
      </c>
      <c r="W705" s="3" t="n">
        <v>1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1</v>
      </c>
      <c r="AE705" s="3" t="n">
        <v>0</v>
      </c>
      <c r="AF705" s="3" t="n">
        <v>0</v>
      </c>
      <c r="AG705" s="3" t="n">
        <v>0</v>
      </c>
      <c r="AH705" s="3" t="n">
        <v>1</v>
      </c>
      <c r="AI705" s="3" t="n">
        <v>0</v>
      </c>
      <c r="AJ705" s="4" t="n">
        <f aca="false">SUM(G705:AI705)</f>
        <v>5</v>
      </c>
      <c r="AK705" s="4" t="n">
        <f aca="false">ROUND(SUMPRODUCT(G705:AI705,Gene_Weights!$B$2:$AD$2),3)</f>
        <v>-4.75</v>
      </c>
      <c r="AL705" s="2" t="n">
        <v>3</v>
      </c>
      <c r="AM705" s="2" t="n">
        <v>1</v>
      </c>
      <c r="AN705" s="2" t="n">
        <v>33.33</v>
      </c>
      <c r="AO705" s="5" t="n">
        <v>64.53</v>
      </c>
      <c r="AP705" s="5" t="n">
        <v>66.13</v>
      </c>
      <c r="AQ705" s="5" t="n">
        <v>67.73</v>
      </c>
      <c r="AR705" s="5" t="n">
        <v>69.33</v>
      </c>
      <c r="AS705" s="5" t="n">
        <v>70.93</v>
      </c>
      <c r="AT705" s="5" t="n">
        <v>72.53</v>
      </c>
      <c r="AU705" s="5" t="n">
        <v>74.13</v>
      </c>
      <c r="AV705" s="5" t="s">
        <v>51</v>
      </c>
    </row>
    <row r="706" customFormat="false" ht="15" hidden="false" customHeight="false" outlineLevel="0" collapsed="false">
      <c r="A706" s="2" t="s">
        <v>173</v>
      </c>
      <c r="B706" s="2" t="n">
        <v>2007</v>
      </c>
      <c r="C706" s="2" t="s">
        <v>53</v>
      </c>
      <c r="D706" s="2" t="n">
        <v>1</v>
      </c>
      <c r="E706" s="2" t="n">
        <v>32</v>
      </c>
      <c r="F706" s="2" t="s">
        <v>50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1</v>
      </c>
      <c r="R706" s="3" t="n">
        <v>0</v>
      </c>
      <c r="S706" s="3" t="n">
        <v>0</v>
      </c>
      <c r="T706" s="3" t="n">
        <v>0</v>
      </c>
      <c r="U706" s="3" t="n">
        <v>1</v>
      </c>
      <c r="V706" s="3" t="n">
        <v>0</v>
      </c>
      <c r="W706" s="3" t="n">
        <v>1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1</v>
      </c>
      <c r="AE706" s="3" t="n">
        <v>0</v>
      </c>
      <c r="AF706" s="3" t="n">
        <v>0</v>
      </c>
      <c r="AG706" s="3" t="n">
        <v>0</v>
      </c>
      <c r="AH706" s="3" t="n">
        <v>1</v>
      </c>
      <c r="AI706" s="3" t="n">
        <v>0</v>
      </c>
      <c r="AJ706" s="4" t="n">
        <f aca="false">SUM(G706:AI706)</f>
        <v>5</v>
      </c>
      <c r="AK706" s="4" t="n">
        <f aca="false">ROUND(SUMPRODUCT(G706:AI706,Gene_Weights!$B$2:$AD$2),3)</f>
        <v>-4.75</v>
      </c>
      <c r="AL706" s="2" t="n">
        <v>3</v>
      </c>
      <c r="AM706" s="2" t="n">
        <v>2</v>
      </c>
      <c r="AN706" s="2" t="n">
        <v>66.67</v>
      </c>
      <c r="AO706" s="5" t="n">
        <v>52.86</v>
      </c>
      <c r="AP706" s="5" t="n">
        <v>53.65</v>
      </c>
      <c r="AQ706" s="5" t="n">
        <v>54.45</v>
      </c>
      <c r="AR706" s="5" t="n">
        <v>55.24</v>
      </c>
      <c r="AS706" s="5" t="n">
        <v>56.03</v>
      </c>
      <c r="AT706" s="5" t="n">
        <v>56.83</v>
      </c>
      <c r="AU706" s="5" t="n">
        <v>57.62</v>
      </c>
      <c r="AV706" s="5" t="s">
        <v>51</v>
      </c>
    </row>
    <row r="707" customFormat="false" ht="15" hidden="false" customHeight="false" outlineLevel="0" collapsed="false">
      <c r="A707" s="2" t="s">
        <v>173</v>
      </c>
      <c r="B707" s="2" t="n">
        <v>2007</v>
      </c>
      <c r="C707" s="2" t="s">
        <v>54</v>
      </c>
      <c r="D707" s="2" t="n">
        <v>1</v>
      </c>
      <c r="E707" s="2" t="n">
        <v>4</v>
      </c>
      <c r="F707" s="2" t="s">
        <v>50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1</v>
      </c>
      <c r="R707" s="3" t="n">
        <v>0</v>
      </c>
      <c r="S707" s="3" t="n">
        <v>0</v>
      </c>
      <c r="T707" s="3" t="n">
        <v>0</v>
      </c>
      <c r="U707" s="3" t="n">
        <v>1</v>
      </c>
      <c r="V707" s="3" t="n">
        <v>0</v>
      </c>
      <c r="W707" s="3" t="n">
        <v>1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1</v>
      </c>
      <c r="AE707" s="3" t="n">
        <v>0</v>
      </c>
      <c r="AF707" s="3" t="n">
        <v>0</v>
      </c>
      <c r="AG707" s="3" t="n">
        <v>0</v>
      </c>
      <c r="AH707" s="3" t="n">
        <v>1</v>
      </c>
      <c r="AI707" s="3" t="n">
        <v>0</v>
      </c>
      <c r="AJ707" s="4" t="n">
        <f aca="false">SUM(G707:AI707)</f>
        <v>5</v>
      </c>
      <c r="AK707" s="4" t="n">
        <f aca="false">ROUND(SUMPRODUCT(G707:AI707,Gene_Weights!$B$2:$AD$2),3)</f>
        <v>-4.75</v>
      </c>
      <c r="AL707" s="2" t="n">
        <v>3</v>
      </c>
      <c r="AM707" s="2" t="n">
        <v>1</v>
      </c>
      <c r="AN707" s="2" t="n">
        <v>33.33</v>
      </c>
      <c r="AO707" s="5" t="n">
        <v>81.84</v>
      </c>
      <c r="AP707" s="5" t="n">
        <v>84.45</v>
      </c>
      <c r="AQ707" s="5" t="n">
        <v>87.06</v>
      </c>
      <c r="AR707" s="5" t="n">
        <v>89.67</v>
      </c>
      <c r="AS707" s="5" t="n">
        <v>92.27</v>
      </c>
      <c r="AT707" s="5" t="n">
        <v>94.88</v>
      </c>
      <c r="AU707" s="5" t="n">
        <v>97.49</v>
      </c>
      <c r="AV707" s="5" t="s">
        <v>51</v>
      </c>
    </row>
    <row r="708" customFormat="false" ht="15" hidden="false" customHeight="false" outlineLevel="0" collapsed="false">
      <c r="A708" s="2" t="s">
        <v>173</v>
      </c>
      <c r="B708" s="2" t="n">
        <v>2007</v>
      </c>
      <c r="C708" s="2" t="s">
        <v>55</v>
      </c>
      <c r="D708" s="2" t="n">
        <v>1</v>
      </c>
      <c r="E708" s="2" t="n">
        <v>2</v>
      </c>
      <c r="F708" s="2" t="s">
        <v>50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1</v>
      </c>
      <c r="R708" s="3" t="n">
        <v>0</v>
      </c>
      <c r="S708" s="3" t="n">
        <v>0</v>
      </c>
      <c r="T708" s="3" t="n">
        <v>0</v>
      </c>
      <c r="U708" s="3" t="n">
        <v>1</v>
      </c>
      <c r="V708" s="3" t="n">
        <v>0</v>
      </c>
      <c r="W708" s="3" t="n">
        <v>1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1</v>
      </c>
      <c r="AE708" s="3" t="n">
        <v>0</v>
      </c>
      <c r="AF708" s="3" t="n">
        <v>0</v>
      </c>
      <c r="AG708" s="3" t="n">
        <v>0</v>
      </c>
      <c r="AH708" s="3" t="n">
        <v>1</v>
      </c>
      <c r="AI708" s="3" t="n">
        <v>0</v>
      </c>
      <c r="AJ708" s="4" t="n">
        <f aca="false">SUM(G708:AI708)</f>
        <v>5</v>
      </c>
      <c r="AK708" s="4" t="n">
        <f aca="false">ROUND(SUMPRODUCT(G708:AI708,Gene_Weights!$B$2:$AD$2),3)</f>
        <v>-4.75</v>
      </c>
      <c r="AL708" s="2" t="n">
        <v>3</v>
      </c>
      <c r="AM708" s="2" t="n">
        <v>1</v>
      </c>
      <c r="AN708" s="2" t="n">
        <v>33.33</v>
      </c>
      <c r="AO708" s="5" t="n">
        <v>58.19</v>
      </c>
      <c r="AP708" s="5" t="n">
        <v>59.74</v>
      </c>
      <c r="AQ708" s="5" t="n">
        <v>61.3</v>
      </c>
      <c r="AR708" s="5" t="n">
        <v>62.86</v>
      </c>
      <c r="AS708" s="5" t="n">
        <v>64.42</v>
      </c>
      <c r="AT708" s="5" t="n">
        <v>65.98</v>
      </c>
      <c r="AU708" s="5" t="n">
        <v>67.53</v>
      </c>
      <c r="AV708" s="5" t="s">
        <v>51</v>
      </c>
    </row>
    <row r="709" customFormat="false" ht="15" hidden="false" customHeight="false" outlineLevel="0" collapsed="false">
      <c r="A709" s="2" t="s">
        <v>173</v>
      </c>
      <c r="B709" s="2" t="n">
        <v>2007</v>
      </c>
      <c r="C709" s="2" t="s">
        <v>56</v>
      </c>
      <c r="D709" s="2" t="n">
        <v>1</v>
      </c>
      <c r="E709" s="2" t="n">
        <v>4</v>
      </c>
      <c r="F709" s="2" t="s">
        <v>50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1</v>
      </c>
      <c r="R709" s="3" t="n">
        <v>0</v>
      </c>
      <c r="S709" s="3" t="n">
        <v>0</v>
      </c>
      <c r="T709" s="3" t="n">
        <v>0</v>
      </c>
      <c r="U709" s="3" t="n">
        <v>1</v>
      </c>
      <c r="V709" s="3" t="n">
        <v>0</v>
      </c>
      <c r="W709" s="3" t="n">
        <v>1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1</v>
      </c>
      <c r="AE709" s="3" t="n">
        <v>0</v>
      </c>
      <c r="AF709" s="3" t="n">
        <v>0</v>
      </c>
      <c r="AG709" s="3" t="n">
        <v>0</v>
      </c>
      <c r="AH709" s="3" t="n">
        <v>1</v>
      </c>
      <c r="AI709" s="3" t="n">
        <v>0</v>
      </c>
      <c r="AJ709" s="4" t="n">
        <f aca="false">SUM(G709:AI709)</f>
        <v>5</v>
      </c>
      <c r="AK709" s="4" t="n">
        <f aca="false">ROUND(SUMPRODUCT(G709:AI709,Gene_Weights!$B$2:$AD$2),3)</f>
        <v>-4.75</v>
      </c>
      <c r="AL709" s="2" t="n">
        <v>3</v>
      </c>
      <c r="AM709" s="2" t="n">
        <v>2</v>
      </c>
      <c r="AN709" s="2" t="n">
        <v>66.67</v>
      </c>
      <c r="AO709" s="5" t="n">
        <v>75.59</v>
      </c>
      <c r="AP709" s="5" t="n">
        <v>78.01</v>
      </c>
      <c r="AQ709" s="5" t="n">
        <v>80.42</v>
      </c>
      <c r="AR709" s="5" t="n">
        <v>82.83</v>
      </c>
      <c r="AS709" s="5" t="n">
        <v>85.24</v>
      </c>
      <c r="AT709" s="5" t="n">
        <v>87.66</v>
      </c>
      <c r="AU709" s="5" t="n">
        <v>90.07</v>
      </c>
      <c r="AV709" s="5" t="s">
        <v>51</v>
      </c>
    </row>
    <row r="710" customFormat="false" ht="15" hidden="false" customHeight="false" outlineLevel="0" collapsed="false">
      <c r="A710" s="2" t="s">
        <v>174</v>
      </c>
      <c r="B710" s="2" t="n">
        <v>2003</v>
      </c>
      <c r="C710" s="2" t="s">
        <v>49</v>
      </c>
      <c r="D710" s="2" t="n">
        <v>0</v>
      </c>
      <c r="E710" s="2" t="n">
        <v>32</v>
      </c>
      <c r="F710" s="2" t="s">
        <v>50</v>
      </c>
      <c r="G710" s="3" t="n">
        <v>1</v>
      </c>
      <c r="H710" s="3" t="n">
        <v>1</v>
      </c>
      <c r="I710" s="3" t="n">
        <v>1</v>
      </c>
      <c r="J710" s="3" t="n">
        <v>0</v>
      </c>
      <c r="K710" s="3" t="n">
        <v>0</v>
      </c>
      <c r="L710" s="3" t="n">
        <v>1</v>
      </c>
      <c r="M710" s="3" t="n">
        <v>1</v>
      </c>
      <c r="N710" s="3" t="n">
        <v>0</v>
      </c>
      <c r="O710" s="3" t="n">
        <v>0</v>
      </c>
      <c r="P710" s="3" t="n">
        <v>1</v>
      </c>
      <c r="Q710" s="3" t="n">
        <v>0</v>
      </c>
      <c r="R710" s="3" t="n">
        <v>0</v>
      </c>
      <c r="S710" s="3" t="n">
        <v>1</v>
      </c>
      <c r="T710" s="3" t="n">
        <v>0</v>
      </c>
      <c r="U710" s="3" t="n">
        <v>0</v>
      </c>
      <c r="V710" s="3" t="n">
        <v>1</v>
      </c>
      <c r="W710" s="3" t="n">
        <v>1</v>
      </c>
      <c r="X710" s="3" t="n">
        <v>0</v>
      </c>
      <c r="Y710" s="3" t="n">
        <v>1</v>
      </c>
      <c r="Z710" s="3" t="n">
        <v>1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1</v>
      </c>
      <c r="AF710" s="3" t="n">
        <v>1</v>
      </c>
      <c r="AG710" s="3" t="n">
        <v>1</v>
      </c>
      <c r="AH710" s="3" t="n">
        <v>0</v>
      </c>
      <c r="AI710" s="3" t="n">
        <v>0</v>
      </c>
      <c r="AJ710" s="4" t="n">
        <f aca="false">SUM(G710:AI710)</f>
        <v>14</v>
      </c>
      <c r="AK710" s="4" t="n">
        <f aca="false">ROUND(SUMPRODUCT(G710:AI710,Gene_Weights!$B$2:$AD$2),3)</f>
        <v>-7.21</v>
      </c>
      <c r="AL710" s="2" t="n">
        <v>7</v>
      </c>
      <c r="AM710" s="2" t="n">
        <v>2</v>
      </c>
      <c r="AN710" s="2" t="n">
        <v>28.57</v>
      </c>
      <c r="AO710" s="5" t="n">
        <v>55.12</v>
      </c>
      <c r="AP710" s="5" t="n">
        <v>56.02</v>
      </c>
      <c r="AQ710" s="5" t="n">
        <v>56.92</v>
      </c>
      <c r="AR710" s="5" t="n">
        <v>57.82</v>
      </c>
      <c r="AS710" s="5" t="n">
        <v>58.72</v>
      </c>
      <c r="AT710" s="5" t="n">
        <v>59.62</v>
      </c>
      <c r="AU710" s="5" t="n">
        <v>60.52</v>
      </c>
      <c r="AV710" s="5" t="s">
        <v>51</v>
      </c>
    </row>
    <row r="711" customFormat="false" ht="15" hidden="false" customHeight="false" outlineLevel="0" collapsed="false">
      <c r="A711" s="2" t="s">
        <v>174</v>
      </c>
      <c r="B711" s="2" t="n">
        <v>2003</v>
      </c>
      <c r="C711" s="2" t="s">
        <v>52</v>
      </c>
      <c r="D711" s="2" t="n">
        <v>0</v>
      </c>
      <c r="E711" s="2" t="n">
        <v>2</v>
      </c>
      <c r="F711" s="2" t="s">
        <v>50</v>
      </c>
      <c r="G711" s="3" t="n">
        <v>1</v>
      </c>
      <c r="H711" s="3" t="n">
        <v>1</v>
      </c>
      <c r="I711" s="3" t="n">
        <v>1</v>
      </c>
      <c r="J711" s="3" t="n">
        <v>0</v>
      </c>
      <c r="K711" s="3" t="n">
        <v>0</v>
      </c>
      <c r="L711" s="3" t="n">
        <v>1</v>
      </c>
      <c r="M711" s="3" t="n">
        <v>1</v>
      </c>
      <c r="N711" s="3" t="n">
        <v>0</v>
      </c>
      <c r="O711" s="3" t="n">
        <v>0</v>
      </c>
      <c r="P711" s="3" t="n">
        <v>1</v>
      </c>
      <c r="Q711" s="3" t="n">
        <v>0</v>
      </c>
      <c r="R711" s="3" t="n">
        <v>0</v>
      </c>
      <c r="S711" s="3" t="n">
        <v>1</v>
      </c>
      <c r="T711" s="3" t="n">
        <v>0</v>
      </c>
      <c r="U711" s="3" t="n">
        <v>0</v>
      </c>
      <c r="V711" s="3" t="n">
        <v>1</v>
      </c>
      <c r="W711" s="3" t="n">
        <v>1</v>
      </c>
      <c r="X711" s="3" t="n">
        <v>0</v>
      </c>
      <c r="Y711" s="3" t="n">
        <v>1</v>
      </c>
      <c r="Z711" s="3" t="n">
        <v>1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1</v>
      </c>
      <c r="AF711" s="3" t="n">
        <v>1</v>
      </c>
      <c r="AG711" s="3" t="n">
        <v>1</v>
      </c>
      <c r="AH711" s="3" t="n">
        <v>0</v>
      </c>
      <c r="AI711" s="3" t="n">
        <v>0</v>
      </c>
      <c r="AJ711" s="4" t="n">
        <f aca="false">SUM(G711:AI711)</f>
        <v>14</v>
      </c>
      <c r="AK711" s="4" t="n">
        <f aca="false">ROUND(SUMPRODUCT(G711:AI711,Gene_Weights!$B$2:$AD$2),3)</f>
        <v>-7.21</v>
      </c>
      <c r="AL711" s="2" t="n">
        <v>7</v>
      </c>
      <c r="AM711" s="2" t="n">
        <v>2</v>
      </c>
      <c r="AN711" s="2" t="n">
        <v>28.57</v>
      </c>
      <c r="AO711" s="5" t="n">
        <v>64.53</v>
      </c>
      <c r="AP711" s="5" t="n">
        <v>66.13</v>
      </c>
      <c r="AQ711" s="5" t="n">
        <v>67.73</v>
      </c>
      <c r="AR711" s="5" t="n">
        <v>69.33</v>
      </c>
      <c r="AS711" s="5" t="n">
        <v>70.93</v>
      </c>
      <c r="AT711" s="5" t="n">
        <v>72.53</v>
      </c>
      <c r="AU711" s="5" t="n">
        <v>74.13</v>
      </c>
      <c r="AV711" s="5" t="s">
        <v>51</v>
      </c>
    </row>
    <row r="712" customFormat="false" ht="15" hidden="false" customHeight="false" outlineLevel="0" collapsed="false">
      <c r="A712" s="2" t="s">
        <v>174</v>
      </c>
      <c r="B712" s="2" t="n">
        <v>2003</v>
      </c>
      <c r="C712" s="2" t="s">
        <v>53</v>
      </c>
      <c r="D712" s="2" t="n">
        <v>0</v>
      </c>
      <c r="E712" s="2" t="n">
        <v>4</v>
      </c>
      <c r="F712" s="2" t="s">
        <v>50</v>
      </c>
      <c r="G712" s="3" t="n">
        <v>1</v>
      </c>
      <c r="H712" s="3" t="n">
        <v>1</v>
      </c>
      <c r="I712" s="3" t="n">
        <v>1</v>
      </c>
      <c r="J712" s="3" t="n">
        <v>0</v>
      </c>
      <c r="K712" s="3" t="n">
        <v>0</v>
      </c>
      <c r="L712" s="3" t="n">
        <v>1</v>
      </c>
      <c r="M712" s="3" t="n">
        <v>1</v>
      </c>
      <c r="N712" s="3" t="n">
        <v>0</v>
      </c>
      <c r="O712" s="3" t="n">
        <v>0</v>
      </c>
      <c r="P712" s="3" t="n">
        <v>1</v>
      </c>
      <c r="Q712" s="3" t="n">
        <v>0</v>
      </c>
      <c r="R712" s="3" t="n">
        <v>0</v>
      </c>
      <c r="S712" s="3" t="n">
        <v>1</v>
      </c>
      <c r="T712" s="3" t="n">
        <v>0</v>
      </c>
      <c r="U712" s="3" t="n">
        <v>0</v>
      </c>
      <c r="V712" s="3" t="n">
        <v>1</v>
      </c>
      <c r="W712" s="3" t="n">
        <v>1</v>
      </c>
      <c r="X712" s="3" t="n">
        <v>0</v>
      </c>
      <c r="Y712" s="3" t="n">
        <v>1</v>
      </c>
      <c r="Z712" s="3" t="n">
        <v>1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1</v>
      </c>
      <c r="AF712" s="3" t="n">
        <v>1</v>
      </c>
      <c r="AG712" s="3" t="n">
        <v>1</v>
      </c>
      <c r="AH712" s="3" t="n">
        <v>0</v>
      </c>
      <c r="AI712" s="3" t="n">
        <v>0</v>
      </c>
      <c r="AJ712" s="4" t="n">
        <f aca="false">SUM(G712:AI712)</f>
        <v>14</v>
      </c>
      <c r="AK712" s="4" t="n">
        <f aca="false">ROUND(SUMPRODUCT(G712:AI712,Gene_Weights!$B$2:$AD$2),3)</f>
        <v>-7.21</v>
      </c>
      <c r="AL712" s="2" t="n">
        <v>7</v>
      </c>
      <c r="AM712" s="2" t="n">
        <v>3</v>
      </c>
      <c r="AN712" s="2" t="n">
        <v>42.86</v>
      </c>
      <c r="AO712" s="5" t="n">
        <v>52.86</v>
      </c>
      <c r="AP712" s="5" t="n">
        <v>53.65</v>
      </c>
      <c r="AQ712" s="5" t="n">
        <v>54.45</v>
      </c>
      <c r="AR712" s="5" t="n">
        <v>55.24</v>
      </c>
      <c r="AS712" s="5" t="n">
        <v>56.03</v>
      </c>
      <c r="AT712" s="5" t="n">
        <v>56.83</v>
      </c>
      <c r="AU712" s="5" t="n">
        <v>57.62</v>
      </c>
      <c r="AV712" s="5" t="s">
        <v>51</v>
      </c>
    </row>
    <row r="713" customFormat="false" ht="15" hidden="false" customHeight="false" outlineLevel="0" collapsed="false">
      <c r="A713" s="2" t="s">
        <v>174</v>
      </c>
      <c r="B713" s="2" t="n">
        <v>2003</v>
      </c>
      <c r="C713" s="2" t="s">
        <v>54</v>
      </c>
      <c r="D713" s="2" t="n">
        <v>0</v>
      </c>
      <c r="E713" s="2" t="n">
        <v>32</v>
      </c>
      <c r="F713" s="2" t="s">
        <v>50</v>
      </c>
      <c r="G713" s="3" t="n">
        <v>1</v>
      </c>
      <c r="H713" s="3" t="n">
        <v>1</v>
      </c>
      <c r="I713" s="3" t="n">
        <v>1</v>
      </c>
      <c r="J713" s="3" t="n">
        <v>0</v>
      </c>
      <c r="K713" s="3" t="n">
        <v>0</v>
      </c>
      <c r="L713" s="3" t="n">
        <v>1</v>
      </c>
      <c r="M713" s="3" t="n">
        <v>1</v>
      </c>
      <c r="N713" s="3" t="n">
        <v>0</v>
      </c>
      <c r="O713" s="3" t="n">
        <v>0</v>
      </c>
      <c r="P713" s="3" t="n">
        <v>1</v>
      </c>
      <c r="Q713" s="3" t="n">
        <v>0</v>
      </c>
      <c r="R713" s="3" t="n">
        <v>0</v>
      </c>
      <c r="S713" s="3" t="n">
        <v>1</v>
      </c>
      <c r="T713" s="3" t="n">
        <v>0</v>
      </c>
      <c r="U713" s="3" t="n">
        <v>0</v>
      </c>
      <c r="V713" s="3" t="n">
        <v>1</v>
      </c>
      <c r="W713" s="3" t="n">
        <v>1</v>
      </c>
      <c r="X713" s="3" t="n">
        <v>0</v>
      </c>
      <c r="Y713" s="3" t="n">
        <v>1</v>
      </c>
      <c r="Z713" s="3" t="n">
        <v>1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1</v>
      </c>
      <c r="AF713" s="3" t="n">
        <v>1</v>
      </c>
      <c r="AG713" s="3" t="n">
        <v>1</v>
      </c>
      <c r="AH713" s="3" t="n">
        <v>0</v>
      </c>
      <c r="AI713" s="3" t="n">
        <v>0</v>
      </c>
      <c r="AJ713" s="4" t="n">
        <f aca="false">SUM(G713:AI713)</f>
        <v>14</v>
      </c>
      <c r="AK713" s="4" t="n">
        <f aca="false">ROUND(SUMPRODUCT(G713:AI713,Gene_Weights!$B$2:$AD$2),3)</f>
        <v>-7.21</v>
      </c>
      <c r="AL713" s="2" t="n">
        <v>7</v>
      </c>
      <c r="AM713" s="2" t="n">
        <v>3</v>
      </c>
      <c r="AN713" s="2" t="n">
        <v>42.86</v>
      </c>
      <c r="AO713" s="5" t="n">
        <v>81.84</v>
      </c>
      <c r="AP713" s="5" t="n">
        <v>84.45</v>
      </c>
      <c r="AQ713" s="5" t="n">
        <v>87.06</v>
      </c>
      <c r="AR713" s="5" t="n">
        <v>89.67</v>
      </c>
      <c r="AS713" s="5" t="n">
        <v>92.27</v>
      </c>
      <c r="AT713" s="5" t="n">
        <v>94.88</v>
      </c>
      <c r="AU713" s="5" t="n">
        <v>97.49</v>
      </c>
      <c r="AV713" s="5" t="s">
        <v>51</v>
      </c>
    </row>
    <row r="714" customFormat="false" ht="15" hidden="false" customHeight="false" outlineLevel="0" collapsed="false">
      <c r="A714" s="2" t="s">
        <v>174</v>
      </c>
      <c r="B714" s="2" t="n">
        <v>2003</v>
      </c>
      <c r="C714" s="2" t="s">
        <v>55</v>
      </c>
      <c r="D714" s="2" t="n">
        <v>0</v>
      </c>
      <c r="E714" s="2" t="n">
        <v>16</v>
      </c>
      <c r="F714" s="2" t="s">
        <v>50</v>
      </c>
      <c r="G714" s="3" t="n">
        <v>1</v>
      </c>
      <c r="H714" s="3" t="n">
        <v>1</v>
      </c>
      <c r="I714" s="3" t="n">
        <v>1</v>
      </c>
      <c r="J714" s="3" t="n">
        <v>0</v>
      </c>
      <c r="K714" s="3" t="n">
        <v>0</v>
      </c>
      <c r="L714" s="3" t="n">
        <v>1</v>
      </c>
      <c r="M714" s="3" t="n">
        <v>1</v>
      </c>
      <c r="N714" s="3" t="n">
        <v>0</v>
      </c>
      <c r="O714" s="3" t="n">
        <v>0</v>
      </c>
      <c r="P714" s="3" t="n">
        <v>1</v>
      </c>
      <c r="Q714" s="3" t="n">
        <v>0</v>
      </c>
      <c r="R714" s="3" t="n">
        <v>0</v>
      </c>
      <c r="S714" s="3" t="n">
        <v>1</v>
      </c>
      <c r="T714" s="3" t="n">
        <v>0</v>
      </c>
      <c r="U714" s="3" t="n">
        <v>0</v>
      </c>
      <c r="V714" s="3" t="n">
        <v>1</v>
      </c>
      <c r="W714" s="3" t="n">
        <v>1</v>
      </c>
      <c r="X714" s="3" t="n">
        <v>0</v>
      </c>
      <c r="Y714" s="3" t="n">
        <v>1</v>
      </c>
      <c r="Z714" s="3" t="n">
        <v>1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1</v>
      </c>
      <c r="AF714" s="3" t="n">
        <v>1</v>
      </c>
      <c r="AG714" s="3" t="n">
        <v>1</v>
      </c>
      <c r="AH714" s="3" t="n">
        <v>0</v>
      </c>
      <c r="AI714" s="3" t="n">
        <v>0</v>
      </c>
      <c r="AJ714" s="4" t="n">
        <f aca="false">SUM(G714:AI714)</f>
        <v>14</v>
      </c>
      <c r="AK714" s="4" t="n">
        <f aca="false">ROUND(SUMPRODUCT(G714:AI714,Gene_Weights!$B$2:$AD$2),3)</f>
        <v>-7.21</v>
      </c>
      <c r="AL714" s="2" t="n">
        <v>7</v>
      </c>
      <c r="AM714" s="2" t="n">
        <v>1</v>
      </c>
      <c r="AN714" s="2" t="n">
        <v>14.29</v>
      </c>
      <c r="AO714" s="5" t="n">
        <v>58.19</v>
      </c>
      <c r="AP714" s="5" t="n">
        <v>59.74</v>
      </c>
      <c r="AQ714" s="5" t="n">
        <v>61.3</v>
      </c>
      <c r="AR714" s="5" t="n">
        <v>62.86</v>
      </c>
      <c r="AS714" s="5" t="n">
        <v>64.42</v>
      </c>
      <c r="AT714" s="5" t="n">
        <v>65.98</v>
      </c>
      <c r="AU714" s="5" t="n">
        <v>67.53</v>
      </c>
      <c r="AV714" s="5" t="s">
        <v>51</v>
      </c>
    </row>
    <row r="715" customFormat="false" ht="15" hidden="false" customHeight="false" outlineLevel="0" collapsed="false">
      <c r="A715" s="2" t="s">
        <v>174</v>
      </c>
      <c r="B715" s="2" t="n">
        <v>2003</v>
      </c>
      <c r="C715" s="2" t="s">
        <v>56</v>
      </c>
      <c r="D715" s="2" t="n">
        <v>0</v>
      </c>
      <c r="E715" s="2" t="n">
        <v>32</v>
      </c>
      <c r="F715" s="2" t="s">
        <v>50</v>
      </c>
      <c r="G715" s="3" t="n">
        <v>1</v>
      </c>
      <c r="H715" s="3" t="n">
        <v>1</v>
      </c>
      <c r="I715" s="3" t="n">
        <v>1</v>
      </c>
      <c r="J715" s="3" t="n">
        <v>0</v>
      </c>
      <c r="K715" s="3" t="n">
        <v>0</v>
      </c>
      <c r="L715" s="3" t="n">
        <v>1</v>
      </c>
      <c r="M715" s="3" t="n">
        <v>1</v>
      </c>
      <c r="N715" s="3" t="n">
        <v>0</v>
      </c>
      <c r="O715" s="3" t="n">
        <v>0</v>
      </c>
      <c r="P715" s="3" t="n">
        <v>1</v>
      </c>
      <c r="Q715" s="3" t="n">
        <v>0</v>
      </c>
      <c r="R715" s="3" t="n">
        <v>0</v>
      </c>
      <c r="S715" s="3" t="n">
        <v>1</v>
      </c>
      <c r="T715" s="3" t="n">
        <v>0</v>
      </c>
      <c r="U715" s="3" t="n">
        <v>0</v>
      </c>
      <c r="V715" s="3" t="n">
        <v>1</v>
      </c>
      <c r="W715" s="3" t="n">
        <v>1</v>
      </c>
      <c r="X715" s="3" t="n">
        <v>0</v>
      </c>
      <c r="Y715" s="3" t="n">
        <v>1</v>
      </c>
      <c r="Z715" s="3" t="n">
        <v>1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1</v>
      </c>
      <c r="AF715" s="3" t="n">
        <v>1</v>
      </c>
      <c r="AG715" s="3" t="n">
        <v>1</v>
      </c>
      <c r="AH715" s="3" t="n">
        <v>0</v>
      </c>
      <c r="AI715" s="3" t="n">
        <v>0</v>
      </c>
      <c r="AJ715" s="4" t="n">
        <f aca="false">SUM(G715:AI715)</f>
        <v>14</v>
      </c>
      <c r="AK715" s="4" t="n">
        <f aca="false">ROUND(SUMPRODUCT(G715:AI715,Gene_Weights!$B$2:$AD$2),3)</f>
        <v>-7.21</v>
      </c>
      <c r="AL715" s="2" t="n">
        <v>7</v>
      </c>
      <c r="AM715" s="2" t="n">
        <v>1</v>
      </c>
      <c r="AN715" s="2" t="n">
        <v>14.29</v>
      </c>
      <c r="AO715" s="5" t="n">
        <v>75.59</v>
      </c>
      <c r="AP715" s="5" t="n">
        <v>78.01</v>
      </c>
      <c r="AQ715" s="5" t="n">
        <v>80.42</v>
      </c>
      <c r="AR715" s="5" t="n">
        <v>82.83</v>
      </c>
      <c r="AS715" s="5" t="n">
        <v>85.24</v>
      </c>
      <c r="AT715" s="5" t="n">
        <v>87.66</v>
      </c>
      <c r="AU715" s="5" t="n">
        <v>90.07</v>
      </c>
      <c r="AV715" s="5" t="s">
        <v>51</v>
      </c>
    </row>
    <row r="716" customFormat="false" ht="15" hidden="false" customHeight="false" outlineLevel="0" collapsed="false">
      <c r="A716" s="2" t="s">
        <v>175</v>
      </c>
      <c r="B716" s="2" t="n">
        <v>2005</v>
      </c>
      <c r="C716" s="2" t="s">
        <v>49</v>
      </c>
      <c r="D716" s="2" t="n">
        <v>0</v>
      </c>
      <c r="E716" s="2" t="n">
        <v>16</v>
      </c>
      <c r="F716" s="2" t="s">
        <v>50</v>
      </c>
      <c r="G716" s="3" t="n">
        <v>0</v>
      </c>
      <c r="H716" s="3" t="n">
        <v>1</v>
      </c>
      <c r="I716" s="3" t="n">
        <v>0</v>
      </c>
      <c r="J716" s="3" t="n">
        <v>1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1</v>
      </c>
      <c r="P716" s="3" t="n">
        <v>1</v>
      </c>
      <c r="Q716" s="3" t="n">
        <v>1</v>
      </c>
      <c r="R716" s="3" t="n">
        <v>0</v>
      </c>
      <c r="S716" s="3" t="n">
        <v>0</v>
      </c>
      <c r="T716" s="3" t="n">
        <v>0</v>
      </c>
      <c r="U716" s="3" t="n">
        <v>1</v>
      </c>
      <c r="V716" s="3" t="n">
        <v>1</v>
      </c>
      <c r="W716" s="3" t="n">
        <v>0</v>
      </c>
      <c r="X716" s="3" t="n">
        <v>0</v>
      </c>
      <c r="Y716" s="3" t="n">
        <v>1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1</v>
      </c>
      <c r="AJ716" s="4" t="n">
        <f aca="false">SUM(G716:AI716)</f>
        <v>9</v>
      </c>
      <c r="AK716" s="4" t="n">
        <f aca="false">ROUND(SUMPRODUCT(G716:AI716,Gene_Weights!$B$2:$AD$2),3)</f>
        <v>-8.2</v>
      </c>
      <c r="AL716" s="2" t="n">
        <v>6</v>
      </c>
      <c r="AM716" s="2" t="n">
        <v>1</v>
      </c>
      <c r="AN716" s="2" t="n">
        <v>16.67</v>
      </c>
      <c r="AO716" s="5" t="n">
        <v>55.12</v>
      </c>
      <c r="AP716" s="5" t="n">
        <v>56.02</v>
      </c>
      <c r="AQ716" s="5" t="n">
        <v>56.92</v>
      </c>
      <c r="AR716" s="5" t="n">
        <v>57.82</v>
      </c>
      <c r="AS716" s="5" t="n">
        <v>58.72</v>
      </c>
      <c r="AT716" s="5" t="n">
        <v>59.62</v>
      </c>
      <c r="AU716" s="5" t="n">
        <v>60.52</v>
      </c>
      <c r="AV716" s="5" t="s">
        <v>51</v>
      </c>
    </row>
    <row r="717" customFormat="false" ht="15" hidden="false" customHeight="false" outlineLevel="0" collapsed="false">
      <c r="A717" s="2" t="s">
        <v>175</v>
      </c>
      <c r="B717" s="2" t="n">
        <v>2005</v>
      </c>
      <c r="C717" s="2" t="s">
        <v>52</v>
      </c>
      <c r="D717" s="2" t="n">
        <v>0</v>
      </c>
      <c r="E717" s="2" t="n">
        <v>2</v>
      </c>
      <c r="F717" s="2" t="s">
        <v>50</v>
      </c>
      <c r="G717" s="3" t="n">
        <v>0</v>
      </c>
      <c r="H717" s="3" t="n">
        <v>1</v>
      </c>
      <c r="I717" s="3" t="n">
        <v>0</v>
      </c>
      <c r="J717" s="3" t="n">
        <v>1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1</v>
      </c>
      <c r="P717" s="3" t="n">
        <v>1</v>
      </c>
      <c r="Q717" s="3" t="n">
        <v>1</v>
      </c>
      <c r="R717" s="3" t="n">
        <v>0</v>
      </c>
      <c r="S717" s="3" t="n">
        <v>0</v>
      </c>
      <c r="T717" s="3" t="n">
        <v>0</v>
      </c>
      <c r="U717" s="3" t="n">
        <v>1</v>
      </c>
      <c r="V717" s="3" t="n">
        <v>1</v>
      </c>
      <c r="W717" s="3" t="n">
        <v>0</v>
      </c>
      <c r="X717" s="3" t="n">
        <v>0</v>
      </c>
      <c r="Y717" s="3" t="n">
        <v>1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1</v>
      </c>
      <c r="AJ717" s="4" t="n">
        <f aca="false">SUM(G717:AI717)</f>
        <v>9</v>
      </c>
      <c r="AK717" s="4" t="n">
        <f aca="false">ROUND(SUMPRODUCT(G717:AI717,Gene_Weights!$B$2:$AD$2),3)</f>
        <v>-8.2</v>
      </c>
      <c r="AL717" s="2" t="n">
        <v>6</v>
      </c>
      <c r="AM717" s="2" t="n">
        <v>2</v>
      </c>
      <c r="AN717" s="2" t="n">
        <v>33.33</v>
      </c>
      <c r="AO717" s="5" t="n">
        <v>64.53</v>
      </c>
      <c r="AP717" s="5" t="n">
        <v>66.13</v>
      </c>
      <c r="AQ717" s="5" t="n">
        <v>67.73</v>
      </c>
      <c r="AR717" s="5" t="n">
        <v>69.33</v>
      </c>
      <c r="AS717" s="5" t="n">
        <v>70.93</v>
      </c>
      <c r="AT717" s="5" t="n">
        <v>72.53</v>
      </c>
      <c r="AU717" s="5" t="n">
        <v>74.13</v>
      </c>
      <c r="AV717" s="5" t="s">
        <v>51</v>
      </c>
    </row>
    <row r="718" customFormat="false" ht="15" hidden="false" customHeight="false" outlineLevel="0" collapsed="false">
      <c r="A718" s="2" t="s">
        <v>175</v>
      </c>
      <c r="B718" s="2" t="n">
        <v>2005</v>
      </c>
      <c r="C718" s="2" t="s">
        <v>53</v>
      </c>
      <c r="D718" s="2" t="n">
        <v>0</v>
      </c>
      <c r="E718" s="2" t="n">
        <v>16</v>
      </c>
      <c r="F718" s="2" t="s">
        <v>50</v>
      </c>
      <c r="G718" s="3" t="n">
        <v>0</v>
      </c>
      <c r="H718" s="3" t="n">
        <v>1</v>
      </c>
      <c r="I718" s="3" t="n">
        <v>0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1</v>
      </c>
      <c r="P718" s="3" t="n">
        <v>1</v>
      </c>
      <c r="Q718" s="3" t="n">
        <v>1</v>
      </c>
      <c r="R718" s="3" t="n">
        <v>0</v>
      </c>
      <c r="S718" s="3" t="n">
        <v>0</v>
      </c>
      <c r="T718" s="3" t="n">
        <v>0</v>
      </c>
      <c r="U718" s="3" t="n">
        <v>1</v>
      </c>
      <c r="V718" s="3" t="n">
        <v>1</v>
      </c>
      <c r="W718" s="3" t="n">
        <v>0</v>
      </c>
      <c r="X718" s="3" t="n">
        <v>0</v>
      </c>
      <c r="Y718" s="3" t="n">
        <v>1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1</v>
      </c>
      <c r="AJ718" s="4" t="n">
        <f aca="false">SUM(G718:AI718)</f>
        <v>9</v>
      </c>
      <c r="AK718" s="4" t="n">
        <f aca="false">ROUND(SUMPRODUCT(G718:AI718,Gene_Weights!$B$2:$AD$2),3)</f>
        <v>-8.2</v>
      </c>
      <c r="AL718" s="2" t="n">
        <v>6</v>
      </c>
      <c r="AM718" s="2" t="n">
        <v>0</v>
      </c>
      <c r="AN718" s="2" t="n">
        <v>0</v>
      </c>
      <c r="AO718" s="5" t="n">
        <v>52.86</v>
      </c>
      <c r="AP718" s="5" t="n">
        <v>53.65</v>
      </c>
      <c r="AQ718" s="5" t="n">
        <v>54.45</v>
      </c>
      <c r="AR718" s="5" t="n">
        <v>55.24</v>
      </c>
      <c r="AS718" s="5" t="n">
        <v>56.03</v>
      </c>
      <c r="AT718" s="5" t="n">
        <v>56.83</v>
      </c>
      <c r="AU718" s="5" t="n">
        <v>57.62</v>
      </c>
      <c r="AV718" s="5" t="s">
        <v>51</v>
      </c>
    </row>
    <row r="719" customFormat="false" ht="15" hidden="false" customHeight="false" outlineLevel="0" collapsed="false">
      <c r="A719" s="2" t="s">
        <v>175</v>
      </c>
      <c r="B719" s="2" t="n">
        <v>2005</v>
      </c>
      <c r="C719" s="2" t="s">
        <v>54</v>
      </c>
      <c r="D719" s="2" t="n">
        <v>0</v>
      </c>
      <c r="E719" s="2" t="n">
        <v>32</v>
      </c>
      <c r="F719" s="2" t="s">
        <v>50</v>
      </c>
      <c r="G719" s="3" t="n">
        <v>0</v>
      </c>
      <c r="H719" s="3" t="n">
        <v>1</v>
      </c>
      <c r="I719" s="3" t="n">
        <v>0</v>
      </c>
      <c r="J719" s="3" t="n">
        <v>1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1</v>
      </c>
      <c r="P719" s="3" t="n">
        <v>1</v>
      </c>
      <c r="Q719" s="3" t="n">
        <v>1</v>
      </c>
      <c r="R719" s="3" t="n">
        <v>0</v>
      </c>
      <c r="S719" s="3" t="n">
        <v>0</v>
      </c>
      <c r="T719" s="3" t="n">
        <v>0</v>
      </c>
      <c r="U719" s="3" t="n">
        <v>1</v>
      </c>
      <c r="V719" s="3" t="n">
        <v>1</v>
      </c>
      <c r="W719" s="3" t="n">
        <v>0</v>
      </c>
      <c r="X719" s="3" t="n">
        <v>0</v>
      </c>
      <c r="Y719" s="3" t="n">
        <v>1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1</v>
      </c>
      <c r="AJ719" s="4" t="n">
        <f aca="false">SUM(G719:AI719)</f>
        <v>9</v>
      </c>
      <c r="AK719" s="4" t="n">
        <f aca="false">ROUND(SUMPRODUCT(G719:AI719,Gene_Weights!$B$2:$AD$2),3)</f>
        <v>-8.2</v>
      </c>
      <c r="AL719" s="2" t="n">
        <v>6</v>
      </c>
      <c r="AM719" s="2" t="n">
        <v>0</v>
      </c>
      <c r="AN719" s="2" t="n">
        <v>0</v>
      </c>
      <c r="AO719" s="5" t="n">
        <v>81.84</v>
      </c>
      <c r="AP719" s="5" t="n">
        <v>84.45</v>
      </c>
      <c r="AQ719" s="5" t="n">
        <v>87.06</v>
      </c>
      <c r="AR719" s="5" t="n">
        <v>89.67</v>
      </c>
      <c r="AS719" s="5" t="n">
        <v>92.27</v>
      </c>
      <c r="AT719" s="5" t="n">
        <v>94.88</v>
      </c>
      <c r="AU719" s="5" t="n">
        <v>97.49</v>
      </c>
      <c r="AV719" s="5" t="s">
        <v>51</v>
      </c>
    </row>
    <row r="720" customFormat="false" ht="15" hidden="false" customHeight="false" outlineLevel="0" collapsed="false">
      <c r="A720" s="2" t="s">
        <v>175</v>
      </c>
      <c r="B720" s="2" t="n">
        <v>2005</v>
      </c>
      <c r="C720" s="2" t="s">
        <v>55</v>
      </c>
      <c r="D720" s="2" t="n">
        <v>0</v>
      </c>
      <c r="E720" s="2" t="n">
        <v>16</v>
      </c>
      <c r="F720" s="2" t="s">
        <v>50</v>
      </c>
      <c r="G720" s="3" t="n">
        <v>0</v>
      </c>
      <c r="H720" s="3" t="n">
        <v>1</v>
      </c>
      <c r="I720" s="3" t="n">
        <v>0</v>
      </c>
      <c r="J720" s="3" t="n">
        <v>1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1</v>
      </c>
      <c r="P720" s="3" t="n">
        <v>1</v>
      </c>
      <c r="Q720" s="3" t="n">
        <v>1</v>
      </c>
      <c r="R720" s="3" t="n">
        <v>0</v>
      </c>
      <c r="S720" s="3" t="n">
        <v>0</v>
      </c>
      <c r="T720" s="3" t="n">
        <v>0</v>
      </c>
      <c r="U720" s="3" t="n">
        <v>1</v>
      </c>
      <c r="V720" s="3" t="n">
        <v>1</v>
      </c>
      <c r="W720" s="3" t="n">
        <v>0</v>
      </c>
      <c r="X720" s="3" t="n">
        <v>0</v>
      </c>
      <c r="Y720" s="3" t="n">
        <v>1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1</v>
      </c>
      <c r="AJ720" s="4" t="n">
        <f aca="false">SUM(G720:AI720)</f>
        <v>9</v>
      </c>
      <c r="AK720" s="4" t="n">
        <f aca="false">ROUND(SUMPRODUCT(G720:AI720,Gene_Weights!$B$2:$AD$2),3)</f>
        <v>-8.2</v>
      </c>
      <c r="AL720" s="2" t="n">
        <v>6</v>
      </c>
      <c r="AM720" s="2" t="n">
        <v>1</v>
      </c>
      <c r="AN720" s="2" t="n">
        <v>16.67</v>
      </c>
      <c r="AO720" s="5" t="n">
        <v>58.19</v>
      </c>
      <c r="AP720" s="5" t="n">
        <v>59.74</v>
      </c>
      <c r="AQ720" s="5" t="n">
        <v>61.3</v>
      </c>
      <c r="AR720" s="5" t="n">
        <v>62.86</v>
      </c>
      <c r="AS720" s="5" t="n">
        <v>64.42</v>
      </c>
      <c r="AT720" s="5" t="n">
        <v>65.98</v>
      </c>
      <c r="AU720" s="5" t="n">
        <v>67.53</v>
      </c>
      <c r="AV720" s="5" t="s">
        <v>51</v>
      </c>
    </row>
    <row r="721" customFormat="false" ht="15" hidden="false" customHeight="false" outlineLevel="0" collapsed="false">
      <c r="A721" s="2" t="s">
        <v>175</v>
      </c>
      <c r="B721" s="2" t="n">
        <v>2005</v>
      </c>
      <c r="C721" s="2" t="s">
        <v>56</v>
      </c>
      <c r="D721" s="2" t="n">
        <v>1</v>
      </c>
      <c r="E721" s="2" t="n">
        <v>2</v>
      </c>
      <c r="F721" s="2" t="s">
        <v>50</v>
      </c>
      <c r="G721" s="3" t="n">
        <v>0</v>
      </c>
      <c r="H721" s="3" t="n">
        <v>1</v>
      </c>
      <c r="I721" s="3" t="n">
        <v>0</v>
      </c>
      <c r="J721" s="3" t="n">
        <v>1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1</v>
      </c>
      <c r="P721" s="3" t="n">
        <v>1</v>
      </c>
      <c r="Q721" s="3" t="n">
        <v>1</v>
      </c>
      <c r="R721" s="3" t="n">
        <v>0</v>
      </c>
      <c r="S721" s="3" t="n">
        <v>0</v>
      </c>
      <c r="T721" s="3" t="n">
        <v>0</v>
      </c>
      <c r="U721" s="3" t="n">
        <v>1</v>
      </c>
      <c r="V721" s="3" t="n">
        <v>1</v>
      </c>
      <c r="W721" s="3" t="n">
        <v>0</v>
      </c>
      <c r="X721" s="3" t="n">
        <v>0</v>
      </c>
      <c r="Y721" s="3" t="n">
        <v>1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1</v>
      </c>
      <c r="AJ721" s="4" t="n">
        <f aca="false">SUM(G721:AI721)</f>
        <v>9</v>
      </c>
      <c r="AK721" s="4" t="n">
        <f aca="false">ROUND(SUMPRODUCT(G721:AI721,Gene_Weights!$B$2:$AD$2),3)</f>
        <v>-8.2</v>
      </c>
      <c r="AL721" s="2" t="n">
        <v>6</v>
      </c>
      <c r="AM721" s="2" t="n">
        <v>1</v>
      </c>
      <c r="AN721" s="2" t="n">
        <v>16.67</v>
      </c>
      <c r="AO721" s="5" t="n">
        <v>75.59</v>
      </c>
      <c r="AP721" s="5" t="n">
        <v>78.01</v>
      </c>
      <c r="AQ721" s="5" t="n">
        <v>80.42</v>
      </c>
      <c r="AR721" s="5" t="n">
        <v>82.83</v>
      </c>
      <c r="AS721" s="5" t="n">
        <v>85.24</v>
      </c>
      <c r="AT721" s="5" t="n">
        <v>87.66</v>
      </c>
      <c r="AU721" s="5" t="n">
        <v>90.07</v>
      </c>
      <c r="AV721" s="5" t="s">
        <v>51</v>
      </c>
    </row>
    <row r="722" customFormat="false" ht="15" hidden="false" customHeight="false" outlineLevel="0" collapsed="false">
      <c r="A722" s="2" t="s">
        <v>176</v>
      </c>
      <c r="B722" s="2" t="n">
        <v>2008</v>
      </c>
      <c r="C722" s="2" t="s">
        <v>49</v>
      </c>
      <c r="D722" s="2" t="n">
        <v>1</v>
      </c>
      <c r="E722" s="2" t="n">
        <v>2</v>
      </c>
      <c r="F722" s="2" t="s">
        <v>50</v>
      </c>
      <c r="G722" s="3" t="n">
        <v>0</v>
      </c>
      <c r="H722" s="3" t="n">
        <v>0</v>
      </c>
      <c r="I722" s="3" t="n">
        <v>0</v>
      </c>
      <c r="J722" s="3" t="n">
        <v>1</v>
      </c>
      <c r="K722" s="3" t="n">
        <v>1</v>
      </c>
      <c r="L722" s="3" t="n">
        <v>0</v>
      </c>
      <c r="M722" s="3" t="n">
        <v>1</v>
      </c>
      <c r="N722" s="3" t="n">
        <v>0</v>
      </c>
      <c r="O722" s="3" t="n">
        <v>0</v>
      </c>
      <c r="P722" s="3" t="n">
        <v>1</v>
      </c>
      <c r="Q722" s="3" t="n">
        <v>0</v>
      </c>
      <c r="R722" s="3" t="n">
        <v>1</v>
      </c>
      <c r="S722" s="3" t="n">
        <v>0</v>
      </c>
      <c r="T722" s="3" t="n">
        <v>0</v>
      </c>
      <c r="U722" s="3" t="n">
        <v>0</v>
      </c>
      <c r="V722" s="3" t="n">
        <v>1</v>
      </c>
      <c r="W722" s="3" t="n">
        <v>1</v>
      </c>
      <c r="X722" s="3" t="n">
        <v>0</v>
      </c>
      <c r="Y722" s="3" t="n">
        <v>0</v>
      </c>
      <c r="Z722" s="3" t="n">
        <v>1</v>
      </c>
      <c r="AA722" s="3" t="n">
        <v>1</v>
      </c>
      <c r="AB722" s="3" t="n">
        <v>0</v>
      </c>
      <c r="AC722" s="3" t="n">
        <v>0</v>
      </c>
      <c r="AD722" s="3" t="n">
        <v>1</v>
      </c>
      <c r="AE722" s="3" t="n">
        <v>1</v>
      </c>
      <c r="AF722" s="3" t="n">
        <v>0</v>
      </c>
      <c r="AG722" s="3" t="n">
        <v>0</v>
      </c>
      <c r="AH722" s="3" t="n">
        <v>0</v>
      </c>
      <c r="AI722" s="3" t="n">
        <v>1</v>
      </c>
      <c r="AJ722" s="4" t="n">
        <f aca="false">SUM(G722:AI722)</f>
        <v>12</v>
      </c>
      <c r="AK722" s="4" t="n">
        <f aca="false">ROUND(SUMPRODUCT(G722:AI722,Gene_Weights!$B$2:$AD$2),3)</f>
        <v>-10.44</v>
      </c>
      <c r="AL722" s="2" t="n">
        <v>5</v>
      </c>
      <c r="AM722" s="2" t="n">
        <v>3</v>
      </c>
      <c r="AN722" s="2" t="n">
        <v>60</v>
      </c>
      <c r="AO722" s="5" t="n">
        <v>55.12</v>
      </c>
      <c r="AP722" s="5" t="n">
        <v>56.02</v>
      </c>
      <c r="AQ722" s="5" t="n">
        <v>56.92</v>
      </c>
      <c r="AR722" s="5" t="n">
        <v>57.82</v>
      </c>
      <c r="AS722" s="5" t="n">
        <v>58.72</v>
      </c>
      <c r="AT722" s="5" t="n">
        <v>59.62</v>
      </c>
      <c r="AU722" s="5" t="n">
        <v>60.52</v>
      </c>
      <c r="AV722" s="5" t="s">
        <v>51</v>
      </c>
    </row>
    <row r="723" customFormat="false" ht="15" hidden="false" customHeight="false" outlineLevel="0" collapsed="false">
      <c r="A723" s="2" t="s">
        <v>176</v>
      </c>
      <c r="B723" s="2" t="n">
        <v>2008</v>
      </c>
      <c r="C723" s="2" t="s">
        <v>52</v>
      </c>
      <c r="D723" s="2" t="n">
        <v>0</v>
      </c>
      <c r="E723" s="2" t="n">
        <v>16</v>
      </c>
      <c r="F723" s="2" t="s">
        <v>50</v>
      </c>
      <c r="G723" s="3" t="n">
        <v>0</v>
      </c>
      <c r="H723" s="3" t="n">
        <v>0</v>
      </c>
      <c r="I723" s="3" t="n">
        <v>0</v>
      </c>
      <c r="J723" s="3" t="n">
        <v>1</v>
      </c>
      <c r="K723" s="3" t="n">
        <v>1</v>
      </c>
      <c r="L723" s="3" t="n">
        <v>0</v>
      </c>
      <c r="M723" s="3" t="n">
        <v>1</v>
      </c>
      <c r="N723" s="3" t="n">
        <v>0</v>
      </c>
      <c r="O723" s="3" t="n">
        <v>0</v>
      </c>
      <c r="P723" s="3" t="n">
        <v>1</v>
      </c>
      <c r="Q723" s="3" t="n">
        <v>0</v>
      </c>
      <c r="R723" s="3" t="n">
        <v>1</v>
      </c>
      <c r="S723" s="3" t="n">
        <v>0</v>
      </c>
      <c r="T723" s="3" t="n">
        <v>0</v>
      </c>
      <c r="U723" s="3" t="n">
        <v>0</v>
      </c>
      <c r="V723" s="3" t="n">
        <v>1</v>
      </c>
      <c r="W723" s="3" t="n">
        <v>1</v>
      </c>
      <c r="X723" s="3" t="n">
        <v>0</v>
      </c>
      <c r="Y723" s="3" t="n">
        <v>0</v>
      </c>
      <c r="Z723" s="3" t="n">
        <v>1</v>
      </c>
      <c r="AA723" s="3" t="n">
        <v>1</v>
      </c>
      <c r="AB723" s="3" t="n">
        <v>0</v>
      </c>
      <c r="AC723" s="3" t="n">
        <v>0</v>
      </c>
      <c r="AD723" s="3" t="n">
        <v>1</v>
      </c>
      <c r="AE723" s="3" t="n">
        <v>1</v>
      </c>
      <c r="AF723" s="3" t="n">
        <v>0</v>
      </c>
      <c r="AG723" s="3" t="n">
        <v>0</v>
      </c>
      <c r="AH723" s="3" t="n">
        <v>0</v>
      </c>
      <c r="AI723" s="3" t="n">
        <v>1</v>
      </c>
      <c r="AJ723" s="4" t="n">
        <f aca="false">SUM(G723:AI723)</f>
        <v>12</v>
      </c>
      <c r="AK723" s="4" t="n">
        <f aca="false">ROUND(SUMPRODUCT(G723:AI723,Gene_Weights!$B$2:$AD$2),3)</f>
        <v>-10.44</v>
      </c>
      <c r="AL723" s="2" t="n">
        <v>5</v>
      </c>
      <c r="AM723" s="2" t="n">
        <v>1</v>
      </c>
      <c r="AN723" s="2" t="n">
        <v>20</v>
      </c>
      <c r="AO723" s="5" t="n">
        <v>64.53</v>
      </c>
      <c r="AP723" s="5" t="n">
        <v>66.13</v>
      </c>
      <c r="AQ723" s="5" t="n">
        <v>67.73</v>
      </c>
      <c r="AR723" s="5" t="n">
        <v>69.33</v>
      </c>
      <c r="AS723" s="5" t="n">
        <v>70.93</v>
      </c>
      <c r="AT723" s="5" t="n">
        <v>72.53</v>
      </c>
      <c r="AU723" s="5" t="n">
        <v>74.13</v>
      </c>
      <c r="AV723" s="5" t="s">
        <v>51</v>
      </c>
    </row>
    <row r="724" customFormat="false" ht="15" hidden="false" customHeight="false" outlineLevel="0" collapsed="false">
      <c r="A724" s="2" t="s">
        <v>176</v>
      </c>
      <c r="B724" s="2" t="n">
        <v>2008</v>
      </c>
      <c r="C724" s="2" t="s">
        <v>53</v>
      </c>
      <c r="D724" s="2" t="n">
        <v>0</v>
      </c>
      <c r="E724" s="2" t="n">
        <v>32</v>
      </c>
      <c r="F724" s="2" t="s">
        <v>50</v>
      </c>
      <c r="G724" s="3" t="n">
        <v>0</v>
      </c>
      <c r="H724" s="3" t="n">
        <v>0</v>
      </c>
      <c r="I724" s="3" t="n">
        <v>0</v>
      </c>
      <c r="J724" s="3" t="n">
        <v>1</v>
      </c>
      <c r="K724" s="3" t="n">
        <v>1</v>
      </c>
      <c r="L724" s="3" t="n">
        <v>0</v>
      </c>
      <c r="M724" s="3" t="n">
        <v>1</v>
      </c>
      <c r="N724" s="3" t="n">
        <v>0</v>
      </c>
      <c r="O724" s="3" t="n">
        <v>0</v>
      </c>
      <c r="P724" s="3" t="n">
        <v>1</v>
      </c>
      <c r="Q724" s="3" t="n">
        <v>0</v>
      </c>
      <c r="R724" s="3" t="n">
        <v>1</v>
      </c>
      <c r="S724" s="3" t="n">
        <v>0</v>
      </c>
      <c r="T724" s="3" t="n">
        <v>0</v>
      </c>
      <c r="U724" s="3" t="n">
        <v>0</v>
      </c>
      <c r="V724" s="3" t="n">
        <v>1</v>
      </c>
      <c r="W724" s="3" t="n">
        <v>1</v>
      </c>
      <c r="X724" s="3" t="n">
        <v>0</v>
      </c>
      <c r="Y724" s="3" t="n">
        <v>0</v>
      </c>
      <c r="Z724" s="3" t="n">
        <v>1</v>
      </c>
      <c r="AA724" s="3" t="n">
        <v>1</v>
      </c>
      <c r="AB724" s="3" t="n">
        <v>0</v>
      </c>
      <c r="AC724" s="3" t="n">
        <v>0</v>
      </c>
      <c r="AD724" s="3" t="n">
        <v>1</v>
      </c>
      <c r="AE724" s="3" t="n">
        <v>1</v>
      </c>
      <c r="AF724" s="3" t="n">
        <v>0</v>
      </c>
      <c r="AG724" s="3" t="n">
        <v>0</v>
      </c>
      <c r="AH724" s="3" t="n">
        <v>0</v>
      </c>
      <c r="AI724" s="3" t="n">
        <v>1</v>
      </c>
      <c r="AJ724" s="4" t="n">
        <f aca="false">SUM(G724:AI724)</f>
        <v>12</v>
      </c>
      <c r="AK724" s="4" t="n">
        <f aca="false">ROUND(SUMPRODUCT(G724:AI724,Gene_Weights!$B$2:$AD$2),3)</f>
        <v>-10.44</v>
      </c>
      <c r="AL724" s="2" t="n">
        <v>5</v>
      </c>
      <c r="AM724" s="2" t="n">
        <v>2</v>
      </c>
      <c r="AN724" s="2" t="n">
        <v>40</v>
      </c>
      <c r="AO724" s="5" t="n">
        <v>52.86</v>
      </c>
      <c r="AP724" s="5" t="n">
        <v>53.65</v>
      </c>
      <c r="AQ724" s="5" t="n">
        <v>54.45</v>
      </c>
      <c r="AR724" s="5" t="n">
        <v>55.24</v>
      </c>
      <c r="AS724" s="5" t="n">
        <v>56.03</v>
      </c>
      <c r="AT724" s="5" t="n">
        <v>56.83</v>
      </c>
      <c r="AU724" s="5" t="n">
        <v>57.62</v>
      </c>
      <c r="AV724" s="5" t="s">
        <v>51</v>
      </c>
    </row>
    <row r="725" customFormat="false" ht="15" hidden="false" customHeight="false" outlineLevel="0" collapsed="false">
      <c r="A725" s="2" t="s">
        <v>176</v>
      </c>
      <c r="B725" s="2" t="n">
        <v>2008</v>
      </c>
      <c r="C725" s="2" t="s">
        <v>54</v>
      </c>
      <c r="D725" s="2" t="n">
        <v>1</v>
      </c>
      <c r="E725" s="2" t="n">
        <v>16</v>
      </c>
      <c r="F725" s="2" t="s">
        <v>50</v>
      </c>
      <c r="G725" s="3" t="n">
        <v>0</v>
      </c>
      <c r="H725" s="3" t="n">
        <v>0</v>
      </c>
      <c r="I725" s="3" t="n">
        <v>0</v>
      </c>
      <c r="J725" s="3" t="n">
        <v>1</v>
      </c>
      <c r="K725" s="3" t="n">
        <v>1</v>
      </c>
      <c r="L725" s="3" t="n">
        <v>0</v>
      </c>
      <c r="M725" s="3" t="n">
        <v>1</v>
      </c>
      <c r="N725" s="3" t="n">
        <v>0</v>
      </c>
      <c r="O725" s="3" t="n">
        <v>0</v>
      </c>
      <c r="P725" s="3" t="n">
        <v>1</v>
      </c>
      <c r="Q725" s="3" t="n">
        <v>0</v>
      </c>
      <c r="R725" s="3" t="n">
        <v>1</v>
      </c>
      <c r="S725" s="3" t="n">
        <v>0</v>
      </c>
      <c r="T725" s="3" t="n">
        <v>0</v>
      </c>
      <c r="U725" s="3" t="n">
        <v>0</v>
      </c>
      <c r="V725" s="3" t="n">
        <v>1</v>
      </c>
      <c r="W725" s="3" t="n">
        <v>1</v>
      </c>
      <c r="X725" s="3" t="n">
        <v>0</v>
      </c>
      <c r="Y725" s="3" t="n">
        <v>0</v>
      </c>
      <c r="Z725" s="3" t="n">
        <v>1</v>
      </c>
      <c r="AA725" s="3" t="n">
        <v>1</v>
      </c>
      <c r="AB725" s="3" t="n">
        <v>0</v>
      </c>
      <c r="AC725" s="3" t="n">
        <v>0</v>
      </c>
      <c r="AD725" s="3" t="n">
        <v>1</v>
      </c>
      <c r="AE725" s="3" t="n">
        <v>1</v>
      </c>
      <c r="AF725" s="3" t="n">
        <v>0</v>
      </c>
      <c r="AG725" s="3" t="n">
        <v>0</v>
      </c>
      <c r="AH725" s="3" t="n">
        <v>0</v>
      </c>
      <c r="AI725" s="3" t="n">
        <v>1</v>
      </c>
      <c r="AJ725" s="4" t="n">
        <f aca="false">SUM(G725:AI725)</f>
        <v>12</v>
      </c>
      <c r="AK725" s="4" t="n">
        <f aca="false">ROUND(SUMPRODUCT(G725:AI725,Gene_Weights!$B$2:$AD$2),3)</f>
        <v>-10.44</v>
      </c>
      <c r="AL725" s="2" t="n">
        <v>5</v>
      </c>
      <c r="AM725" s="2" t="n">
        <v>2</v>
      </c>
      <c r="AN725" s="2" t="n">
        <v>40</v>
      </c>
      <c r="AO725" s="5" t="n">
        <v>81.84</v>
      </c>
      <c r="AP725" s="5" t="n">
        <v>84.45</v>
      </c>
      <c r="AQ725" s="5" t="n">
        <v>87.06</v>
      </c>
      <c r="AR725" s="5" t="n">
        <v>89.67</v>
      </c>
      <c r="AS725" s="5" t="n">
        <v>92.27</v>
      </c>
      <c r="AT725" s="5" t="n">
        <v>94.88</v>
      </c>
      <c r="AU725" s="5" t="n">
        <v>97.49</v>
      </c>
      <c r="AV725" s="5" t="s">
        <v>51</v>
      </c>
    </row>
    <row r="726" customFormat="false" ht="15" hidden="false" customHeight="false" outlineLevel="0" collapsed="false">
      <c r="A726" s="2" t="s">
        <v>176</v>
      </c>
      <c r="B726" s="2" t="n">
        <v>2008</v>
      </c>
      <c r="C726" s="2" t="s">
        <v>55</v>
      </c>
      <c r="D726" s="2" t="n">
        <v>0</v>
      </c>
      <c r="E726" s="2" t="n">
        <v>2</v>
      </c>
      <c r="F726" s="2" t="s">
        <v>50</v>
      </c>
      <c r="G726" s="3" t="n">
        <v>0</v>
      </c>
      <c r="H726" s="3" t="n">
        <v>0</v>
      </c>
      <c r="I726" s="3" t="n">
        <v>0</v>
      </c>
      <c r="J726" s="3" t="n">
        <v>1</v>
      </c>
      <c r="K726" s="3" t="n">
        <v>1</v>
      </c>
      <c r="L726" s="3" t="n">
        <v>0</v>
      </c>
      <c r="M726" s="3" t="n">
        <v>1</v>
      </c>
      <c r="N726" s="3" t="n">
        <v>0</v>
      </c>
      <c r="O726" s="3" t="n">
        <v>0</v>
      </c>
      <c r="P726" s="3" t="n">
        <v>1</v>
      </c>
      <c r="Q726" s="3" t="n">
        <v>0</v>
      </c>
      <c r="R726" s="3" t="n">
        <v>1</v>
      </c>
      <c r="S726" s="3" t="n">
        <v>0</v>
      </c>
      <c r="T726" s="3" t="n">
        <v>0</v>
      </c>
      <c r="U726" s="3" t="n">
        <v>0</v>
      </c>
      <c r="V726" s="3" t="n">
        <v>1</v>
      </c>
      <c r="W726" s="3" t="n">
        <v>1</v>
      </c>
      <c r="X726" s="3" t="n">
        <v>0</v>
      </c>
      <c r="Y726" s="3" t="n">
        <v>0</v>
      </c>
      <c r="Z726" s="3" t="n">
        <v>1</v>
      </c>
      <c r="AA726" s="3" t="n">
        <v>1</v>
      </c>
      <c r="AB726" s="3" t="n">
        <v>0</v>
      </c>
      <c r="AC726" s="3" t="n">
        <v>0</v>
      </c>
      <c r="AD726" s="3" t="n">
        <v>1</v>
      </c>
      <c r="AE726" s="3" t="n">
        <v>1</v>
      </c>
      <c r="AF726" s="3" t="n">
        <v>0</v>
      </c>
      <c r="AG726" s="3" t="n">
        <v>0</v>
      </c>
      <c r="AH726" s="3" t="n">
        <v>0</v>
      </c>
      <c r="AI726" s="3" t="n">
        <v>1</v>
      </c>
      <c r="AJ726" s="4" t="n">
        <f aca="false">SUM(G726:AI726)</f>
        <v>12</v>
      </c>
      <c r="AK726" s="4" t="n">
        <f aca="false">ROUND(SUMPRODUCT(G726:AI726,Gene_Weights!$B$2:$AD$2),3)</f>
        <v>-10.44</v>
      </c>
      <c r="AL726" s="2" t="n">
        <v>5</v>
      </c>
      <c r="AM726" s="2" t="n">
        <v>2</v>
      </c>
      <c r="AN726" s="2" t="n">
        <v>40</v>
      </c>
      <c r="AO726" s="5" t="n">
        <v>58.19</v>
      </c>
      <c r="AP726" s="5" t="n">
        <v>59.74</v>
      </c>
      <c r="AQ726" s="5" t="n">
        <v>61.3</v>
      </c>
      <c r="AR726" s="5" t="n">
        <v>62.86</v>
      </c>
      <c r="AS726" s="5" t="n">
        <v>64.42</v>
      </c>
      <c r="AT726" s="5" t="n">
        <v>65.98</v>
      </c>
      <c r="AU726" s="5" t="n">
        <v>67.53</v>
      </c>
      <c r="AV726" s="5" t="s">
        <v>51</v>
      </c>
    </row>
    <row r="727" customFormat="false" ht="15" hidden="false" customHeight="false" outlineLevel="0" collapsed="false">
      <c r="A727" s="2" t="s">
        <v>176</v>
      </c>
      <c r="B727" s="2" t="n">
        <v>2008</v>
      </c>
      <c r="C727" s="2" t="s">
        <v>56</v>
      </c>
      <c r="D727" s="2" t="n">
        <v>1</v>
      </c>
      <c r="E727" s="2" t="n">
        <v>16</v>
      </c>
      <c r="F727" s="2" t="s">
        <v>50</v>
      </c>
      <c r="G727" s="3" t="n">
        <v>0</v>
      </c>
      <c r="H727" s="3" t="n">
        <v>0</v>
      </c>
      <c r="I727" s="3" t="n">
        <v>0</v>
      </c>
      <c r="J727" s="3" t="n">
        <v>1</v>
      </c>
      <c r="K727" s="3" t="n">
        <v>1</v>
      </c>
      <c r="L727" s="3" t="n">
        <v>0</v>
      </c>
      <c r="M727" s="3" t="n">
        <v>1</v>
      </c>
      <c r="N727" s="3" t="n">
        <v>0</v>
      </c>
      <c r="O727" s="3" t="n">
        <v>0</v>
      </c>
      <c r="P727" s="3" t="n">
        <v>1</v>
      </c>
      <c r="Q727" s="3" t="n">
        <v>0</v>
      </c>
      <c r="R727" s="3" t="n">
        <v>1</v>
      </c>
      <c r="S727" s="3" t="n">
        <v>0</v>
      </c>
      <c r="T727" s="3" t="n">
        <v>0</v>
      </c>
      <c r="U727" s="3" t="n">
        <v>0</v>
      </c>
      <c r="V727" s="3" t="n">
        <v>1</v>
      </c>
      <c r="W727" s="3" t="n">
        <v>1</v>
      </c>
      <c r="X727" s="3" t="n">
        <v>0</v>
      </c>
      <c r="Y727" s="3" t="n">
        <v>0</v>
      </c>
      <c r="Z727" s="3" t="n">
        <v>1</v>
      </c>
      <c r="AA727" s="3" t="n">
        <v>1</v>
      </c>
      <c r="AB727" s="3" t="n">
        <v>0</v>
      </c>
      <c r="AC727" s="3" t="n">
        <v>0</v>
      </c>
      <c r="AD727" s="3" t="n">
        <v>1</v>
      </c>
      <c r="AE727" s="3" t="n">
        <v>1</v>
      </c>
      <c r="AF727" s="3" t="n">
        <v>0</v>
      </c>
      <c r="AG727" s="3" t="n">
        <v>0</v>
      </c>
      <c r="AH727" s="3" t="n">
        <v>0</v>
      </c>
      <c r="AI727" s="3" t="n">
        <v>1</v>
      </c>
      <c r="AJ727" s="4" t="n">
        <f aca="false">SUM(G727:AI727)</f>
        <v>12</v>
      </c>
      <c r="AK727" s="4" t="n">
        <f aca="false">ROUND(SUMPRODUCT(G727:AI727,Gene_Weights!$B$2:$AD$2),3)</f>
        <v>-10.44</v>
      </c>
      <c r="AL727" s="2" t="n">
        <v>5</v>
      </c>
      <c r="AM727" s="2" t="n">
        <v>3</v>
      </c>
      <c r="AN727" s="2" t="n">
        <v>60</v>
      </c>
      <c r="AO727" s="5" t="n">
        <v>75.59</v>
      </c>
      <c r="AP727" s="5" t="n">
        <v>78.01</v>
      </c>
      <c r="AQ727" s="5" t="n">
        <v>80.42</v>
      </c>
      <c r="AR727" s="5" t="n">
        <v>82.83</v>
      </c>
      <c r="AS727" s="5" t="n">
        <v>85.24</v>
      </c>
      <c r="AT727" s="5" t="n">
        <v>87.66</v>
      </c>
      <c r="AU727" s="5" t="n">
        <v>90.07</v>
      </c>
      <c r="AV727" s="5" t="s">
        <v>51</v>
      </c>
    </row>
    <row r="728" customFormat="false" ht="15" hidden="false" customHeight="false" outlineLevel="0" collapsed="false">
      <c r="A728" s="2" t="s">
        <v>177</v>
      </c>
      <c r="B728" s="2" t="n">
        <v>2007</v>
      </c>
      <c r="C728" s="2" t="s">
        <v>49</v>
      </c>
      <c r="D728" s="2" t="n">
        <v>1</v>
      </c>
      <c r="E728" s="2" t="n">
        <v>16</v>
      </c>
      <c r="F728" s="2" t="s">
        <v>50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1</v>
      </c>
      <c r="R728" s="3" t="n">
        <v>1</v>
      </c>
      <c r="S728" s="3" t="n">
        <v>0</v>
      </c>
      <c r="T728" s="3" t="n">
        <v>1</v>
      </c>
      <c r="U728" s="3" t="n">
        <v>0</v>
      </c>
      <c r="V728" s="3" t="n">
        <v>1</v>
      </c>
      <c r="W728" s="3" t="n">
        <v>0</v>
      </c>
      <c r="X728" s="3" t="n">
        <v>1</v>
      </c>
      <c r="Y728" s="3" t="n">
        <v>0</v>
      </c>
      <c r="Z728" s="3" t="n">
        <v>1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4" t="n">
        <f aca="false">SUM(G728:AI728)</f>
        <v>6</v>
      </c>
      <c r="AK728" s="4" t="n">
        <f aca="false">ROUND(SUMPRODUCT(G728:AI728,Gene_Weights!$B$2:$AD$2),3)</f>
        <v>-6.36</v>
      </c>
      <c r="AL728" s="2" t="n">
        <v>3</v>
      </c>
      <c r="AM728" s="2" t="n">
        <v>1</v>
      </c>
      <c r="AN728" s="2" t="n">
        <v>33.33</v>
      </c>
      <c r="AO728" s="5" t="n">
        <v>55.12</v>
      </c>
      <c r="AP728" s="5" t="n">
        <v>56.02</v>
      </c>
      <c r="AQ728" s="5" t="n">
        <v>56.92</v>
      </c>
      <c r="AR728" s="5" t="n">
        <v>57.82</v>
      </c>
      <c r="AS728" s="5" t="n">
        <v>58.72</v>
      </c>
      <c r="AT728" s="5" t="n">
        <v>59.62</v>
      </c>
      <c r="AU728" s="5" t="n">
        <v>60.52</v>
      </c>
      <c r="AV728" s="5" t="s">
        <v>51</v>
      </c>
    </row>
    <row r="729" customFormat="false" ht="15" hidden="false" customHeight="false" outlineLevel="0" collapsed="false">
      <c r="A729" s="2" t="s">
        <v>177</v>
      </c>
      <c r="B729" s="2" t="n">
        <v>2007</v>
      </c>
      <c r="C729" s="2" t="s">
        <v>52</v>
      </c>
      <c r="D729" s="2" t="n">
        <v>1</v>
      </c>
      <c r="E729" s="2" t="n">
        <v>16</v>
      </c>
      <c r="F729" s="2" t="s">
        <v>50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1</v>
      </c>
      <c r="R729" s="3" t="n">
        <v>1</v>
      </c>
      <c r="S729" s="3" t="n">
        <v>0</v>
      </c>
      <c r="T729" s="3" t="n">
        <v>1</v>
      </c>
      <c r="U729" s="3" t="n">
        <v>0</v>
      </c>
      <c r="V729" s="3" t="n">
        <v>1</v>
      </c>
      <c r="W729" s="3" t="n">
        <v>0</v>
      </c>
      <c r="X729" s="3" t="n">
        <v>1</v>
      </c>
      <c r="Y729" s="3" t="n">
        <v>0</v>
      </c>
      <c r="Z729" s="3" t="n">
        <v>1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4" t="n">
        <f aca="false">SUM(G729:AI729)</f>
        <v>6</v>
      </c>
      <c r="AK729" s="4" t="n">
        <f aca="false">ROUND(SUMPRODUCT(G729:AI729,Gene_Weights!$B$2:$AD$2),3)</f>
        <v>-6.36</v>
      </c>
      <c r="AL729" s="2" t="n">
        <v>3</v>
      </c>
      <c r="AM729" s="2" t="n">
        <v>1</v>
      </c>
      <c r="AN729" s="2" t="n">
        <v>33.33</v>
      </c>
      <c r="AO729" s="5" t="n">
        <v>64.53</v>
      </c>
      <c r="AP729" s="5" t="n">
        <v>66.13</v>
      </c>
      <c r="AQ729" s="5" t="n">
        <v>67.73</v>
      </c>
      <c r="AR729" s="5" t="n">
        <v>69.33</v>
      </c>
      <c r="AS729" s="5" t="n">
        <v>70.93</v>
      </c>
      <c r="AT729" s="5" t="n">
        <v>72.53</v>
      </c>
      <c r="AU729" s="5" t="n">
        <v>74.13</v>
      </c>
      <c r="AV729" s="5" t="s">
        <v>51</v>
      </c>
    </row>
    <row r="730" customFormat="false" ht="15" hidden="false" customHeight="false" outlineLevel="0" collapsed="false">
      <c r="A730" s="2" t="s">
        <v>177</v>
      </c>
      <c r="B730" s="2" t="n">
        <v>2007</v>
      </c>
      <c r="C730" s="2" t="s">
        <v>53</v>
      </c>
      <c r="D730" s="2" t="n">
        <v>1</v>
      </c>
      <c r="E730" s="2" t="n">
        <v>32</v>
      </c>
      <c r="F730" s="2" t="s">
        <v>50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1</v>
      </c>
      <c r="R730" s="3" t="n">
        <v>1</v>
      </c>
      <c r="S730" s="3" t="n">
        <v>0</v>
      </c>
      <c r="T730" s="3" t="n">
        <v>1</v>
      </c>
      <c r="U730" s="3" t="n">
        <v>0</v>
      </c>
      <c r="V730" s="3" t="n">
        <v>1</v>
      </c>
      <c r="W730" s="3" t="n">
        <v>0</v>
      </c>
      <c r="X730" s="3" t="n">
        <v>1</v>
      </c>
      <c r="Y730" s="3" t="n">
        <v>0</v>
      </c>
      <c r="Z730" s="3" t="n">
        <v>1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4" t="n">
        <f aca="false">SUM(G730:AI730)</f>
        <v>6</v>
      </c>
      <c r="AK730" s="4" t="n">
        <f aca="false">ROUND(SUMPRODUCT(G730:AI730,Gene_Weights!$B$2:$AD$2),3)</f>
        <v>-6.36</v>
      </c>
      <c r="AL730" s="2" t="n">
        <v>3</v>
      </c>
      <c r="AM730" s="2" t="n">
        <v>2</v>
      </c>
      <c r="AN730" s="2" t="n">
        <v>66.67</v>
      </c>
      <c r="AO730" s="5" t="n">
        <v>52.86</v>
      </c>
      <c r="AP730" s="5" t="n">
        <v>53.65</v>
      </c>
      <c r="AQ730" s="5" t="n">
        <v>54.45</v>
      </c>
      <c r="AR730" s="5" t="n">
        <v>55.24</v>
      </c>
      <c r="AS730" s="5" t="n">
        <v>56.03</v>
      </c>
      <c r="AT730" s="5" t="n">
        <v>56.83</v>
      </c>
      <c r="AU730" s="5" t="n">
        <v>57.62</v>
      </c>
      <c r="AV730" s="5" t="s">
        <v>51</v>
      </c>
    </row>
    <row r="731" customFormat="false" ht="15" hidden="false" customHeight="false" outlineLevel="0" collapsed="false">
      <c r="A731" s="2" t="s">
        <v>177</v>
      </c>
      <c r="B731" s="2" t="n">
        <v>2007</v>
      </c>
      <c r="C731" s="2" t="s">
        <v>54</v>
      </c>
      <c r="D731" s="2" t="n">
        <v>0</v>
      </c>
      <c r="E731" s="2" t="n">
        <v>2</v>
      </c>
      <c r="F731" s="2" t="s">
        <v>50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1</v>
      </c>
      <c r="R731" s="3" t="n">
        <v>1</v>
      </c>
      <c r="S731" s="3" t="n">
        <v>0</v>
      </c>
      <c r="T731" s="3" t="n">
        <v>1</v>
      </c>
      <c r="U731" s="3" t="n">
        <v>0</v>
      </c>
      <c r="V731" s="3" t="n">
        <v>1</v>
      </c>
      <c r="W731" s="3" t="n">
        <v>0</v>
      </c>
      <c r="X731" s="3" t="n">
        <v>1</v>
      </c>
      <c r="Y731" s="3" t="n">
        <v>0</v>
      </c>
      <c r="Z731" s="3" t="n">
        <v>1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4" t="n">
        <f aca="false">SUM(G731:AI731)</f>
        <v>6</v>
      </c>
      <c r="AK731" s="4" t="n">
        <f aca="false">ROUND(SUMPRODUCT(G731:AI731,Gene_Weights!$B$2:$AD$2),3)</f>
        <v>-6.36</v>
      </c>
      <c r="AL731" s="2" t="n">
        <v>3</v>
      </c>
      <c r="AM731" s="2" t="n">
        <v>1</v>
      </c>
      <c r="AN731" s="2" t="n">
        <v>33.33</v>
      </c>
      <c r="AO731" s="5" t="n">
        <v>81.84</v>
      </c>
      <c r="AP731" s="5" t="n">
        <v>84.45</v>
      </c>
      <c r="AQ731" s="5" t="n">
        <v>87.06</v>
      </c>
      <c r="AR731" s="5" t="n">
        <v>89.67</v>
      </c>
      <c r="AS731" s="5" t="n">
        <v>92.27</v>
      </c>
      <c r="AT731" s="5" t="n">
        <v>94.88</v>
      </c>
      <c r="AU731" s="5" t="n">
        <v>97.49</v>
      </c>
      <c r="AV731" s="5" t="s">
        <v>51</v>
      </c>
    </row>
    <row r="732" customFormat="false" ht="15" hidden="false" customHeight="false" outlineLevel="0" collapsed="false">
      <c r="A732" s="2" t="s">
        <v>177</v>
      </c>
      <c r="B732" s="2" t="n">
        <v>2007</v>
      </c>
      <c r="C732" s="2" t="s">
        <v>55</v>
      </c>
      <c r="D732" s="2" t="n">
        <v>0</v>
      </c>
      <c r="E732" s="2" t="n">
        <v>16</v>
      </c>
      <c r="F732" s="2" t="s">
        <v>50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1</v>
      </c>
      <c r="R732" s="3" t="n">
        <v>1</v>
      </c>
      <c r="S732" s="3" t="n">
        <v>0</v>
      </c>
      <c r="T732" s="3" t="n">
        <v>1</v>
      </c>
      <c r="U732" s="3" t="n">
        <v>0</v>
      </c>
      <c r="V732" s="3" t="n">
        <v>1</v>
      </c>
      <c r="W732" s="3" t="n">
        <v>0</v>
      </c>
      <c r="X732" s="3" t="n">
        <v>1</v>
      </c>
      <c r="Y732" s="3" t="n">
        <v>0</v>
      </c>
      <c r="Z732" s="3" t="n">
        <v>1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4" t="n">
        <f aca="false">SUM(G732:AI732)</f>
        <v>6</v>
      </c>
      <c r="AK732" s="4" t="n">
        <f aca="false">ROUND(SUMPRODUCT(G732:AI732,Gene_Weights!$B$2:$AD$2),3)</f>
        <v>-6.36</v>
      </c>
      <c r="AL732" s="2" t="n">
        <v>3</v>
      </c>
      <c r="AM732" s="2" t="n">
        <v>1</v>
      </c>
      <c r="AN732" s="2" t="n">
        <v>33.33</v>
      </c>
      <c r="AO732" s="5" t="n">
        <v>58.19</v>
      </c>
      <c r="AP732" s="5" t="n">
        <v>59.74</v>
      </c>
      <c r="AQ732" s="5" t="n">
        <v>61.3</v>
      </c>
      <c r="AR732" s="5" t="n">
        <v>62.86</v>
      </c>
      <c r="AS732" s="5" t="n">
        <v>64.42</v>
      </c>
      <c r="AT732" s="5" t="n">
        <v>65.98</v>
      </c>
      <c r="AU732" s="5" t="n">
        <v>67.53</v>
      </c>
      <c r="AV732" s="5" t="s">
        <v>51</v>
      </c>
    </row>
    <row r="733" customFormat="false" ht="15" hidden="false" customHeight="false" outlineLevel="0" collapsed="false">
      <c r="A733" s="2" t="s">
        <v>177</v>
      </c>
      <c r="B733" s="2" t="n">
        <v>2007</v>
      </c>
      <c r="C733" s="2" t="s">
        <v>56</v>
      </c>
      <c r="D733" s="2" t="n">
        <v>1</v>
      </c>
      <c r="E733" s="2" t="n">
        <v>2</v>
      </c>
      <c r="F733" s="2" t="s">
        <v>50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1</v>
      </c>
      <c r="R733" s="3" t="n">
        <v>1</v>
      </c>
      <c r="S733" s="3" t="n">
        <v>0</v>
      </c>
      <c r="T733" s="3" t="n">
        <v>1</v>
      </c>
      <c r="U733" s="3" t="n">
        <v>0</v>
      </c>
      <c r="V733" s="3" t="n">
        <v>1</v>
      </c>
      <c r="W733" s="3" t="n">
        <v>0</v>
      </c>
      <c r="X733" s="3" t="n">
        <v>1</v>
      </c>
      <c r="Y733" s="3" t="n">
        <v>0</v>
      </c>
      <c r="Z733" s="3" t="n">
        <v>1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4" t="n">
        <f aca="false">SUM(G733:AI733)</f>
        <v>6</v>
      </c>
      <c r="AK733" s="4" t="n">
        <f aca="false">ROUND(SUMPRODUCT(G733:AI733,Gene_Weights!$B$2:$AD$2),3)</f>
        <v>-6.36</v>
      </c>
      <c r="AL733" s="2" t="n">
        <v>3</v>
      </c>
      <c r="AM733" s="2" t="n">
        <v>2</v>
      </c>
      <c r="AN733" s="2" t="n">
        <v>66.67</v>
      </c>
      <c r="AO733" s="5" t="n">
        <v>75.59</v>
      </c>
      <c r="AP733" s="5" t="n">
        <v>78.01</v>
      </c>
      <c r="AQ733" s="5" t="n">
        <v>80.42</v>
      </c>
      <c r="AR733" s="5" t="n">
        <v>82.83</v>
      </c>
      <c r="AS733" s="5" t="n">
        <v>85.24</v>
      </c>
      <c r="AT733" s="5" t="n">
        <v>87.66</v>
      </c>
      <c r="AU733" s="5" t="n">
        <v>90.07</v>
      </c>
      <c r="AV733" s="5" t="s">
        <v>51</v>
      </c>
    </row>
    <row r="734" customFormat="false" ht="15" hidden="false" customHeight="false" outlineLevel="0" collapsed="false">
      <c r="A734" s="2" t="s">
        <v>178</v>
      </c>
      <c r="B734" s="2" t="n">
        <v>2011</v>
      </c>
      <c r="C734" s="2" t="s">
        <v>49</v>
      </c>
      <c r="D734" s="2" t="n">
        <v>1</v>
      </c>
      <c r="E734" s="2" t="n">
        <v>2</v>
      </c>
      <c r="F734" s="2" t="s">
        <v>50</v>
      </c>
      <c r="G734" s="3" t="n">
        <v>0</v>
      </c>
      <c r="H734" s="3" t="n">
        <v>0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1</v>
      </c>
      <c r="X734" s="3" t="n">
        <v>1</v>
      </c>
      <c r="Y734" s="3" t="n">
        <v>0</v>
      </c>
      <c r="Z734" s="3" t="n">
        <v>0</v>
      </c>
      <c r="AA734" s="3" t="n">
        <v>1</v>
      </c>
      <c r="AB734" s="3" t="n">
        <v>1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1</v>
      </c>
      <c r="AJ734" s="4" t="n">
        <f aca="false">SUM(G734:AI734)</f>
        <v>7</v>
      </c>
      <c r="AK734" s="4" t="n">
        <f aca="false">ROUND(SUMPRODUCT(G734:AI734,Gene_Weights!$B$2:$AD$2),3)</f>
        <v>-5.21</v>
      </c>
      <c r="AL734" s="2" t="n">
        <v>11</v>
      </c>
      <c r="AM734" s="2" t="n">
        <v>5</v>
      </c>
      <c r="AN734" s="2" t="n">
        <v>45.45</v>
      </c>
      <c r="AO734" s="5" t="n">
        <v>55.12</v>
      </c>
      <c r="AP734" s="5" t="n">
        <v>56.02</v>
      </c>
      <c r="AQ734" s="5" t="n">
        <v>56.92</v>
      </c>
      <c r="AR734" s="5" t="n">
        <v>57.82</v>
      </c>
      <c r="AS734" s="5" t="n">
        <v>58.72</v>
      </c>
      <c r="AT734" s="5" t="n">
        <v>59.62</v>
      </c>
      <c r="AU734" s="5" t="n">
        <v>60.52</v>
      </c>
      <c r="AV734" s="5" t="s">
        <v>51</v>
      </c>
    </row>
    <row r="735" customFormat="false" ht="15" hidden="false" customHeight="false" outlineLevel="0" collapsed="false">
      <c r="A735" s="2" t="s">
        <v>178</v>
      </c>
      <c r="B735" s="2" t="n">
        <v>2011</v>
      </c>
      <c r="C735" s="2" t="s">
        <v>52</v>
      </c>
      <c r="D735" s="2" t="n">
        <v>0</v>
      </c>
      <c r="E735" s="2" t="n">
        <v>16</v>
      </c>
      <c r="F735" s="2" t="s">
        <v>50</v>
      </c>
      <c r="G735" s="3" t="n">
        <v>0</v>
      </c>
      <c r="H735" s="3" t="n">
        <v>0</v>
      </c>
      <c r="I735" s="3" t="n">
        <v>1</v>
      </c>
      <c r="J735" s="3" t="n">
        <v>1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1</v>
      </c>
      <c r="X735" s="3" t="n">
        <v>1</v>
      </c>
      <c r="Y735" s="3" t="n">
        <v>0</v>
      </c>
      <c r="Z735" s="3" t="n">
        <v>0</v>
      </c>
      <c r="AA735" s="3" t="n">
        <v>1</v>
      </c>
      <c r="AB735" s="3" t="n">
        <v>1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1</v>
      </c>
      <c r="AJ735" s="4" t="n">
        <f aca="false">SUM(G735:AI735)</f>
        <v>7</v>
      </c>
      <c r="AK735" s="4" t="n">
        <f aca="false">ROUND(SUMPRODUCT(G735:AI735,Gene_Weights!$B$2:$AD$2),3)</f>
        <v>-5.21</v>
      </c>
      <c r="AL735" s="2" t="n">
        <v>11</v>
      </c>
      <c r="AM735" s="2" t="n">
        <v>4</v>
      </c>
      <c r="AN735" s="2" t="n">
        <v>36.36</v>
      </c>
      <c r="AO735" s="5" t="n">
        <v>64.53</v>
      </c>
      <c r="AP735" s="5" t="n">
        <v>66.13</v>
      </c>
      <c r="AQ735" s="5" t="n">
        <v>67.73</v>
      </c>
      <c r="AR735" s="5" t="n">
        <v>69.33</v>
      </c>
      <c r="AS735" s="5" t="n">
        <v>70.93</v>
      </c>
      <c r="AT735" s="5" t="n">
        <v>72.53</v>
      </c>
      <c r="AU735" s="5" t="n">
        <v>74.13</v>
      </c>
      <c r="AV735" s="5" t="s">
        <v>51</v>
      </c>
    </row>
    <row r="736" customFormat="false" ht="15" hidden="false" customHeight="false" outlineLevel="0" collapsed="false">
      <c r="A736" s="2" t="s">
        <v>178</v>
      </c>
      <c r="B736" s="2" t="n">
        <v>2011</v>
      </c>
      <c r="C736" s="2" t="s">
        <v>53</v>
      </c>
      <c r="D736" s="2" t="n">
        <v>1</v>
      </c>
      <c r="E736" s="2" t="n">
        <v>32</v>
      </c>
      <c r="F736" s="2" t="s">
        <v>50</v>
      </c>
      <c r="G736" s="3" t="n">
        <v>0</v>
      </c>
      <c r="H736" s="3" t="n">
        <v>0</v>
      </c>
      <c r="I736" s="3" t="n">
        <v>1</v>
      </c>
      <c r="J736" s="3" t="n">
        <v>1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1</v>
      </c>
      <c r="X736" s="3" t="n">
        <v>1</v>
      </c>
      <c r="Y736" s="3" t="n">
        <v>0</v>
      </c>
      <c r="Z736" s="3" t="n">
        <v>0</v>
      </c>
      <c r="AA736" s="3" t="n">
        <v>1</v>
      </c>
      <c r="AB736" s="3" t="n">
        <v>1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1</v>
      </c>
      <c r="AJ736" s="4" t="n">
        <f aca="false">SUM(G736:AI736)</f>
        <v>7</v>
      </c>
      <c r="AK736" s="4" t="n">
        <f aca="false">ROUND(SUMPRODUCT(G736:AI736,Gene_Weights!$B$2:$AD$2),3)</f>
        <v>-5.21</v>
      </c>
      <c r="AL736" s="2" t="n">
        <v>11</v>
      </c>
      <c r="AM736" s="2" t="n">
        <v>6</v>
      </c>
      <c r="AN736" s="2" t="n">
        <v>54.55</v>
      </c>
      <c r="AO736" s="5" t="n">
        <v>52.86</v>
      </c>
      <c r="AP736" s="5" t="n">
        <v>53.65</v>
      </c>
      <c r="AQ736" s="5" t="n">
        <v>54.45</v>
      </c>
      <c r="AR736" s="5" t="n">
        <v>55.24</v>
      </c>
      <c r="AS736" s="5" t="n">
        <v>56.03</v>
      </c>
      <c r="AT736" s="5" t="n">
        <v>56.83</v>
      </c>
      <c r="AU736" s="5" t="n">
        <v>57.62</v>
      </c>
      <c r="AV736" s="5" t="s">
        <v>51</v>
      </c>
    </row>
    <row r="737" customFormat="false" ht="15" hidden="false" customHeight="false" outlineLevel="0" collapsed="false">
      <c r="A737" s="2" t="s">
        <v>178</v>
      </c>
      <c r="B737" s="2" t="n">
        <v>2011</v>
      </c>
      <c r="C737" s="2" t="s">
        <v>54</v>
      </c>
      <c r="D737" s="2" t="n">
        <v>0</v>
      </c>
      <c r="E737" s="2" t="n">
        <v>16</v>
      </c>
      <c r="F737" s="2" t="s">
        <v>50</v>
      </c>
      <c r="G737" s="3" t="n">
        <v>0</v>
      </c>
      <c r="H737" s="3" t="n">
        <v>0</v>
      </c>
      <c r="I737" s="3" t="n">
        <v>1</v>
      </c>
      <c r="J737" s="3" t="n">
        <v>1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1</v>
      </c>
      <c r="X737" s="3" t="n">
        <v>1</v>
      </c>
      <c r="Y737" s="3" t="n">
        <v>0</v>
      </c>
      <c r="Z737" s="3" t="n">
        <v>0</v>
      </c>
      <c r="AA737" s="3" t="n">
        <v>1</v>
      </c>
      <c r="AB737" s="3" t="n">
        <v>1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1</v>
      </c>
      <c r="AJ737" s="4" t="n">
        <f aca="false">SUM(G737:AI737)</f>
        <v>7</v>
      </c>
      <c r="AK737" s="4" t="n">
        <f aca="false">ROUND(SUMPRODUCT(G737:AI737,Gene_Weights!$B$2:$AD$2),3)</f>
        <v>-5.21</v>
      </c>
      <c r="AL737" s="2" t="n">
        <v>11</v>
      </c>
      <c r="AM737" s="2" t="n">
        <v>4</v>
      </c>
      <c r="AN737" s="2" t="n">
        <v>36.36</v>
      </c>
      <c r="AO737" s="5" t="n">
        <v>81.84</v>
      </c>
      <c r="AP737" s="5" t="n">
        <v>84.45</v>
      </c>
      <c r="AQ737" s="5" t="n">
        <v>87.06</v>
      </c>
      <c r="AR737" s="5" t="n">
        <v>89.67</v>
      </c>
      <c r="AS737" s="5" t="n">
        <v>92.27</v>
      </c>
      <c r="AT737" s="5" t="n">
        <v>94.88</v>
      </c>
      <c r="AU737" s="5" t="n">
        <v>97.49</v>
      </c>
      <c r="AV737" s="5" t="s">
        <v>51</v>
      </c>
    </row>
    <row r="738" customFormat="false" ht="15" hidden="false" customHeight="false" outlineLevel="0" collapsed="false">
      <c r="A738" s="2" t="s">
        <v>178</v>
      </c>
      <c r="B738" s="2" t="n">
        <v>2011</v>
      </c>
      <c r="C738" s="2" t="s">
        <v>55</v>
      </c>
      <c r="D738" s="2" t="n">
        <v>1</v>
      </c>
      <c r="E738" s="2" t="n">
        <v>16</v>
      </c>
      <c r="F738" s="2" t="s">
        <v>50</v>
      </c>
      <c r="G738" s="3" t="n">
        <v>0</v>
      </c>
      <c r="H738" s="3" t="n">
        <v>0</v>
      </c>
      <c r="I738" s="3" t="n">
        <v>1</v>
      </c>
      <c r="J738" s="3" t="n">
        <v>1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1</v>
      </c>
      <c r="X738" s="3" t="n">
        <v>1</v>
      </c>
      <c r="Y738" s="3" t="n">
        <v>0</v>
      </c>
      <c r="Z738" s="3" t="n">
        <v>0</v>
      </c>
      <c r="AA738" s="3" t="n">
        <v>1</v>
      </c>
      <c r="AB738" s="3" t="n">
        <v>1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1</v>
      </c>
      <c r="AJ738" s="4" t="n">
        <f aca="false">SUM(G738:AI738)</f>
        <v>7</v>
      </c>
      <c r="AK738" s="4" t="n">
        <f aca="false">ROUND(SUMPRODUCT(G738:AI738,Gene_Weights!$B$2:$AD$2),3)</f>
        <v>-5.21</v>
      </c>
      <c r="AL738" s="2" t="n">
        <v>11</v>
      </c>
      <c r="AM738" s="2" t="n">
        <v>7</v>
      </c>
      <c r="AN738" s="2" t="n">
        <v>63.64</v>
      </c>
      <c r="AO738" s="5" t="n">
        <v>58.19</v>
      </c>
      <c r="AP738" s="5" t="n">
        <v>59.74</v>
      </c>
      <c r="AQ738" s="5" t="n">
        <v>61.3</v>
      </c>
      <c r="AR738" s="5" t="n">
        <v>62.86</v>
      </c>
      <c r="AS738" s="5" t="n">
        <v>64.42</v>
      </c>
      <c r="AT738" s="5" t="n">
        <v>65.98</v>
      </c>
      <c r="AU738" s="5" t="n">
        <v>67.53</v>
      </c>
      <c r="AV738" s="5" t="s">
        <v>51</v>
      </c>
    </row>
    <row r="739" customFormat="false" ht="15" hidden="false" customHeight="false" outlineLevel="0" collapsed="false">
      <c r="A739" s="2" t="s">
        <v>178</v>
      </c>
      <c r="B739" s="2" t="n">
        <v>2011</v>
      </c>
      <c r="C739" s="2" t="s">
        <v>56</v>
      </c>
      <c r="D739" s="2" t="n">
        <v>0</v>
      </c>
      <c r="E739" s="2" t="n">
        <v>4</v>
      </c>
      <c r="F739" s="2" t="s">
        <v>50</v>
      </c>
      <c r="G739" s="3" t="n">
        <v>0</v>
      </c>
      <c r="H739" s="3" t="n">
        <v>0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1</v>
      </c>
      <c r="X739" s="3" t="n">
        <v>1</v>
      </c>
      <c r="Y739" s="3" t="n">
        <v>0</v>
      </c>
      <c r="Z739" s="3" t="n">
        <v>0</v>
      </c>
      <c r="AA739" s="3" t="n">
        <v>1</v>
      </c>
      <c r="AB739" s="3" t="n">
        <v>1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1</v>
      </c>
      <c r="AJ739" s="4" t="n">
        <f aca="false">SUM(G739:AI739)</f>
        <v>7</v>
      </c>
      <c r="AK739" s="4" t="n">
        <f aca="false">ROUND(SUMPRODUCT(G739:AI739,Gene_Weights!$B$2:$AD$2),3)</f>
        <v>-5.21</v>
      </c>
      <c r="AL739" s="2" t="n">
        <v>11</v>
      </c>
      <c r="AM739" s="2" t="n">
        <v>7</v>
      </c>
      <c r="AN739" s="2" t="n">
        <v>63.64</v>
      </c>
      <c r="AO739" s="5" t="n">
        <v>75.59</v>
      </c>
      <c r="AP739" s="5" t="n">
        <v>78.01</v>
      </c>
      <c r="AQ739" s="5" t="n">
        <v>80.42</v>
      </c>
      <c r="AR739" s="5" t="n">
        <v>82.83</v>
      </c>
      <c r="AS739" s="5" t="n">
        <v>85.24</v>
      </c>
      <c r="AT739" s="5" t="n">
        <v>87.66</v>
      </c>
      <c r="AU739" s="5" t="n">
        <v>90.07</v>
      </c>
      <c r="AV739" s="5" t="s">
        <v>51</v>
      </c>
    </row>
    <row r="740" customFormat="false" ht="15" hidden="false" customHeight="false" outlineLevel="0" collapsed="false">
      <c r="A740" s="2" t="s">
        <v>179</v>
      </c>
      <c r="B740" s="2" t="n">
        <v>2006</v>
      </c>
      <c r="C740" s="2" t="s">
        <v>49</v>
      </c>
      <c r="D740" s="2" t="n">
        <v>0</v>
      </c>
      <c r="E740" s="2" t="n">
        <v>16</v>
      </c>
      <c r="F740" s="2" t="s">
        <v>50</v>
      </c>
      <c r="G740" s="3" t="n">
        <v>1</v>
      </c>
      <c r="H740" s="3" t="n">
        <v>0</v>
      </c>
      <c r="I740" s="3" t="n">
        <v>1</v>
      </c>
      <c r="J740" s="3" t="n">
        <v>0</v>
      </c>
      <c r="K740" s="3" t="n">
        <v>0</v>
      </c>
      <c r="L740" s="3" t="n">
        <v>1</v>
      </c>
      <c r="M740" s="3" t="n">
        <v>0</v>
      </c>
      <c r="N740" s="3" t="n">
        <v>0</v>
      </c>
      <c r="O740" s="3" t="n">
        <v>0</v>
      </c>
      <c r="P740" s="3" t="n">
        <v>1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1</v>
      </c>
      <c r="V740" s="3" t="n">
        <v>1</v>
      </c>
      <c r="W740" s="3" t="n">
        <v>0</v>
      </c>
      <c r="X740" s="3" t="n">
        <v>0</v>
      </c>
      <c r="Y740" s="3" t="n">
        <v>0</v>
      </c>
      <c r="Z740" s="3" t="n">
        <v>1</v>
      </c>
      <c r="AA740" s="3" t="n">
        <v>1</v>
      </c>
      <c r="AB740" s="3" t="n">
        <v>1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4" t="n">
        <f aca="false">SUM(G740:AI740)</f>
        <v>9</v>
      </c>
      <c r="AK740" s="4" t="n">
        <f aca="false">ROUND(SUMPRODUCT(G740:AI740,Gene_Weights!$B$2:$AD$2),3)</f>
        <v>-6.07</v>
      </c>
      <c r="AL740" s="2" t="n">
        <v>6</v>
      </c>
      <c r="AM740" s="2" t="n">
        <v>3</v>
      </c>
      <c r="AN740" s="2" t="n">
        <v>50</v>
      </c>
      <c r="AO740" s="5" t="n">
        <v>55.12</v>
      </c>
      <c r="AP740" s="5" t="n">
        <v>56.02</v>
      </c>
      <c r="AQ740" s="5" t="n">
        <v>56.92</v>
      </c>
      <c r="AR740" s="5" t="n">
        <v>57.82</v>
      </c>
      <c r="AS740" s="5" t="n">
        <v>58.72</v>
      </c>
      <c r="AT740" s="5" t="n">
        <v>59.62</v>
      </c>
      <c r="AU740" s="5" t="n">
        <v>60.52</v>
      </c>
      <c r="AV740" s="5" t="s">
        <v>51</v>
      </c>
    </row>
    <row r="741" customFormat="false" ht="15" hidden="false" customHeight="false" outlineLevel="0" collapsed="false">
      <c r="A741" s="2" t="s">
        <v>179</v>
      </c>
      <c r="B741" s="2" t="n">
        <v>2006</v>
      </c>
      <c r="C741" s="2" t="s">
        <v>52</v>
      </c>
      <c r="D741" s="2" t="n">
        <v>0</v>
      </c>
      <c r="E741" s="2" t="n">
        <v>16</v>
      </c>
      <c r="F741" s="2" t="s">
        <v>50</v>
      </c>
      <c r="G741" s="3" t="n">
        <v>1</v>
      </c>
      <c r="H741" s="3" t="n">
        <v>0</v>
      </c>
      <c r="I741" s="3" t="n">
        <v>1</v>
      </c>
      <c r="J741" s="3" t="n">
        <v>0</v>
      </c>
      <c r="K741" s="3" t="n">
        <v>0</v>
      </c>
      <c r="L741" s="3" t="n">
        <v>1</v>
      </c>
      <c r="M741" s="3" t="n">
        <v>0</v>
      </c>
      <c r="N741" s="3" t="n">
        <v>0</v>
      </c>
      <c r="O741" s="3" t="n">
        <v>0</v>
      </c>
      <c r="P741" s="3" t="n">
        <v>1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1</v>
      </c>
      <c r="V741" s="3" t="n">
        <v>1</v>
      </c>
      <c r="W741" s="3" t="n">
        <v>0</v>
      </c>
      <c r="X741" s="3" t="n">
        <v>0</v>
      </c>
      <c r="Y741" s="3" t="n">
        <v>0</v>
      </c>
      <c r="Z741" s="3" t="n">
        <v>1</v>
      </c>
      <c r="AA741" s="3" t="n">
        <v>1</v>
      </c>
      <c r="AB741" s="3" t="n">
        <v>1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4" t="n">
        <f aca="false">SUM(G741:AI741)</f>
        <v>9</v>
      </c>
      <c r="AK741" s="4" t="n">
        <f aca="false">ROUND(SUMPRODUCT(G741:AI741,Gene_Weights!$B$2:$AD$2),3)</f>
        <v>-6.07</v>
      </c>
      <c r="AL741" s="2" t="n">
        <v>6</v>
      </c>
      <c r="AM741" s="2" t="n">
        <v>1</v>
      </c>
      <c r="AN741" s="2" t="n">
        <v>16.67</v>
      </c>
      <c r="AO741" s="5" t="n">
        <v>64.53</v>
      </c>
      <c r="AP741" s="5" t="n">
        <v>66.13</v>
      </c>
      <c r="AQ741" s="5" t="n">
        <v>67.73</v>
      </c>
      <c r="AR741" s="5" t="n">
        <v>69.33</v>
      </c>
      <c r="AS741" s="5" t="n">
        <v>70.93</v>
      </c>
      <c r="AT741" s="5" t="n">
        <v>72.53</v>
      </c>
      <c r="AU741" s="5" t="n">
        <v>74.13</v>
      </c>
      <c r="AV741" s="5" t="s">
        <v>51</v>
      </c>
    </row>
    <row r="742" customFormat="false" ht="15" hidden="false" customHeight="false" outlineLevel="0" collapsed="false">
      <c r="A742" s="2" t="s">
        <v>179</v>
      </c>
      <c r="B742" s="2" t="n">
        <v>2006</v>
      </c>
      <c r="C742" s="2" t="s">
        <v>53</v>
      </c>
      <c r="D742" s="2" t="n">
        <v>0</v>
      </c>
      <c r="E742" s="2" t="n">
        <v>2</v>
      </c>
      <c r="F742" s="2" t="s">
        <v>50</v>
      </c>
      <c r="G742" s="3" t="n">
        <v>1</v>
      </c>
      <c r="H742" s="3" t="n">
        <v>0</v>
      </c>
      <c r="I742" s="3" t="n">
        <v>1</v>
      </c>
      <c r="J742" s="3" t="n">
        <v>0</v>
      </c>
      <c r="K742" s="3" t="n">
        <v>0</v>
      </c>
      <c r="L742" s="3" t="n">
        <v>1</v>
      </c>
      <c r="M742" s="3" t="n">
        <v>0</v>
      </c>
      <c r="N742" s="3" t="n">
        <v>0</v>
      </c>
      <c r="O742" s="3" t="n">
        <v>0</v>
      </c>
      <c r="P742" s="3" t="n">
        <v>1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1</v>
      </c>
      <c r="V742" s="3" t="n">
        <v>1</v>
      </c>
      <c r="W742" s="3" t="n">
        <v>0</v>
      </c>
      <c r="X742" s="3" t="n">
        <v>0</v>
      </c>
      <c r="Y742" s="3" t="n">
        <v>0</v>
      </c>
      <c r="Z742" s="3" t="n">
        <v>1</v>
      </c>
      <c r="AA742" s="3" t="n">
        <v>1</v>
      </c>
      <c r="AB742" s="3" t="n">
        <v>1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4" t="n">
        <f aca="false">SUM(G742:AI742)</f>
        <v>9</v>
      </c>
      <c r="AK742" s="4" t="n">
        <f aca="false">ROUND(SUMPRODUCT(G742:AI742,Gene_Weights!$B$2:$AD$2),3)</f>
        <v>-6.07</v>
      </c>
      <c r="AL742" s="2" t="n">
        <v>6</v>
      </c>
      <c r="AM742" s="2" t="n">
        <v>0</v>
      </c>
      <c r="AN742" s="2" t="n">
        <v>0</v>
      </c>
      <c r="AO742" s="5" t="n">
        <v>52.86</v>
      </c>
      <c r="AP742" s="5" t="n">
        <v>53.65</v>
      </c>
      <c r="AQ742" s="5" t="n">
        <v>54.45</v>
      </c>
      <c r="AR742" s="5" t="n">
        <v>55.24</v>
      </c>
      <c r="AS742" s="5" t="n">
        <v>56.03</v>
      </c>
      <c r="AT742" s="5" t="n">
        <v>56.83</v>
      </c>
      <c r="AU742" s="5" t="n">
        <v>57.62</v>
      </c>
      <c r="AV742" s="5" t="s">
        <v>51</v>
      </c>
    </row>
    <row r="743" customFormat="false" ht="15" hidden="false" customHeight="false" outlineLevel="0" collapsed="false">
      <c r="A743" s="2" t="s">
        <v>179</v>
      </c>
      <c r="B743" s="2" t="n">
        <v>2006</v>
      </c>
      <c r="C743" s="2" t="s">
        <v>54</v>
      </c>
      <c r="D743" s="2" t="n">
        <v>0</v>
      </c>
      <c r="E743" s="2" t="n">
        <v>32</v>
      </c>
      <c r="F743" s="2" t="s">
        <v>50</v>
      </c>
      <c r="G743" s="3" t="n">
        <v>1</v>
      </c>
      <c r="H743" s="3" t="n">
        <v>0</v>
      </c>
      <c r="I743" s="3" t="n">
        <v>1</v>
      </c>
      <c r="J743" s="3" t="n">
        <v>0</v>
      </c>
      <c r="K743" s="3" t="n">
        <v>0</v>
      </c>
      <c r="L743" s="3" t="n">
        <v>1</v>
      </c>
      <c r="M743" s="3" t="n">
        <v>0</v>
      </c>
      <c r="N743" s="3" t="n">
        <v>0</v>
      </c>
      <c r="O743" s="3" t="n">
        <v>0</v>
      </c>
      <c r="P743" s="3" t="n">
        <v>1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1</v>
      </c>
      <c r="V743" s="3" t="n">
        <v>1</v>
      </c>
      <c r="W743" s="3" t="n">
        <v>0</v>
      </c>
      <c r="X743" s="3" t="n">
        <v>0</v>
      </c>
      <c r="Y743" s="3" t="n">
        <v>0</v>
      </c>
      <c r="Z743" s="3" t="n">
        <v>1</v>
      </c>
      <c r="AA743" s="3" t="n">
        <v>1</v>
      </c>
      <c r="AB743" s="3" t="n">
        <v>1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4" t="n">
        <f aca="false">SUM(G743:AI743)</f>
        <v>9</v>
      </c>
      <c r="AK743" s="4" t="n">
        <f aca="false">ROUND(SUMPRODUCT(G743:AI743,Gene_Weights!$B$2:$AD$2),3)</f>
        <v>-6.07</v>
      </c>
      <c r="AL743" s="2" t="n">
        <v>6</v>
      </c>
      <c r="AM743" s="2" t="n">
        <v>2</v>
      </c>
      <c r="AN743" s="2" t="n">
        <v>33.33</v>
      </c>
      <c r="AO743" s="5" t="n">
        <v>81.84</v>
      </c>
      <c r="AP743" s="5" t="n">
        <v>84.45</v>
      </c>
      <c r="AQ743" s="5" t="n">
        <v>87.06</v>
      </c>
      <c r="AR743" s="5" t="n">
        <v>89.67</v>
      </c>
      <c r="AS743" s="5" t="n">
        <v>92.27</v>
      </c>
      <c r="AT743" s="5" t="n">
        <v>94.88</v>
      </c>
      <c r="AU743" s="5" t="n">
        <v>97.49</v>
      </c>
      <c r="AV743" s="5" t="s">
        <v>51</v>
      </c>
    </row>
    <row r="744" customFormat="false" ht="15" hidden="false" customHeight="false" outlineLevel="0" collapsed="false">
      <c r="A744" s="2" t="s">
        <v>179</v>
      </c>
      <c r="B744" s="2" t="n">
        <v>2006</v>
      </c>
      <c r="C744" s="2" t="s">
        <v>55</v>
      </c>
      <c r="D744" s="2" t="n">
        <v>0</v>
      </c>
      <c r="E744" s="2" t="n">
        <v>4</v>
      </c>
      <c r="F744" s="2" t="s">
        <v>50</v>
      </c>
      <c r="G744" s="3" t="n">
        <v>1</v>
      </c>
      <c r="H744" s="3" t="n">
        <v>0</v>
      </c>
      <c r="I744" s="3" t="n">
        <v>1</v>
      </c>
      <c r="J744" s="3" t="n">
        <v>0</v>
      </c>
      <c r="K744" s="3" t="n">
        <v>0</v>
      </c>
      <c r="L744" s="3" t="n">
        <v>1</v>
      </c>
      <c r="M744" s="3" t="n">
        <v>0</v>
      </c>
      <c r="N744" s="3" t="n">
        <v>0</v>
      </c>
      <c r="O744" s="3" t="n">
        <v>0</v>
      </c>
      <c r="P744" s="3" t="n">
        <v>1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1</v>
      </c>
      <c r="V744" s="3" t="n">
        <v>1</v>
      </c>
      <c r="W744" s="3" t="n">
        <v>0</v>
      </c>
      <c r="X744" s="3" t="n">
        <v>0</v>
      </c>
      <c r="Y744" s="3" t="n">
        <v>0</v>
      </c>
      <c r="Z744" s="3" t="n">
        <v>1</v>
      </c>
      <c r="AA744" s="3" t="n">
        <v>1</v>
      </c>
      <c r="AB744" s="3" t="n">
        <v>1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4" t="n">
        <f aca="false">SUM(G744:AI744)</f>
        <v>9</v>
      </c>
      <c r="AK744" s="4" t="n">
        <f aca="false">ROUND(SUMPRODUCT(G744:AI744,Gene_Weights!$B$2:$AD$2),3)</f>
        <v>-6.07</v>
      </c>
      <c r="AL744" s="2" t="n">
        <v>6</v>
      </c>
      <c r="AM744" s="2" t="n">
        <v>1</v>
      </c>
      <c r="AN744" s="2" t="n">
        <v>16.67</v>
      </c>
      <c r="AO744" s="5" t="n">
        <v>58.19</v>
      </c>
      <c r="AP744" s="5" t="n">
        <v>59.74</v>
      </c>
      <c r="AQ744" s="5" t="n">
        <v>61.3</v>
      </c>
      <c r="AR744" s="5" t="n">
        <v>62.86</v>
      </c>
      <c r="AS744" s="5" t="n">
        <v>64.42</v>
      </c>
      <c r="AT744" s="5" t="n">
        <v>65.98</v>
      </c>
      <c r="AU744" s="5" t="n">
        <v>67.53</v>
      </c>
      <c r="AV744" s="5" t="s">
        <v>51</v>
      </c>
    </row>
    <row r="745" customFormat="false" ht="15" hidden="false" customHeight="false" outlineLevel="0" collapsed="false">
      <c r="A745" s="2" t="s">
        <v>179</v>
      </c>
      <c r="B745" s="2" t="n">
        <v>2006</v>
      </c>
      <c r="C745" s="2" t="s">
        <v>56</v>
      </c>
      <c r="D745" s="2" t="n">
        <v>0</v>
      </c>
      <c r="E745" s="2" t="n">
        <v>32</v>
      </c>
      <c r="F745" s="2" t="s">
        <v>50</v>
      </c>
      <c r="G745" s="3" t="n">
        <v>1</v>
      </c>
      <c r="H745" s="3" t="n">
        <v>0</v>
      </c>
      <c r="I745" s="3" t="n">
        <v>1</v>
      </c>
      <c r="J745" s="3" t="n">
        <v>0</v>
      </c>
      <c r="K745" s="3" t="n">
        <v>0</v>
      </c>
      <c r="L745" s="3" t="n">
        <v>1</v>
      </c>
      <c r="M745" s="3" t="n">
        <v>0</v>
      </c>
      <c r="N745" s="3" t="n">
        <v>0</v>
      </c>
      <c r="O745" s="3" t="n">
        <v>0</v>
      </c>
      <c r="P745" s="3" t="n">
        <v>1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1</v>
      </c>
      <c r="V745" s="3" t="n">
        <v>1</v>
      </c>
      <c r="W745" s="3" t="n">
        <v>0</v>
      </c>
      <c r="X745" s="3" t="n">
        <v>0</v>
      </c>
      <c r="Y745" s="3" t="n">
        <v>0</v>
      </c>
      <c r="Z745" s="3" t="n">
        <v>1</v>
      </c>
      <c r="AA745" s="3" t="n">
        <v>1</v>
      </c>
      <c r="AB745" s="3" t="n">
        <v>1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4" t="n">
        <f aca="false">SUM(G745:AI745)</f>
        <v>9</v>
      </c>
      <c r="AK745" s="4" t="n">
        <f aca="false">ROUND(SUMPRODUCT(G745:AI745,Gene_Weights!$B$2:$AD$2),3)</f>
        <v>-6.07</v>
      </c>
      <c r="AL745" s="2" t="n">
        <v>6</v>
      </c>
      <c r="AM745" s="2" t="n">
        <v>1</v>
      </c>
      <c r="AN745" s="2" t="n">
        <v>16.67</v>
      </c>
      <c r="AO745" s="5" t="n">
        <v>75.59</v>
      </c>
      <c r="AP745" s="5" t="n">
        <v>78.01</v>
      </c>
      <c r="AQ745" s="5" t="n">
        <v>80.42</v>
      </c>
      <c r="AR745" s="5" t="n">
        <v>82.83</v>
      </c>
      <c r="AS745" s="5" t="n">
        <v>85.24</v>
      </c>
      <c r="AT745" s="5" t="n">
        <v>87.66</v>
      </c>
      <c r="AU745" s="5" t="n">
        <v>90.07</v>
      </c>
      <c r="AV745" s="5" t="s">
        <v>51</v>
      </c>
    </row>
    <row r="746" customFormat="false" ht="15" hidden="false" customHeight="false" outlineLevel="0" collapsed="false">
      <c r="A746" s="2" t="s">
        <v>180</v>
      </c>
      <c r="B746" s="2" t="n">
        <v>2014</v>
      </c>
      <c r="C746" s="2" t="s">
        <v>49</v>
      </c>
      <c r="D746" s="2" t="n">
        <v>0</v>
      </c>
      <c r="E746" s="2" t="n">
        <v>2</v>
      </c>
      <c r="F746" s="2" t="s">
        <v>50</v>
      </c>
      <c r="G746" s="3" t="n">
        <v>0</v>
      </c>
      <c r="H746" s="3" t="n">
        <v>1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1</v>
      </c>
      <c r="P746" s="3" t="n">
        <v>1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1</v>
      </c>
      <c r="Z746" s="3" t="n">
        <v>1</v>
      </c>
      <c r="AA746" s="3" t="n">
        <v>0</v>
      </c>
      <c r="AB746" s="3" t="n">
        <v>1</v>
      </c>
      <c r="AC746" s="3" t="n">
        <v>0</v>
      </c>
      <c r="AD746" s="3" t="n">
        <v>1</v>
      </c>
      <c r="AE746" s="3" t="n">
        <v>0</v>
      </c>
      <c r="AF746" s="3" t="n">
        <v>1</v>
      </c>
      <c r="AG746" s="3" t="n">
        <v>0</v>
      </c>
      <c r="AH746" s="3" t="n">
        <v>0</v>
      </c>
      <c r="AI746" s="3" t="n">
        <v>0</v>
      </c>
      <c r="AJ746" s="4" t="n">
        <f aca="false">SUM(G746:AI746)</f>
        <v>8</v>
      </c>
      <c r="AK746" s="4" t="n">
        <f aca="false">ROUND(SUMPRODUCT(G746:AI746,Gene_Weights!$B$2:$AD$2),3)</f>
        <v>-2.44</v>
      </c>
      <c r="AL746" s="2" t="n">
        <v>8</v>
      </c>
      <c r="AM746" s="2" t="n">
        <v>3</v>
      </c>
      <c r="AN746" s="2" t="n">
        <v>37.5</v>
      </c>
      <c r="AO746" s="5" t="n">
        <v>55.12</v>
      </c>
      <c r="AP746" s="5" t="n">
        <v>56.02</v>
      </c>
      <c r="AQ746" s="5" t="n">
        <v>56.92</v>
      </c>
      <c r="AR746" s="5" t="n">
        <v>57.82</v>
      </c>
      <c r="AS746" s="5" t="n">
        <v>58.72</v>
      </c>
      <c r="AT746" s="5" t="n">
        <v>59.62</v>
      </c>
      <c r="AU746" s="5" t="n">
        <v>60.52</v>
      </c>
      <c r="AV746" s="5" t="s">
        <v>51</v>
      </c>
    </row>
    <row r="747" customFormat="false" ht="15" hidden="false" customHeight="false" outlineLevel="0" collapsed="false">
      <c r="A747" s="2" t="s">
        <v>180</v>
      </c>
      <c r="B747" s="2" t="n">
        <v>2014</v>
      </c>
      <c r="C747" s="2" t="s">
        <v>52</v>
      </c>
      <c r="D747" s="2" t="n">
        <v>0</v>
      </c>
      <c r="E747" s="2" t="n">
        <v>2</v>
      </c>
      <c r="F747" s="2" t="s">
        <v>50</v>
      </c>
      <c r="G747" s="3" t="n">
        <v>0</v>
      </c>
      <c r="H747" s="3" t="n">
        <v>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1</v>
      </c>
      <c r="P747" s="3" t="n">
        <v>1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1</v>
      </c>
      <c r="Z747" s="3" t="n">
        <v>1</v>
      </c>
      <c r="AA747" s="3" t="n">
        <v>0</v>
      </c>
      <c r="AB747" s="3" t="n">
        <v>1</v>
      </c>
      <c r="AC747" s="3" t="n">
        <v>0</v>
      </c>
      <c r="AD747" s="3" t="n">
        <v>1</v>
      </c>
      <c r="AE747" s="3" t="n">
        <v>0</v>
      </c>
      <c r="AF747" s="3" t="n">
        <v>1</v>
      </c>
      <c r="AG747" s="3" t="n">
        <v>0</v>
      </c>
      <c r="AH747" s="3" t="n">
        <v>0</v>
      </c>
      <c r="AI747" s="3" t="n">
        <v>0</v>
      </c>
      <c r="AJ747" s="4" t="n">
        <f aca="false">SUM(G747:AI747)</f>
        <v>8</v>
      </c>
      <c r="AK747" s="4" t="n">
        <f aca="false">ROUND(SUMPRODUCT(G747:AI747,Gene_Weights!$B$2:$AD$2),3)</f>
        <v>-2.44</v>
      </c>
      <c r="AL747" s="2" t="n">
        <v>8</v>
      </c>
      <c r="AM747" s="2" t="n">
        <v>4</v>
      </c>
      <c r="AN747" s="2" t="n">
        <v>50</v>
      </c>
      <c r="AO747" s="5" t="n">
        <v>64.53</v>
      </c>
      <c r="AP747" s="5" t="n">
        <v>66.13</v>
      </c>
      <c r="AQ747" s="5" t="n">
        <v>67.73</v>
      </c>
      <c r="AR747" s="5" t="n">
        <v>69.33</v>
      </c>
      <c r="AS747" s="5" t="n">
        <v>70.93</v>
      </c>
      <c r="AT747" s="5" t="n">
        <v>72.53</v>
      </c>
      <c r="AU747" s="5" t="n">
        <v>74.13</v>
      </c>
      <c r="AV747" s="5" t="s">
        <v>51</v>
      </c>
    </row>
    <row r="748" customFormat="false" ht="15" hidden="false" customHeight="false" outlineLevel="0" collapsed="false">
      <c r="A748" s="2" t="s">
        <v>180</v>
      </c>
      <c r="B748" s="2" t="n">
        <v>2014</v>
      </c>
      <c r="C748" s="2" t="s">
        <v>53</v>
      </c>
      <c r="D748" s="2" t="n">
        <v>1</v>
      </c>
      <c r="E748" s="2" t="n">
        <v>32</v>
      </c>
      <c r="F748" s="2" t="s">
        <v>50</v>
      </c>
      <c r="G748" s="3" t="n">
        <v>0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1</v>
      </c>
      <c r="P748" s="3" t="n">
        <v>1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</v>
      </c>
      <c r="Z748" s="3" t="n">
        <v>1</v>
      </c>
      <c r="AA748" s="3" t="n">
        <v>0</v>
      </c>
      <c r="AB748" s="3" t="n">
        <v>1</v>
      </c>
      <c r="AC748" s="3" t="n">
        <v>0</v>
      </c>
      <c r="AD748" s="3" t="n">
        <v>1</v>
      </c>
      <c r="AE748" s="3" t="n">
        <v>0</v>
      </c>
      <c r="AF748" s="3" t="n">
        <v>1</v>
      </c>
      <c r="AG748" s="3" t="n">
        <v>0</v>
      </c>
      <c r="AH748" s="3" t="n">
        <v>0</v>
      </c>
      <c r="AI748" s="3" t="n">
        <v>0</v>
      </c>
      <c r="AJ748" s="4" t="n">
        <f aca="false">SUM(G748:AI748)</f>
        <v>8</v>
      </c>
      <c r="AK748" s="4" t="n">
        <f aca="false">ROUND(SUMPRODUCT(G748:AI748,Gene_Weights!$B$2:$AD$2),3)</f>
        <v>-2.44</v>
      </c>
      <c r="AL748" s="2" t="n">
        <v>8</v>
      </c>
      <c r="AM748" s="2" t="n">
        <v>2</v>
      </c>
      <c r="AN748" s="2" t="n">
        <v>25</v>
      </c>
      <c r="AO748" s="5" t="n">
        <v>52.86</v>
      </c>
      <c r="AP748" s="5" t="n">
        <v>53.65</v>
      </c>
      <c r="AQ748" s="5" t="n">
        <v>54.45</v>
      </c>
      <c r="AR748" s="5" t="n">
        <v>55.24</v>
      </c>
      <c r="AS748" s="5" t="n">
        <v>56.03</v>
      </c>
      <c r="AT748" s="5" t="n">
        <v>56.83</v>
      </c>
      <c r="AU748" s="5" t="n">
        <v>57.62</v>
      </c>
      <c r="AV748" s="5" t="s">
        <v>51</v>
      </c>
    </row>
    <row r="749" customFormat="false" ht="15" hidden="false" customHeight="false" outlineLevel="0" collapsed="false">
      <c r="A749" s="2" t="s">
        <v>180</v>
      </c>
      <c r="B749" s="2" t="n">
        <v>2014</v>
      </c>
      <c r="C749" s="2" t="s">
        <v>54</v>
      </c>
      <c r="D749" s="2" t="n">
        <v>1</v>
      </c>
      <c r="E749" s="2" t="n">
        <v>4</v>
      </c>
      <c r="F749" s="2" t="s">
        <v>50</v>
      </c>
      <c r="G749" s="3" t="n">
        <v>0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1</v>
      </c>
      <c r="P749" s="3" t="n">
        <v>1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1</v>
      </c>
      <c r="Z749" s="3" t="n">
        <v>1</v>
      </c>
      <c r="AA749" s="3" t="n">
        <v>0</v>
      </c>
      <c r="AB749" s="3" t="n">
        <v>1</v>
      </c>
      <c r="AC749" s="3" t="n">
        <v>0</v>
      </c>
      <c r="AD749" s="3" t="n">
        <v>1</v>
      </c>
      <c r="AE749" s="3" t="n">
        <v>0</v>
      </c>
      <c r="AF749" s="3" t="n">
        <v>1</v>
      </c>
      <c r="AG749" s="3" t="n">
        <v>0</v>
      </c>
      <c r="AH749" s="3" t="n">
        <v>0</v>
      </c>
      <c r="AI749" s="3" t="n">
        <v>0</v>
      </c>
      <c r="AJ749" s="4" t="n">
        <f aca="false">SUM(G749:AI749)</f>
        <v>8</v>
      </c>
      <c r="AK749" s="4" t="n">
        <f aca="false">ROUND(SUMPRODUCT(G749:AI749,Gene_Weights!$B$2:$AD$2),3)</f>
        <v>-2.44</v>
      </c>
      <c r="AL749" s="2" t="n">
        <v>8</v>
      </c>
      <c r="AM749" s="2" t="n">
        <v>5</v>
      </c>
      <c r="AN749" s="2" t="n">
        <v>62.5</v>
      </c>
      <c r="AO749" s="5" t="n">
        <v>81.84</v>
      </c>
      <c r="AP749" s="5" t="n">
        <v>84.45</v>
      </c>
      <c r="AQ749" s="5" t="n">
        <v>87.06</v>
      </c>
      <c r="AR749" s="5" t="n">
        <v>89.67</v>
      </c>
      <c r="AS749" s="5" t="n">
        <v>92.27</v>
      </c>
      <c r="AT749" s="5" t="n">
        <v>94.88</v>
      </c>
      <c r="AU749" s="5" t="n">
        <v>97.49</v>
      </c>
      <c r="AV749" s="5" t="s">
        <v>51</v>
      </c>
    </row>
    <row r="750" customFormat="false" ht="15" hidden="false" customHeight="false" outlineLevel="0" collapsed="false">
      <c r="A750" s="2" t="s">
        <v>180</v>
      </c>
      <c r="B750" s="2" t="n">
        <v>2014</v>
      </c>
      <c r="C750" s="2" t="s">
        <v>55</v>
      </c>
      <c r="D750" s="2" t="n">
        <v>0</v>
      </c>
      <c r="E750" s="2" t="n">
        <v>16</v>
      </c>
      <c r="F750" s="2" t="s">
        <v>50</v>
      </c>
      <c r="G750" s="3" t="n">
        <v>0</v>
      </c>
      <c r="H750" s="3" t="n">
        <v>1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1</v>
      </c>
      <c r="P750" s="3" t="n">
        <v>1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1</v>
      </c>
      <c r="Z750" s="3" t="n">
        <v>1</v>
      </c>
      <c r="AA750" s="3" t="n">
        <v>0</v>
      </c>
      <c r="AB750" s="3" t="n">
        <v>1</v>
      </c>
      <c r="AC750" s="3" t="n">
        <v>0</v>
      </c>
      <c r="AD750" s="3" t="n">
        <v>1</v>
      </c>
      <c r="AE750" s="3" t="n">
        <v>0</v>
      </c>
      <c r="AF750" s="3" t="n">
        <v>1</v>
      </c>
      <c r="AG750" s="3" t="n">
        <v>0</v>
      </c>
      <c r="AH750" s="3" t="n">
        <v>0</v>
      </c>
      <c r="AI750" s="3" t="n">
        <v>0</v>
      </c>
      <c r="AJ750" s="4" t="n">
        <f aca="false">SUM(G750:AI750)</f>
        <v>8</v>
      </c>
      <c r="AK750" s="4" t="n">
        <f aca="false">ROUND(SUMPRODUCT(G750:AI750,Gene_Weights!$B$2:$AD$2),3)</f>
        <v>-2.44</v>
      </c>
      <c r="AL750" s="2" t="n">
        <v>8</v>
      </c>
      <c r="AM750" s="2" t="n">
        <v>3</v>
      </c>
      <c r="AN750" s="2" t="n">
        <v>37.5</v>
      </c>
      <c r="AO750" s="5" t="n">
        <v>58.19</v>
      </c>
      <c r="AP750" s="5" t="n">
        <v>59.74</v>
      </c>
      <c r="AQ750" s="5" t="n">
        <v>61.3</v>
      </c>
      <c r="AR750" s="5" t="n">
        <v>62.86</v>
      </c>
      <c r="AS750" s="5" t="n">
        <v>64.42</v>
      </c>
      <c r="AT750" s="5" t="n">
        <v>65.98</v>
      </c>
      <c r="AU750" s="5" t="n">
        <v>67.53</v>
      </c>
      <c r="AV750" s="5" t="s">
        <v>51</v>
      </c>
    </row>
    <row r="751" customFormat="false" ht="15" hidden="false" customHeight="false" outlineLevel="0" collapsed="false">
      <c r="A751" s="2" t="s">
        <v>180</v>
      </c>
      <c r="B751" s="2" t="n">
        <v>2014</v>
      </c>
      <c r="C751" s="2" t="s">
        <v>56</v>
      </c>
      <c r="D751" s="2" t="n">
        <v>0</v>
      </c>
      <c r="E751" s="2" t="n">
        <v>32</v>
      </c>
      <c r="F751" s="2" t="s">
        <v>50</v>
      </c>
      <c r="G751" s="3" t="n">
        <v>0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1</v>
      </c>
      <c r="P751" s="3" t="n">
        <v>1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1</v>
      </c>
      <c r="Z751" s="3" t="n">
        <v>1</v>
      </c>
      <c r="AA751" s="3" t="n">
        <v>0</v>
      </c>
      <c r="AB751" s="3" t="n">
        <v>1</v>
      </c>
      <c r="AC751" s="3" t="n">
        <v>0</v>
      </c>
      <c r="AD751" s="3" t="n">
        <v>1</v>
      </c>
      <c r="AE751" s="3" t="n">
        <v>0</v>
      </c>
      <c r="AF751" s="3" t="n">
        <v>1</v>
      </c>
      <c r="AG751" s="3" t="n">
        <v>0</v>
      </c>
      <c r="AH751" s="3" t="n">
        <v>0</v>
      </c>
      <c r="AI751" s="3" t="n">
        <v>0</v>
      </c>
      <c r="AJ751" s="4" t="n">
        <f aca="false">SUM(G751:AI751)</f>
        <v>8</v>
      </c>
      <c r="AK751" s="4" t="n">
        <f aca="false">ROUND(SUMPRODUCT(G751:AI751,Gene_Weights!$B$2:$AD$2),3)</f>
        <v>-2.44</v>
      </c>
      <c r="AL751" s="2" t="n">
        <v>8</v>
      </c>
      <c r="AM751" s="2" t="n">
        <v>3</v>
      </c>
      <c r="AN751" s="2" t="n">
        <v>37.5</v>
      </c>
      <c r="AO751" s="5" t="n">
        <v>75.59</v>
      </c>
      <c r="AP751" s="5" t="n">
        <v>78.01</v>
      </c>
      <c r="AQ751" s="5" t="n">
        <v>80.42</v>
      </c>
      <c r="AR751" s="5" t="n">
        <v>82.83</v>
      </c>
      <c r="AS751" s="5" t="n">
        <v>85.24</v>
      </c>
      <c r="AT751" s="5" t="n">
        <v>87.66</v>
      </c>
      <c r="AU751" s="5" t="n">
        <v>90.07</v>
      </c>
      <c r="AV751" s="5" t="s">
        <v>51</v>
      </c>
    </row>
    <row r="752" customFormat="false" ht="15" hidden="false" customHeight="false" outlineLevel="0" collapsed="false">
      <c r="A752" s="2" t="s">
        <v>181</v>
      </c>
      <c r="B752" s="2" t="n">
        <v>2024</v>
      </c>
      <c r="C752" s="2" t="s">
        <v>49</v>
      </c>
      <c r="D752" s="2" t="n">
        <v>1</v>
      </c>
      <c r="E752" s="2" t="n">
        <v>2</v>
      </c>
      <c r="F752" s="2" t="s">
        <v>50</v>
      </c>
      <c r="G752" s="3" t="n">
        <v>0</v>
      </c>
      <c r="H752" s="3" t="n">
        <v>1</v>
      </c>
      <c r="I752" s="3" t="n">
        <v>0</v>
      </c>
      <c r="J752" s="3" t="n">
        <v>0</v>
      </c>
      <c r="K752" s="3" t="n">
        <v>0</v>
      </c>
      <c r="L752" s="3" t="n">
        <v>1</v>
      </c>
      <c r="M752" s="3" t="n">
        <v>0</v>
      </c>
      <c r="N752" s="3" t="n">
        <v>1</v>
      </c>
      <c r="O752" s="3" t="n">
        <v>1</v>
      </c>
      <c r="P752" s="3" t="n">
        <v>0</v>
      </c>
      <c r="Q752" s="3" t="n">
        <v>1</v>
      </c>
      <c r="R752" s="3" t="n">
        <v>0</v>
      </c>
      <c r="S752" s="3" t="n">
        <v>0</v>
      </c>
      <c r="T752" s="3" t="n">
        <v>0</v>
      </c>
      <c r="U752" s="3" t="n">
        <v>1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1</v>
      </c>
      <c r="AE752" s="3" t="n">
        <v>1</v>
      </c>
      <c r="AF752" s="3" t="n">
        <v>0</v>
      </c>
      <c r="AG752" s="3" t="n">
        <v>0</v>
      </c>
      <c r="AH752" s="3" t="n">
        <v>0</v>
      </c>
      <c r="AI752" s="3" t="n">
        <v>0</v>
      </c>
      <c r="AJ752" s="4" t="n">
        <f aca="false">SUM(G752:AI752)</f>
        <v>8</v>
      </c>
      <c r="AK752" s="4" t="n">
        <f aca="false">ROUND(SUMPRODUCT(G752:AI752,Gene_Weights!$B$2:$AD$2),3)</f>
        <v>-5.31</v>
      </c>
      <c r="AL752" s="2" t="n">
        <v>7</v>
      </c>
      <c r="AM752" s="2" t="n">
        <v>6</v>
      </c>
      <c r="AN752" s="2" t="n">
        <v>85.71</v>
      </c>
      <c r="AO752" s="5" t="n">
        <v>55.12</v>
      </c>
      <c r="AP752" s="5" t="n">
        <v>56.02</v>
      </c>
      <c r="AQ752" s="5" t="n">
        <v>56.92</v>
      </c>
      <c r="AR752" s="5" t="n">
        <v>57.82</v>
      </c>
      <c r="AS752" s="5" t="n">
        <v>58.72</v>
      </c>
      <c r="AT752" s="5" t="n">
        <v>59.62</v>
      </c>
      <c r="AU752" s="5" t="n">
        <v>60.52</v>
      </c>
      <c r="AV752" s="5" t="s">
        <v>51</v>
      </c>
    </row>
    <row r="753" customFormat="false" ht="15" hidden="false" customHeight="false" outlineLevel="0" collapsed="false">
      <c r="A753" s="2" t="s">
        <v>181</v>
      </c>
      <c r="B753" s="2" t="n">
        <v>2024</v>
      </c>
      <c r="C753" s="2" t="s">
        <v>52</v>
      </c>
      <c r="D753" s="2" t="n">
        <v>1</v>
      </c>
      <c r="E753" s="2" t="n">
        <v>2</v>
      </c>
      <c r="F753" s="2" t="s">
        <v>50</v>
      </c>
      <c r="G753" s="3" t="n">
        <v>0</v>
      </c>
      <c r="H753" s="3" t="n">
        <v>1</v>
      </c>
      <c r="I753" s="3" t="n">
        <v>0</v>
      </c>
      <c r="J753" s="3" t="n">
        <v>0</v>
      </c>
      <c r="K753" s="3" t="n">
        <v>0</v>
      </c>
      <c r="L753" s="3" t="n">
        <v>1</v>
      </c>
      <c r="M753" s="3" t="n">
        <v>0</v>
      </c>
      <c r="N753" s="3" t="n">
        <v>1</v>
      </c>
      <c r="O753" s="3" t="n">
        <v>1</v>
      </c>
      <c r="P753" s="3" t="n">
        <v>0</v>
      </c>
      <c r="Q753" s="3" t="n">
        <v>1</v>
      </c>
      <c r="R753" s="3" t="n">
        <v>0</v>
      </c>
      <c r="S753" s="3" t="n">
        <v>0</v>
      </c>
      <c r="T753" s="3" t="n">
        <v>0</v>
      </c>
      <c r="U753" s="3" t="n">
        <v>1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1</v>
      </c>
      <c r="AE753" s="3" t="n">
        <v>1</v>
      </c>
      <c r="AF753" s="3" t="n">
        <v>0</v>
      </c>
      <c r="AG753" s="3" t="n">
        <v>0</v>
      </c>
      <c r="AH753" s="3" t="n">
        <v>0</v>
      </c>
      <c r="AI753" s="3" t="n">
        <v>0</v>
      </c>
      <c r="AJ753" s="4" t="n">
        <f aca="false">SUM(G753:AI753)</f>
        <v>8</v>
      </c>
      <c r="AK753" s="4" t="n">
        <f aca="false">ROUND(SUMPRODUCT(G753:AI753,Gene_Weights!$B$2:$AD$2),3)</f>
        <v>-5.31</v>
      </c>
      <c r="AL753" s="2" t="n">
        <v>7</v>
      </c>
      <c r="AM753" s="2" t="n">
        <v>7</v>
      </c>
      <c r="AN753" s="2" t="n">
        <v>100</v>
      </c>
      <c r="AO753" s="5" t="n">
        <v>64.53</v>
      </c>
      <c r="AP753" s="5" t="n">
        <v>66.13</v>
      </c>
      <c r="AQ753" s="5" t="n">
        <v>67.73</v>
      </c>
      <c r="AR753" s="5" t="n">
        <v>69.33</v>
      </c>
      <c r="AS753" s="5" t="n">
        <v>70.93</v>
      </c>
      <c r="AT753" s="5" t="n">
        <v>72.53</v>
      </c>
      <c r="AU753" s="5" t="n">
        <v>74.13</v>
      </c>
      <c r="AV753" s="5" t="s">
        <v>51</v>
      </c>
    </row>
    <row r="754" customFormat="false" ht="15" hidden="false" customHeight="false" outlineLevel="0" collapsed="false">
      <c r="A754" s="2" t="s">
        <v>181</v>
      </c>
      <c r="B754" s="2" t="n">
        <v>2024</v>
      </c>
      <c r="C754" s="2" t="s">
        <v>53</v>
      </c>
      <c r="D754" s="2" t="n">
        <v>1</v>
      </c>
      <c r="E754" s="2" t="n">
        <v>4</v>
      </c>
      <c r="F754" s="2" t="s">
        <v>50</v>
      </c>
      <c r="G754" s="3" t="n">
        <v>0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1</v>
      </c>
      <c r="M754" s="3" t="n">
        <v>0</v>
      </c>
      <c r="N754" s="3" t="n">
        <v>1</v>
      </c>
      <c r="O754" s="3" t="n">
        <v>1</v>
      </c>
      <c r="P754" s="3" t="n">
        <v>0</v>
      </c>
      <c r="Q754" s="3" t="n">
        <v>1</v>
      </c>
      <c r="R754" s="3" t="n">
        <v>0</v>
      </c>
      <c r="S754" s="3" t="n">
        <v>0</v>
      </c>
      <c r="T754" s="3" t="n">
        <v>0</v>
      </c>
      <c r="U754" s="3" t="n">
        <v>1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1</v>
      </c>
      <c r="AE754" s="3" t="n">
        <v>1</v>
      </c>
      <c r="AF754" s="3" t="n">
        <v>0</v>
      </c>
      <c r="AG754" s="3" t="n">
        <v>0</v>
      </c>
      <c r="AH754" s="3" t="n">
        <v>0</v>
      </c>
      <c r="AI754" s="3" t="n">
        <v>0</v>
      </c>
      <c r="AJ754" s="4" t="n">
        <f aca="false">SUM(G754:AI754)</f>
        <v>8</v>
      </c>
      <c r="AK754" s="4" t="n">
        <f aca="false">ROUND(SUMPRODUCT(G754:AI754,Gene_Weights!$B$2:$AD$2),3)</f>
        <v>-5.31</v>
      </c>
      <c r="AL754" s="2" t="n">
        <v>7</v>
      </c>
      <c r="AM754" s="2" t="n">
        <v>5</v>
      </c>
      <c r="AN754" s="2" t="n">
        <v>71.43</v>
      </c>
      <c r="AO754" s="5" t="n">
        <v>52.86</v>
      </c>
      <c r="AP754" s="5" t="n">
        <v>53.65</v>
      </c>
      <c r="AQ754" s="5" t="n">
        <v>54.45</v>
      </c>
      <c r="AR754" s="5" t="n">
        <v>55.24</v>
      </c>
      <c r="AS754" s="5" t="n">
        <v>56.03</v>
      </c>
      <c r="AT754" s="5" t="n">
        <v>56.83</v>
      </c>
      <c r="AU754" s="5" t="n">
        <v>57.62</v>
      </c>
      <c r="AV754" s="5" t="s">
        <v>51</v>
      </c>
    </row>
    <row r="755" customFormat="false" ht="15" hidden="false" customHeight="false" outlineLevel="0" collapsed="false">
      <c r="A755" s="2" t="s">
        <v>181</v>
      </c>
      <c r="B755" s="2" t="n">
        <v>2024</v>
      </c>
      <c r="C755" s="2" t="s">
        <v>54</v>
      </c>
      <c r="D755" s="2" t="n">
        <v>1</v>
      </c>
      <c r="E755" s="2" t="n">
        <v>32</v>
      </c>
      <c r="F755" s="2" t="s">
        <v>50</v>
      </c>
      <c r="G755" s="3" t="n">
        <v>0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1</v>
      </c>
      <c r="M755" s="3" t="n">
        <v>0</v>
      </c>
      <c r="N755" s="3" t="n">
        <v>1</v>
      </c>
      <c r="O755" s="3" t="n">
        <v>1</v>
      </c>
      <c r="P755" s="3" t="n">
        <v>0</v>
      </c>
      <c r="Q755" s="3" t="n">
        <v>1</v>
      </c>
      <c r="R755" s="3" t="n">
        <v>0</v>
      </c>
      <c r="S755" s="3" t="n">
        <v>0</v>
      </c>
      <c r="T755" s="3" t="n">
        <v>0</v>
      </c>
      <c r="U755" s="3" t="n">
        <v>1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1</v>
      </c>
      <c r="AE755" s="3" t="n">
        <v>1</v>
      </c>
      <c r="AF755" s="3" t="n">
        <v>0</v>
      </c>
      <c r="AG755" s="3" t="n">
        <v>0</v>
      </c>
      <c r="AH755" s="3" t="n">
        <v>0</v>
      </c>
      <c r="AI755" s="3" t="n">
        <v>0</v>
      </c>
      <c r="AJ755" s="4" t="n">
        <f aca="false">SUM(G755:AI755)</f>
        <v>8</v>
      </c>
      <c r="AK755" s="4" t="n">
        <f aca="false">ROUND(SUMPRODUCT(G755:AI755,Gene_Weights!$B$2:$AD$2),3)</f>
        <v>-5.31</v>
      </c>
      <c r="AL755" s="2" t="n">
        <v>7</v>
      </c>
      <c r="AM755" s="2" t="n">
        <v>6</v>
      </c>
      <c r="AN755" s="2" t="n">
        <v>85.71</v>
      </c>
      <c r="AO755" s="5" t="n">
        <v>81.84</v>
      </c>
      <c r="AP755" s="5" t="n">
        <v>84.45</v>
      </c>
      <c r="AQ755" s="5" t="n">
        <v>87.06</v>
      </c>
      <c r="AR755" s="5" t="n">
        <v>89.67</v>
      </c>
      <c r="AS755" s="5" t="n">
        <v>92.27</v>
      </c>
      <c r="AT755" s="5" t="n">
        <v>94.88</v>
      </c>
      <c r="AU755" s="5" t="n">
        <v>97.49</v>
      </c>
      <c r="AV755" s="5" t="s">
        <v>51</v>
      </c>
    </row>
    <row r="756" customFormat="false" ht="15" hidden="false" customHeight="false" outlineLevel="0" collapsed="false">
      <c r="A756" s="2" t="s">
        <v>181</v>
      </c>
      <c r="B756" s="2" t="n">
        <v>2024</v>
      </c>
      <c r="C756" s="2" t="s">
        <v>55</v>
      </c>
      <c r="D756" s="2" t="n">
        <v>0</v>
      </c>
      <c r="E756" s="2" t="n">
        <v>4</v>
      </c>
      <c r="F756" s="2" t="s">
        <v>50</v>
      </c>
      <c r="G756" s="3" t="n">
        <v>0</v>
      </c>
      <c r="H756" s="3" t="n">
        <v>1</v>
      </c>
      <c r="I756" s="3" t="n">
        <v>0</v>
      </c>
      <c r="J756" s="3" t="n">
        <v>0</v>
      </c>
      <c r="K756" s="3" t="n">
        <v>0</v>
      </c>
      <c r="L756" s="3" t="n">
        <v>1</v>
      </c>
      <c r="M756" s="3" t="n">
        <v>0</v>
      </c>
      <c r="N756" s="3" t="n">
        <v>1</v>
      </c>
      <c r="O756" s="3" t="n">
        <v>1</v>
      </c>
      <c r="P756" s="3" t="n">
        <v>0</v>
      </c>
      <c r="Q756" s="3" t="n">
        <v>1</v>
      </c>
      <c r="R756" s="3" t="n">
        <v>0</v>
      </c>
      <c r="S756" s="3" t="n">
        <v>0</v>
      </c>
      <c r="T756" s="3" t="n">
        <v>0</v>
      </c>
      <c r="U756" s="3" t="n">
        <v>1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1</v>
      </c>
      <c r="AE756" s="3" t="n">
        <v>1</v>
      </c>
      <c r="AF756" s="3" t="n">
        <v>0</v>
      </c>
      <c r="AG756" s="3" t="n">
        <v>0</v>
      </c>
      <c r="AH756" s="3" t="n">
        <v>0</v>
      </c>
      <c r="AI756" s="3" t="n">
        <v>0</v>
      </c>
      <c r="AJ756" s="4" t="n">
        <f aca="false">SUM(G756:AI756)</f>
        <v>8</v>
      </c>
      <c r="AK756" s="4" t="n">
        <f aca="false">ROUND(SUMPRODUCT(G756:AI756,Gene_Weights!$B$2:$AD$2),3)</f>
        <v>-5.31</v>
      </c>
      <c r="AL756" s="2" t="n">
        <v>7</v>
      </c>
      <c r="AM756" s="2" t="n">
        <v>5</v>
      </c>
      <c r="AN756" s="2" t="n">
        <v>71.43</v>
      </c>
      <c r="AO756" s="5" t="n">
        <v>58.19</v>
      </c>
      <c r="AP756" s="5" t="n">
        <v>59.74</v>
      </c>
      <c r="AQ756" s="5" t="n">
        <v>61.3</v>
      </c>
      <c r="AR756" s="5" t="n">
        <v>62.86</v>
      </c>
      <c r="AS756" s="5" t="n">
        <v>64.42</v>
      </c>
      <c r="AT756" s="5" t="n">
        <v>65.98</v>
      </c>
      <c r="AU756" s="5" t="n">
        <v>67.53</v>
      </c>
      <c r="AV756" s="5" t="s">
        <v>51</v>
      </c>
    </row>
    <row r="757" customFormat="false" ht="15" hidden="false" customHeight="false" outlineLevel="0" collapsed="false">
      <c r="A757" s="2" t="s">
        <v>181</v>
      </c>
      <c r="B757" s="2" t="n">
        <v>2024</v>
      </c>
      <c r="C757" s="2" t="s">
        <v>56</v>
      </c>
      <c r="D757" s="2" t="n">
        <v>1</v>
      </c>
      <c r="E757" s="2" t="n">
        <v>4</v>
      </c>
      <c r="F757" s="2" t="s">
        <v>50</v>
      </c>
      <c r="G757" s="3" t="n">
        <v>0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1</v>
      </c>
      <c r="M757" s="3" t="n">
        <v>0</v>
      </c>
      <c r="N757" s="3" t="n">
        <v>1</v>
      </c>
      <c r="O757" s="3" t="n">
        <v>1</v>
      </c>
      <c r="P757" s="3" t="n">
        <v>0</v>
      </c>
      <c r="Q757" s="3" t="n">
        <v>1</v>
      </c>
      <c r="R757" s="3" t="n">
        <v>0</v>
      </c>
      <c r="S757" s="3" t="n">
        <v>0</v>
      </c>
      <c r="T757" s="3" t="n">
        <v>0</v>
      </c>
      <c r="U757" s="3" t="n">
        <v>1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1</v>
      </c>
      <c r="AE757" s="3" t="n">
        <v>1</v>
      </c>
      <c r="AF757" s="3" t="n">
        <v>0</v>
      </c>
      <c r="AG757" s="3" t="n">
        <v>0</v>
      </c>
      <c r="AH757" s="3" t="n">
        <v>0</v>
      </c>
      <c r="AI757" s="3" t="n">
        <v>0</v>
      </c>
      <c r="AJ757" s="4" t="n">
        <f aca="false">SUM(G757:AI757)</f>
        <v>8</v>
      </c>
      <c r="AK757" s="4" t="n">
        <f aca="false">ROUND(SUMPRODUCT(G757:AI757,Gene_Weights!$B$2:$AD$2),3)</f>
        <v>-5.31</v>
      </c>
      <c r="AL757" s="2" t="n">
        <v>7</v>
      </c>
      <c r="AM757" s="2" t="n">
        <v>5</v>
      </c>
      <c r="AN757" s="2" t="n">
        <v>71.43</v>
      </c>
      <c r="AO757" s="5" t="n">
        <v>75.59</v>
      </c>
      <c r="AP757" s="5" t="n">
        <v>78.01</v>
      </c>
      <c r="AQ757" s="5" t="n">
        <v>80.42</v>
      </c>
      <c r="AR757" s="5" t="n">
        <v>82.83</v>
      </c>
      <c r="AS757" s="5" t="n">
        <v>85.24</v>
      </c>
      <c r="AT757" s="5" t="n">
        <v>87.66</v>
      </c>
      <c r="AU757" s="5" t="n">
        <v>90.07</v>
      </c>
      <c r="AV757" s="5" t="s">
        <v>51</v>
      </c>
    </row>
    <row r="758" customFormat="false" ht="15" hidden="false" customHeight="false" outlineLevel="0" collapsed="false">
      <c r="A758" s="2" t="s">
        <v>182</v>
      </c>
      <c r="B758" s="2" t="n">
        <v>2011</v>
      </c>
      <c r="C758" s="2" t="s">
        <v>49</v>
      </c>
      <c r="D758" s="2" t="n">
        <v>0</v>
      </c>
      <c r="E758" s="2" t="n">
        <v>32</v>
      </c>
      <c r="F758" s="2" t="s">
        <v>50</v>
      </c>
      <c r="G758" s="3" t="n">
        <v>0</v>
      </c>
      <c r="H758" s="3" t="n">
        <v>0</v>
      </c>
      <c r="I758" s="3" t="n">
        <v>1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1</v>
      </c>
      <c r="W758" s="3" t="n">
        <v>0</v>
      </c>
      <c r="X758" s="3" t="n">
        <v>1</v>
      </c>
      <c r="Y758" s="3" t="n">
        <v>0</v>
      </c>
      <c r="Z758" s="3" t="n">
        <v>0</v>
      </c>
      <c r="AA758" s="3" t="n">
        <v>1</v>
      </c>
      <c r="AB758" s="3" t="n">
        <v>0</v>
      </c>
      <c r="AC758" s="3" t="n">
        <v>0</v>
      </c>
      <c r="AD758" s="3" t="n">
        <v>1</v>
      </c>
      <c r="AE758" s="3" t="n">
        <v>0</v>
      </c>
      <c r="AF758" s="3" t="n">
        <v>1</v>
      </c>
      <c r="AG758" s="3" t="n">
        <v>1</v>
      </c>
      <c r="AH758" s="3" t="n">
        <v>1</v>
      </c>
      <c r="AI758" s="3" t="n">
        <v>1</v>
      </c>
      <c r="AJ758" s="4" t="n">
        <f aca="false">SUM(G758:AI758)</f>
        <v>9</v>
      </c>
      <c r="AK758" s="4" t="n">
        <f aca="false">ROUND(SUMPRODUCT(G758:AI758,Gene_Weights!$B$2:$AD$2),3)</f>
        <v>-5.81</v>
      </c>
      <c r="AL758" s="2" t="n">
        <v>11</v>
      </c>
      <c r="AM758" s="2" t="n">
        <v>5</v>
      </c>
      <c r="AN758" s="2" t="n">
        <v>45.45</v>
      </c>
      <c r="AO758" s="5" t="n">
        <v>55.12</v>
      </c>
      <c r="AP758" s="5" t="n">
        <v>56.02</v>
      </c>
      <c r="AQ758" s="5" t="n">
        <v>56.92</v>
      </c>
      <c r="AR758" s="5" t="n">
        <v>57.82</v>
      </c>
      <c r="AS758" s="5" t="n">
        <v>58.72</v>
      </c>
      <c r="AT758" s="5" t="n">
        <v>59.62</v>
      </c>
      <c r="AU758" s="5" t="n">
        <v>60.52</v>
      </c>
      <c r="AV758" s="5" t="s">
        <v>51</v>
      </c>
    </row>
    <row r="759" customFormat="false" ht="15" hidden="false" customHeight="false" outlineLevel="0" collapsed="false">
      <c r="A759" s="2" t="s">
        <v>182</v>
      </c>
      <c r="B759" s="2" t="n">
        <v>2011</v>
      </c>
      <c r="C759" s="2" t="s">
        <v>52</v>
      </c>
      <c r="D759" s="2" t="n">
        <v>0</v>
      </c>
      <c r="E759" s="2" t="n">
        <v>2</v>
      </c>
      <c r="F759" s="2" t="s">
        <v>50</v>
      </c>
      <c r="G759" s="3" t="n">
        <v>0</v>
      </c>
      <c r="H759" s="3" t="n">
        <v>0</v>
      </c>
      <c r="I759" s="3" t="n">
        <v>1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1</v>
      </c>
      <c r="W759" s="3" t="n">
        <v>0</v>
      </c>
      <c r="X759" s="3" t="n">
        <v>1</v>
      </c>
      <c r="Y759" s="3" t="n">
        <v>0</v>
      </c>
      <c r="Z759" s="3" t="n">
        <v>0</v>
      </c>
      <c r="AA759" s="3" t="n">
        <v>1</v>
      </c>
      <c r="AB759" s="3" t="n">
        <v>0</v>
      </c>
      <c r="AC759" s="3" t="n">
        <v>0</v>
      </c>
      <c r="AD759" s="3" t="n">
        <v>1</v>
      </c>
      <c r="AE759" s="3" t="n">
        <v>0</v>
      </c>
      <c r="AF759" s="3" t="n">
        <v>1</v>
      </c>
      <c r="AG759" s="3" t="n">
        <v>1</v>
      </c>
      <c r="AH759" s="3" t="n">
        <v>1</v>
      </c>
      <c r="AI759" s="3" t="n">
        <v>1</v>
      </c>
      <c r="AJ759" s="4" t="n">
        <f aca="false">SUM(G759:AI759)</f>
        <v>9</v>
      </c>
      <c r="AK759" s="4" t="n">
        <f aca="false">ROUND(SUMPRODUCT(G759:AI759,Gene_Weights!$B$2:$AD$2),3)</f>
        <v>-5.81</v>
      </c>
      <c r="AL759" s="2" t="n">
        <v>11</v>
      </c>
      <c r="AM759" s="2" t="n">
        <v>4</v>
      </c>
      <c r="AN759" s="2" t="n">
        <v>36.36</v>
      </c>
      <c r="AO759" s="5" t="n">
        <v>64.53</v>
      </c>
      <c r="AP759" s="5" t="n">
        <v>66.13</v>
      </c>
      <c r="AQ759" s="5" t="n">
        <v>67.73</v>
      </c>
      <c r="AR759" s="5" t="n">
        <v>69.33</v>
      </c>
      <c r="AS759" s="5" t="n">
        <v>70.93</v>
      </c>
      <c r="AT759" s="5" t="n">
        <v>72.53</v>
      </c>
      <c r="AU759" s="5" t="n">
        <v>74.13</v>
      </c>
      <c r="AV759" s="5" t="s">
        <v>51</v>
      </c>
    </row>
    <row r="760" customFormat="false" ht="15" hidden="false" customHeight="false" outlineLevel="0" collapsed="false">
      <c r="A760" s="2" t="s">
        <v>182</v>
      </c>
      <c r="B760" s="2" t="n">
        <v>2011</v>
      </c>
      <c r="C760" s="2" t="s">
        <v>53</v>
      </c>
      <c r="D760" s="2" t="n">
        <v>0</v>
      </c>
      <c r="E760" s="2" t="n">
        <v>16</v>
      </c>
      <c r="F760" s="2" t="s">
        <v>50</v>
      </c>
      <c r="G760" s="3" t="n">
        <v>0</v>
      </c>
      <c r="H760" s="3" t="n">
        <v>0</v>
      </c>
      <c r="I760" s="3" t="n">
        <v>1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1</v>
      </c>
      <c r="W760" s="3" t="n">
        <v>0</v>
      </c>
      <c r="X760" s="3" t="n">
        <v>1</v>
      </c>
      <c r="Y760" s="3" t="n">
        <v>0</v>
      </c>
      <c r="Z760" s="3" t="n">
        <v>0</v>
      </c>
      <c r="AA760" s="3" t="n">
        <v>1</v>
      </c>
      <c r="AB760" s="3" t="n">
        <v>0</v>
      </c>
      <c r="AC760" s="3" t="n">
        <v>0</v>
      </c>
      <c r="AD760" s="3" t="n">
        <v>1</v>
      </c>
      <c r="AE760" s="3" t="n">
        <v>0</v>
      </c>
      <c r="AF760" s="3" t="n">
        <v>1</v>
      </c>
      <c r="AG760" s="3" t="n">
        <v>1</v>
      </c>
      <c r="AH760" s="3" t="n">
        <v>1</v>
      </c>
      <c r="AI760" s="3" t="n">
        <v>1</v>
      </c>
      <c r="AJ760" s="4" t="n">
        <f aca="false">SUM(G760:AI760)</f>
        <v>9</v>
      </c>
      <c r="AK760" s="4" t="n">
        <f aca="false">ROUND(SUMPRODUCT(G760:AI760,Gene_Weights!$B$2:$AD$2),3)</f>
        <v>-5.81</v>
      </c>
      <c r="AL760" s="2" t="n">
        <v>11</v>
      </c>
      <c r="AM760" s="2" t="n">
        <v>6</v>
      </c>
      <c r="AN760" s="2" t="n">
        <v>54.55</v>
      </c>
      <c r="AO760" s="5" t="n">
        <v>52.86</v>
      </c>
      <c r="AP760" s="5" t="n">
        <v>53.65</v>
      </c>
      <c r="AQ760" s="5" t="n">
        <v>54.45</v>
      </c>
      <c r="AR760" s="5" t="n">
        <v>55.24</v>
      </c>
      <c r="AS760" s="5" t="n">
        <v>56.03</v>
      </c>
      <c r="AT760" s="5" t="n">
        <v>56.83</v>
      </c>
      <c r="AU760" s="5" t="n">
        <v>57.62</v>
      </c>
      <c r="AV760" s="5" t="s">
        <v>51</v>
      </c>
    </row>
    <row r="761" customFormat="false" ht="15" hidden="false" customHeight="false" outlineLevel="0" collapsed="false">
      <c r="A761" s="2" t="s">
        <v>182</v>
      </c>
      <c r="B761" s="2" t="n">
        <v>2011</v>
      </c>
      <c r="C761" s="2" t="s">
        <v>54</v>
      </c>
      <c r="D761" s="2" t="n">
        <v>0</v>
      </c>
      <c r="E761" s="2" t="n">
        <v>2</v>
      </c>
      <c r="F761" s="2" t="s">
        <v>50</v>
      </c>
      <c r="G761" s="3" t="n">
        <v>0</v>
      </c>
      <c r="H761" s="3" t="n">
        <v>0</v>
      </c>
      <c r="I761" s="3" t="n">
        <v>1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1</v>
      </c>
      <c r="W761" s="3" t="n">
        <v>0</v>
      </c>
      <c r="X761" s="3" t="n">
        <v>1</v>
      </c>
      <c r="Y761" s="3" t="n">
        <v>0</v>
      </c>
      <c r="Z761" s="3" t="n">
        <v>0</v>
      </c>
      <c r="AA761" s="3" t="n">
        <v>1</v>
      </c>
      <c r="AB761" s="3" t="n">
        <v>0</v>
      </c>
      <c r="AC761" s="3" t="n">
        <v>0</v>
      </c>
      <c r="AD761" s="3" t="n">
        <v>1</v>
      </c>
      <c r="AE761" s="3" t="n">
        <v>0</v>
      </c>
      <c r="AF761" s="3" t="n">
        <v>1</v>
      </c>
      <c r="AG761" s="3" t="n">
        <v>1</v>
      </c>
      <c r="AH761" s="3" t="n">
        <v>1</v>
      </c>
      <c r="AI761" s="3" t="n">
        <v>1</v>
      </c>
      <c r="AJ761" s="4" t="n">
        <f aca="false">SUM(G761:AI761)</f>
        <v>9</v>
      </c>
      <c r="AK761" s="4" t="n">
        <f aca="false">ROUND(SUMPRODUCT(G761:AI761,Gene_Weights!$B$2:$AD$2),3)</f>
        <v>-5.81</v>
      </c>
      <c r="AL761" s="2" t="n">
        <v>11</v>
      </c>
      <c r="AM761" s="2" t="n">
        <v>4</v>
      </c>
      <c r="AN761" s="2" t="n">
        <v>36.36</v>
      </c>
      <c r="AO761" s="5" t="n">
        <v>81.84</v>
      </c>
      <c r="AP761" s="5" t="n">
        <v>84.45</v>
      </c>
      <c r="AQ761" s="5" t="n">
        <v>87.06</v>
      </c>
      <c r="AR761" s="5" t="n">
        <v>89.67</v>
      </c>
      <c r="AS761" s="5" t="n">
        <v>92.27</v>
      </c>
      <c r="AT761" s="5" t="n">
        <v>94.88</v>
      </c>
      <c r="AU761" s="5" t="n">
        <v>97.49</v>
      </c>
      <c r="AV761" s="5" t="s">
        <v>51</v>
      </c>
    </row>
    <row r="762" customFormat="false" ht="15" hidden="false" customHeight="false" outlineLevel="0" collapsed="false">
      <c r="A762" s="2" t="s">
        <v>182</v>
      </c>
      <c r="B762" s="2" t="n">
        <v>2011</v>
      </c>
      <c r="C762" s="2" t="s">
        <v>55</v>
      </c>
      <c r="D762" s="2" t="n">
        <v>1</v>
      </c>
      <c r="E762" s="2" t="n">
        <v>32</v>
      </c>
      <c r="F762" s="2" t="s">
        <v>50</v>
      </c>
      <c r="G762" s="3" t="n">
        <v>0</v>
      </c>
      <c r="H762" s="3" t="n">
        <v>0</v>
      </c>
      <c r="I762" s="3" t="n">
        <v>1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1</v>
      </c>
      <c r="W762" s="3" t="n">
        <v>0</v>
      </c>
      <c r="X762" s="3" t="n">
        <v>1</v>
      </c>
      <c r="Y762" s="3" t="n">
        <v>0</v>
      </c>
      <c r="Z762" s="3" t="n">
        <v>0</v>
      </c>
      <c r="AA762" s="3" t="n">
        <v>1</v>
      </c>
      <c r="AB762" s="3" t="n">
        <v>0</v>
      </c>
      <c r="AC762" s="3" t="n">
        <v>0</v>
      </c>
      <c r="AD762" s="3" t="n">
        <v>1</v>
      </c>
      <c r="AE762" s="3" t="n">
        <v>0</v>
      </c>
      <c r="AF762" s="3" t="n">
        <v>1</v>
      </c>
      <c r="AG762" s="3" t="n">
        <v>1</v>
      </c>
      <c r="AH762" s="3" t="n">
        <v>1</v>
      </c>
      <c r="AI762" s="3" t="n">
        <v>1</v>
      </c>
      <c r="AJ762" s="4" t="n">
        <f aca="false">SUM(G762:AI762)</f>
        <v>9</v>
      </c>
      <c r="AK762" s="4" t="n">
        <f aca="false">ROUND(SUMPRODUCT(G762:AI762,Gene_Weights!$B$2:$AD$2),3)</f>
        <v>-5.81</v>
      </c>
      <c r="AL762" s="2" t="n">
        <v>11</v>
      </c>
      <c r="AM762" s="2" t="n">
        <v>7</v>
      </c>
      <c r="AN762" s="2" t="n">
        <v>63.64</v>
      </c>
      <c r="AO762" s="5" t="n">
        <v>58.19</v>
      </c>
      <c r="AP762" s="5" t="n">
        <v>59.74</v>
      </c>
      <c r="AQ762" s="5" t="n">
        <v>61.3</v>
      </c>
      <c r="AR762" s="5" t="n">
        <v>62.86</v>
      </c>
      <c r="AS762" s="5" t="n">
        <v>64.42</v>
      </c>
      <c r="AT762" s="5" t="n">
        <v>65.98</v>
      </c>
      <c r="AU762" s="5" t="n">
        <v>67.53</v>
      </c>
      <c r="AV762" s="5" t="s">
        <v>51</v>
      </c>
    </row>
    <row r="763" customFormat="false" ht="15" hidden="false" customHeight="false" outlineLevel="0" collapsed="false">
      <c r="A763" s="2" t="s">
        <v>182</v>
      </c>
      <c r="B763" s="2" t="n">
        <v>2011</v>
      </c>
      <c r="C763" s="2" t="s">
        <v>56</v>
      </c>
      <c r="D763" s="2" t="n">
        <v>1</v>
      </c>
      <c r="E763" s="2" t="n">
        <v>4</v>
      </c>
      <c r="F763" s="2" t="s">
        <v>50</v>
      </c>
      <c r="G763" s="3" t="n">
        <v>0</v>
      </c>
      <c r="H763" s="3" t="n">
        <v>0</v>
      </c>
      <c r="I763" s="3" t="n">
        <v>1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1</v>
      </c>
      <c r="W763" s="3" t="n">
        <v>0</v>
      </c>
      <c r="X763" s="3" t="n">
        <v>1</v>
      </c>
      <c r="Y763" s="3" t="n">
        <v>0</v>
      </c>
      <c r="Z763" s="3" t="n">
        <v>0</v>
      </c>
      <c r="AA763" s="3" t="n">
        <v>1</v>
      </c>
      <c r="AB763" s="3" t="n">
        <v>0</v>
      </c>
      <c r="AC763" s="3" t="n">
        <v>0</v>
      </c>
      <c r="AD763" s="3" t="n">
        <v>1</v>
      </c>
      <c r="AE763" s="3" t="n">
        <v>0</v>
      </c>
      <c r="AF763" s="3" t="n">
        <v>1</v>
      </c>
      <c r="AG763" s="3" t="n">
        <v>1</v>
      </c>
      <c r="AH763" s="3" t="n">
        <v>1</v>
      </c>
      <c r="AI763" s="3" t="n">
        <v>1</v>
      </c>
      <c r="AJ763" s="4" t="n">
        <f aca="false">SUM(G763:AI763)</f>
        <v>9</v>
      </c>
      <c r="AK763" s="4" t="n">
        <f aca="false">ROUND(SUMPRODUCT(G763:AI763,Gene_Weights!$B$2:$AD$2),3)</f>
        <v>-5.81</v>
      </c>
      <c r="AL763" s="2" t="n">
        <v>11</v>
      </c>
      <c r="AM763" s="2" t="n">
        <v>7</v>
      </c>
      <c r="AN763" s="2" t="n">
        <v>63.64</v>
      </c>
      <c r="AO763" s="5" t="n">
        <v>75.59</v>
      </c>
      <c r="AP763" s="5" t="n">
        <v>78.01</v>
      </c>
      <c r="AQ763" s="5" t="n">
        <v>80.42</v>
      </c>
      <c r="AR763" s="5" t="n">
        <v>82.83</v>
      </c>
      <c r="AS763" s="5" t="n">
        <v>85.24</v>
      </c>
      <c r="AT763" s="5" t="n">
        <v>87.66</v>
      </c>
      <c r="AU763" s="5" t="n">
        <v>90.07</v>
      </c>
      <c r="AV763" s="5" t="s">
        <v>51</v>
      </c>
    </row>
    <row r="764" customFormat="false" ht="15" hidden="false" customHeight="false" outlineLevel="0" collapsed="false">
      <c r="A764" s="2" t="s">
        <v>183</v>
      </c>
      <c r="B764" s="2" t="n">
        <v>2017</v>
      </c>
      <c r="C764" s="2" t="s">
        <v>49</v>
      </c>
      <c r="D764" s="2" t="n">
        <v>0</v>
      </c>
      <c r="E764" s="2" t="n">
        <v>16</v>
      </c>
      <c r="F764" s="2" t="s">
        <v>50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1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1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1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4" t="n">
        <f aca="false">SUM(G764:AI764)</f>
        <v>3</v>
      </c>
      <c r="AK764" s="4" t="n">
        <f aca="false">ROUND(SUMPRODUCT(G764:AI764,Gene_Weights!$B$2:$AD$2),3)</f>
        <v>-1.94</v>
      </c>
      <c r="AL764" s="2" t="n">
        <v>9</v>
      </c>
      <c r="AM764" s="2" t="n">
        <v>4</v>
      </c>
      <c r="AN764" s="2" t="n">
        <v>44.44</v>
      </c>
      <c r="AO764" s="5" t="n">
        <v>55.12</v>
      </c>
      <c r="AP764" s="5" t="n">
        <v>56.02</v>
      </c>
      <c r="AQ764" s="5" t="n">
        <v>56.92</v>
      </c>
      <c r="AR764" s="5" t="n">
        <v>57.82</v>
      </c>
      <c r="AS764" s="5" t="n">
        <v>58.72</v>
      </c>
      <c r="AT764" s="5" t="n">
        <v>59.62</v>
      </c>
      <c r="AU764" s="5" t="n">
        <v>60.52</v>
      </c>
      <c r="AV764" s="5" t="s">
        <v>51</v>
      </c>
    </row>
    <row r="765" customFormat="false" ht="15" hidden="false" customHeight="false" outlineLevel="0" collapsed="false">
      <c r="A765" s="2" t="s">
        <v>183</v>
      </c>
      <c r="B765" s="2" t="n">
        <v>2017</v>
      </c>
      <c r="C765" s="2" t="s">
        <v>52</v>
      </c>
      <c r="D765" s="2" t="n">
        <v>0</v>
      </c>
      <c r="E765" s="2" t="n">
        <v>4</v>
      </c>
      <c r="F765" s="2" t="s">
        <v>50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1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1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1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4" t="n">
        <f aca="false">SUM(G765:AI765)</f>
        <v>3</v>
      </c>
      <c r="AK765" s="4" t="n">
        <f aca="false">ROUND(SUMPRODUCT(G765:AI765,Gene_Weights!$B$2:$AD$2),3)</f>
        <v>-1.94</v>
      </c>
      <c r="AL765" s="2" t="n">
        <v>9</v>
      </c>
      <c r="AM765" s="2" t="n">
        <v>7</v>
      </c>
      <c r="AN765" s="2" t="n">
        <v>77.78</v>
      </c>
      <c r="AO765" s="5" t="n">
        <v>64.53</v>
      </c>
      <c r="AP765" s="5" t="n">
        <v>66.13</v>
      </c>
      <c r="AQ765" s="5" t="n">
        <v>67.73</v>
      </c>
      <c r="AR765" s="5" t="n">
        <v>69.33</v>
      </c>
      <c r="AS765" s="5" t="n">
        <v>70.93</v>
      </c>
      <c r="AT765" s="5" t="n">
        <v>72.53</v>
      </c>
      <c r="AU765" s="5" t="n">
        <v>74.13</v>
      </c>
      <c r="AV765" s="5" t="s">
        <v>51</v>
      </c>
    </row>
    <row r="766" customFormat="false" ht="15" hidden="false" customHeight="false" outlineLevel="0" collapsed="false">
      <c r="A766" s="2" t="s">
        <v>183</v>
      </c>
      <c r="B766" s="2" t="n">
        <v>2017</v>
      </c>
      <c r="C766" s="2" t="s">
        <v>53</v>
      </c>
      <c r="D766" s="2" t="n">
        <v>1</v>
      </c>
      <c r="E766" s="2" t="n">
        <v>32</v>
      </c>
      <c r="F766" s="2" t="s">
        <v>50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1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1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1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4" t="n">
        <f aca="false">SUM(G766:AI766)</f>
        <v>3</v>
      </c>
      <c r="AK766" s="4" t="n">
        <f aca="false">ROUND(SUMPRODUCT(G766:AI766,Gene_Weights!$B$2:$AD$2),3)</f>
        <v>-1.94</v>
      </c>
      <c r="AL766" s="2" t="n">
        <v>9</v>
      </c>
      <c r="AM766" s="2" t="n">
        <v>6</v>
      </c>
      <c r="AN766" s="2" t="n">
        <v>66.67</v>
      </c>
      <c r="AO766" s="5" t="n">
        <v>52.86</v>
      </c>
      <c r="AP766" s="5" t="n">
        <v>53.65</v>
      </c>
      <c r="AQ766" s="5" t="n">
        <v>54.45</v>
      </c>
      <c r="AR766" s="5" t="n">
        <v>55.24</v>
      </c>
      <c r="AS766" s="5" t="n">
        <v>56.03</v>
      </c>
      <c r="AT766" s="5" t="n">
        <v>56.83</v>
      </c>
      <c r="AU766" s="5" t="n">
        <v>57.62</v>
      </c>
      <c r="AV766" s="5" t="s">
        <v>51</v>
      </c>
    </row>
    <row r="767" customFormat="false" ht="15" hidden="false" customHeight="false" outlineLevel="0" collapsed="false">
      <c r="A767" s="2" t="s">
        <v>183</v>
      </c>
      <c r="B767" s="2" t="n">
        <v>2017</v>
      </c>
      <c r="C767" s="2" t="s">
        <v>54</v>
      </c>
      <c r="D767" s="2" t="n">
        <v>0</v>
      </c>
      <c r="E767" s="2" t="n">
        <v>16</v>
      </c>
      <c r="F767" s="2" t="s">
        <v>50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1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1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1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4" t="n">
        <f aca="false">SUM(G767:AI767)</f>
        <v>3</v>
      </c>
      <c r="AK767" s="4" t="n">
        <f aca="false">ROUND(SUMPRODUCT(G767:AI767,Gene_Weights!$B$2:$AD$2),3)</f>
        <v>-1.94</v>
      </c>
      <c r="AL767" s="2" t="n">
        <v>9</v>
      </c>
      <c r="AM767" s="2" t="n">
        <v>3</v>
      </c>
      <c r="AN767" s="2" t="n">
        <v>33.33</v>
      </c>
      <c r="AO767" s="5" t="n">
        <v>81.84</v>
      </c>
      <c r="AP767" s="5" t="n">
        <v>84.45</v>
      </c>
      <c r="AQ767" s="5" t="n">
        <v>87.06</v>
      </c>
      <c r="AR767" s="5" t="n">
        <v>89.67</v>
      </c>
      <c r="AS767" s="5" t="n">
        <v>92.27</v>
      </c>
      <c r="AT767" s="5" t="n">
        <v>94.88</v>
      </c>
      <c r="AU767" s="5" t="n">
        <v>97.49</v>
      </c>
      <c r="AV767" s="5" t="s">
        <v>51</v>
      </c>
    </row>
    <row r="768" customFormat="false" ht="15" hidden="false" customHeight="false" outlineLevel="0" collapsed="false">
      <c r="A768" s="2" t="s">
        <v>183</v>
      </c>
      <c r="B768" s="2" t="n">
        <v>2017</v>
      </c>
      <c r="C768" s="2" t="s">
        <v>55</v>
      </c>
      <c r="D768" s="2" t="n">
        <v>1</v>
      </c>
      <c r="E768" s="2" t="n">
        <v>16</v>
      </c>
      <c r="F768" s="2" t="s">
        <v>50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1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1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1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4" t="n">
        <f aca="false">SUM(G768:AI768)</f>
        <v>3</v>
      </c>
      <c r="AK768" s="4" t="n">
        <f aca="false">ROUND(SUMPRODUCT(G768:AI768,Gene_Weights!$B$2:$AD$2),3)</f>
        <v>-1.94</v>
      </c>
      <c r="AL768" s="2" t="n">
        <v>9</v>
      </c>
      <c r="AM768" s="2" t="n">
        <v>7</v>
      </c>
      <c r="AN768" s="2" t="n">
        <v>77.78</v>
      </c>
      <c r="AO768" s="5" t="n">
        <v>58.19</v>
      </c>
      <c r="AP768" s="5" t="n">
        <v>59.74</v>
      </c>
      <c r="AQ768" s="5" t="n">
        <v>61.3</v>
      </c>
      <c r="AR768" s="5" t="n">
        <v>62.86</v>
      </c>
      <c r="AS768" s="5" t="n">
        <v>64.42</v>
      </c>
      <c r="AT768" s="5" t="n">
        <v>65.98</v>
      </c>
      <c r="AU768" s="5" t="n">
        <v>67.53</v>
      </c>
      <c r="AV768" s="5" t="s">
        <v>51</v>
      </c>
    </row>
    <row r="769" customFormat="false" ht="15" hidden="false" customHeight="false" outlineLevel="0" collapsed="false">
      <c r="A769" s="2" t="s">
        <v>183</v>
      </c>
      <c r="B769" s="2" t="n">
        <v>2017</v>
      </c>
      <c r="C769" s="2" t="s">
        <v>56</v>
      </c>
      <c r="D769" s="2" t="n">
        <v>0</v>
      </c>
      <c r="E769" s="2" t="n">
        <v>16</v>
      </c>
      <c r="F769" s="2" t="s">
        <v>50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1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1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1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4" t="n">
        <f aca="false">SUM(G769:AI769)</f>
        <v>3</v>
      </c>
      <c r="AK769" s="4" t="n">
        <f aca="false">ROUND(SUMPRODUCT(G769:AI769,Gene_Weights!$B$2:$AD$2),3)</f>
        <v>-1.94</v>
      </c>
      <c r="AL769" s="2" t="n">
        <v>9</v>
      </c>
      <c r="AM769" s="2" t="n">
        <v>5</v>
      </c>
      <c r="AN769" s="2" t="n">
        <v>55.56</v>
      </c>
      <c r="AO769" s="5" t="n">
        <v>75.59</v>
      </c>
      <c r="AP769" s="5" t="n">
        <v>78.01</v>
      </c>
      <c r="AQ769" s="5" t="n">
        <v>80.42</v>
      </c>
      <c r="AR769" s="5" t="n">
        <v>82.83</v>
      </c>
      <c r="AS769" s="5" t="n">
        <v>85.24</v>
      </c>
      <c r="AT769" s="5" t="n">
        <v>87.66</v>
      </c>
      <c r="AU769" s="5" t="n">
        <v>90.07</v>
      </c>
      <c r="AV769" s="5" t="s">
        <v>51</v>
      </c>
    </row>
    <row r="770" customFormat="false" ht="15" hidden="false" customHeight="false" outlineLevel="0" collapsed="false">
      <c r="A770" s="2" t="s">
        <v>184</v>
      </c>
      <c r="B770" s="2" t="n">
        <v>2022</v>
      </c>
      <c r="C770" s="2" t="s">
        <v>49</v>
      </c>
      <c r="D770" s="2" t="n">
        <v>1</v>
      </c>
      <c r="E770" s="2" t="n">
        <v>16</v>
      </c>
      <c r="F770" s="2" t="s">
        <v>50</v>
      </c>
      <c r="G770" s="3" t="n">
        <v>0</v>
      </c>
      <c r="H770" s="3" t="n">
        <v>0</v>
      </c>
      <c r="I770" s="3" t="n">
        <v>0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1</v>
      </c>
      <c r="X770" s="3" t="n">
        <v>0</v>
      </c>
      <c r="Y770" s="3" t="n">
        <v>0</v>
      </c>
      <c r="Z770" s="3" t="n">
        <v>0</v>
      </c>
      <c r="AA770" s="3" t="n">
        <v>1</v>
      </c>
      <c r="AB770" s="3" t="n">
        <v>0</v>
      </c>
      <c r="AC770" s="3" t="n">
        <v>0</v>
      </c>
      <c r="AD770" s="3" t="n">
        <v>0</v>
      </c>
      <c r="AE770" s="3" t="n">
        <v>1</v>
      </c>
      <c r="AF770" s="3" t="n">
        <v>0</v>
      </c>
      <c r="AG770" s="3" t="n">
        <v>1</v>
      </c>
      <c r="AH770" s="3" t="n">
        <v>0</v>
      </c>
      <c r="AI770" s="3" t="n">
        <v>0</v>
      </c>
      <c r="AJ770" s="4" t="n">
        <f aca="false">SUM(G770:AI770)</f>
        <v>9</v>
      </c>
      <c r="AK770" s="4" t="n">
        <f aca="false">ROUND(SUMPRODUCT(G770:AI770,Gene_Weights!$B$2:$AD$2),3)</f>
        <v>-7.02</v>
      </c>
      <c r="AL770" s="2" t="n">
        <v>6</v>
      </c>
      <c r="AM770" s="2" t="n">
        <v>4</v>
      </c>
      <c r="AN770" s="2" t="n">
        <v>66.67</v>
      </c>
      <c r="AO770" s="5" t="n">
        <v>55.12</v>
      </c>
      <c r="AP770" s="5" t="n">
        <v>56.02</v>
      </c>
      <c r="AQ770" s="5" t="n">
        <v>56.92</v>
      </c>
      <c r="AR770" s="5" t="n">
        <v>57.82</v>
      </c>
      <c r="AS770" s="5" t="n">
        <v>58.72</v>
      </c>
      <c r="AT770" s="5" t="n">
        <v>59.62</v>
      </c>
      <c r="AU770" s="5" t="n">
        <v>60.52</v>
      </c>
      <c r="AV770" s="5" t="s">
        <v>51</v>
      </c>
    </row>
    <row r="771" customFormat="false" ht="15" hidden="false" customHeight="false" outlineLevel="0" collapsed="false">
      <c r="A771" s="2" t="s">
        <v>184</v>
      </c>
      <c r="B771" s="2" t="n">
        <v>2022</v>
      </c>
      <c r="C771" s="2" t="s">
        <v>52</v>
      </c>
      <c r="D771" s="2" t="n">
        <v>1</v>
      </c>
      <c r="E771" s="2" t="n">
        <v>32</v>
      </c>
      <c r="F771" s="2" t="s">
        <v>50</v>
      </c>
      <c r="G771" s="3" t="n">
        <v>0</v>
      </c>
      <c r="H771" s="3" t="n">
        <v>0</v>
      </c>
      <c r="I771" s="3" t="n">
        <v>0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1</v>
      </c>
      <c r="X771" s="3" t="n">
        <v>0</v>
      </c>
      <c r="Y771" s="3" t="n">
        <v>0</v>
      </c>
      <c r="Z771" s="3" t="n">
        <v>0</v>
      </c>
      <c r="AA771" s="3" t="n">
        <v>1</v>
      </c>
      <c r="AB771" s="3" t="n">
        <v>0</v>
      </c>
      <c r="AC771" s="3" t="n">
        <v>0</v>
      </c>
      <c r="AD771" s="3" t="n">
        <v>0</v>
      </c>
      <c r="AE771" s="3" t="n">
        <v>1</v>
      </c>
      <c r="AF771" s="3" t="n">
        <v>0</v>
      </c>
      <c r="AG771" s="3" t="n">
        <v>1</v>
      </c>
      <c r="AH771" s="3" t="n">
        <v>0</v>
      </c>
      <c r="AI771" s="3" t="n">
        <v>0</v>
      </c>
      <c r="AJ771" s="4" t="n">
        <f aca="false">SUM(G771:AI771)</f>
        <v>9</v>
      </c>
      <c r="AK771" s="4" t="n">
        <f aca="false">ROUND(SUMPRODUCT(G771:AI771,Gene_Weights!$B$2:$AD$2),3)</f>
        <v>-7.02</v>
      </c>
      <c r="AL771" s="2" t="n">
        <v>6</v>
      </c>
      <c r="AM771" s="2" t="n">
        <v>2</v>
      </c>
      <c r="AN771" s="2" t="n">
        <v>33.33</v>
      </c>
      <c r="AO771" s="5" t="n">
        <v>64.53</v>
      </c>
      <c r="AP771" s="5" t="n">
        <v>66.13</v>
      </c>
      <c r="AQ771" s="5" t="n">
        <v>67.73</v>
      </c>
      <c r="AR771" s="5" t="n">
        <v>69.33</v>
      </c>
      <c r="AS771" s="5" t="n">
        <v>70.93</v>
      </c>
      <c r="AT771" s="5" t="n">
        <v>72.53</v>
      </c>
      <c r="AU771" s="5" t="n">
        <v>74.13</v>
      </c>
      <c r="AV771" s="5" t="s">
        <v>51</v>
      </c>
    </row>
    <row r="772" customFormat="false" ht="15" hidden="false" customHeight="false" outlineLevel="0" collapsed="false">
      <c r="A772" s="2" t="s">
        <v>184</v>
      </c>
      <c r="B772" s="2" t="n">
        <v>2022</v>
      </c>
      <c r="C772" s="2" t="s">
        <v>53</v>
      </c>
      <c r="D772" s="2" t="n">
        <v>0</v>
      </c>
      <c r="E772" s="2" t="n">
        <v>4</v>
      </c>
      <c r="F772" s="2" t="s">
        <v>50</v>
      </c>
      <c r="G772" s="3" t="n">
        <v>0</v>
      </c>
      <c r="H772" s="3" t="n">
        <v>0</v>
      </c>
      <c r="I772" s="3" t="n">
        <v>0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1</v>
      </c>
      <c r="X772" s="3" t="n">
        <v>0</v>
      </c>
      <c r="Y772" s="3" t="n">
        <v>0</v>
      </c>
      <c r="Z772" s="3" t="n">
        <v>0</v>
      </c>
      <c r="AA772" s="3" t="n">
        <v>1</v>
      </c>
      <c r="AB772" s="3" t="n">
        <v>0</v>
      </c>
      <c r="AC772" s="3" t="n">
        <v>0</v>
      </c>
      <c r="AD772" s="3" t="n">
        <v>0</v>
      </c>
      <c r="AE772" s="3" t="n">
        <v>1</v>
      </c>
      <c r="AF772" s="3" t="n">
        <v>0</v>
      </c>
      <c r="AG772" s="3" t="n">
        <v>1</v>
      </c>
      <c r="AH772" s="3" t="n">
        <v>0</v>
      </c>
      <c r="AI772" s="3" t="n">
        <v>0</v>
      </c>
      <c r="AJ772" s="4" t="n">
        <f aca="false">SUM(G772:AI772)</f>
        <v>9</v>
      </c>
      <c r="AK772" s="4" t="n">
        <f aca="false">ROUND(SUMPRODUCT(G772:AI772,Gene_Weights!$B$2:$AD$2),3)</f>
        <v>-7.02</v>
      </c>
      <c r="AL772" s="2" t="n">
        <v>6</v>
      </c>
      <c r="AM772" s="2" t="n">
        <v>5</v>
      </c>
      <c r="AN772" s="2" t="n">
        <v>83.33</v>
      </c>
      <c r="AO772" s="5" t="n">
        <v>52.86</v>
      </c>
      <c r="AP772" s="5" t="n">
        <v>53.65</v>
      </c>
      <c r="AQ772" s="5" t="n">
        <v>54.45</v>
      </c>
      <c r="AR772" s="5" t="n">
        <v>55.24</v>
      </c>
      <c r="AS772" s="5" t="n">
        <v>56.03</v>
      </c>
      <c r="AT772" s="5" t="n">
        <v>56.83</v>
      </c>
      <c r="AU772" s="5" t="n">
        <v>57.62</v>
      </c>
      <c r="AV772" s="5" t="s">
        <v>51</v>
      </c>
    </row>
    <row r="773" customFormat="false" ht="15" hidden="false" customHeight="false" outlineLevel="0" collapsed="false">
      <c r="A773" s="2" t="s">
        <v>184</v>
      </c>
      <c r="B773" s="2" t="n">
        <v>2022</v>
      </c>
      <c r="C773" s="2" t="s">
        <v>54</v>
      </c>
      <c r="D773" s="2" t="n">
        <v>1</v>
      </c>
      <c r="E773" s="2" t="n">
        <v>32</v>
      </c>
      <c r="F773" s="2" t="s">
        <v>50</v>
      </c>
      <c r="G773" s="3" t="n">
        <v>0</v>
      </c>
      <c r="H773" s="3" t="n">
        <v>0</v>
      </c>
      <c r="I773" s="3" t="n">
        <v>0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1</v>
      </c>
      <c r="X773" s="3" t="n">
        <v>0</v>
      </c>
      <c r="Y773" s="3" t="n">
        <v>0</v>
      </c>
      <c r="Z773" s="3" t="n">
        <v>0</v>
      </c>
      <c r="AA773" s="3" t="n">
        <v>1</v>
      </c>
      <c r="AB773" s="3" t="n">
        <v>0</v>
      </c>
      <c r="AC773" s="3" t="n">
        <v>0</v>
      </c>
      <c r="AD773" s="3" t="n">
        <v>0</v>
      </c>
      <c r="AE773" s="3" t="n">
        <v>1</v>
      </c>
      <c r="AF773" s="3" t="n">
        <v>0</v>
      </c>
      <c r="AG773" s="3" t="n">
        <v>1</v>
      </c>
      <c r="AH773" s="3" t="n">
        <v>0</v>
      </c>
      <c r="AI773" s="3" t="n">
        <v>0</v>
      </c>
      <c r="AJ773" s="4" t="n">
        <f aca="false">SUM(G773:AI773)</f>
        <v>9</v>
      </c>
      <c r="AK773" s="4" t="n">
        <f aca="false">ROUND(SUMPRODUCT(G773:AI773,Gene_Weights!$B$2:$AD$2),3)</f>
        <v>-7.02</v>
      </c>
      <c r="AL773" s="2" t="n">
        <v>6</v>
      </c>
      <c r="AM773" s="2" t="n">
        <v>4</v>
      </c>
      <c r="AN773" s="2" t="n">
        <v>66.67</v>
      </c>
      <c r="AO773" s="5" t="n">
        <v>81.84</v>
      </c>
      <c r="AP773" s="5" t="n">
        <v>84.45</v>
      </c>
      <c r="AQ773" s="5" t="n">
        <v>87.06</v>
      </c>
      <c r="AR773" s="5" t="n">
        <v>89.67</v>
      </c>
      <c r="AS773" s="5" t="n">
        <v>92.27</v>
      </c>
      <c r="AT773" s="5" t="n">
        <v>94.88</v>
      </c>
      <c r="AU773" s="5" t="n">
        <v>97.49</v>
      </c>
      <c r="AV773" s="5" t="s">
        <v>51</v>
      </c>
    </row>
    <row r="774" customFormat="false" ht="15" hidden="false" customHeight="false" outlineLevel="0" collapsed="false">
      <c r="A774" s="2" t="s">
        <v>184</v>
      </c>
      <c r="B774" s="2" t="n">
        <v>2022</v>
      </c>
      <c r="C774" s="2" t="s">
        <v>55</v>
      </c>
      <c r="D774" s="2" t="n">
        <v>0</v>
      </c>
      <c r="E774" s="2" t="n">
        <v>32</v>
      </c>
      <c r="F774" s="2" t="s">
        <v>50</v>
      </c>
      <c r="G774" s="3" t="n">
        <v>0</v>
      </c>
      <c r="H774" s="3" t="n">
        <v>0</v>
      </c>
      <c r="I774" s="3" t="n">
        <v>0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1</v>
      </c>
      <c r="X774" s="3" t="n">
        <v>0</v>
      </c>
      <c r="Y774" s="3" t="n">
        <v>0</v>
      </c>
      <c r="Z774" s="3" t="n">
        <v>0</v>
      </c>
      <c r="AA774" s="3" t="n">
        <v>1</v>
      </c>
      <c r="AB774" s="3" t="n">
        <v>0</v>
      </c>
      <c r="AC774" s="3" t="n">
        <v>0</v>
      </c>
      <c r="AD774" s="3" t="n">
        <v>0</v>
      </c>
      <c r="AE774" s="3" t="n">
        <v>1</v>
      </c>
      <c r="AF774" s="3" t="n">
        <v>0</v>
      </c>
      <c r="AG774" s="3" t="n">
        <v>1</v>
      </c>
      <c r="AH774" s="3" t="n">
        <v>0</v>
      </c>
      <c r="AI774" s="3" t="n">
        <v>0</v>
      </c>
      <c r="AJ774" s="4" t="n">
        <f aca="false">SUM(G774:AI774)</f>
        <v>9</v>
      </c>
      <c r="AK774" s="4" t="n">
        <f aca="false">ROUND(SUMPRODUCT(G774:AI774,Gene_Weights!$B$2:$AD$2),3)</f>
        <v>-7.02</v>
      </c>
      <c r="AL774" s="2" t="n">
        <v>6</v>
      </c>
      <c r="AM774" s="2" t="n">
        <v>3</v>
      </c>
      <c r="AN774" s="2" t="n">
        <v>50</v>
      </c>
      <c r="AO774" s="5" t="n">
        <v>58.19</v>
      </c>
      <c r="AP774" s="5" t="n">
        <v>59.74</v>
      </c>
      <c r="AQ774" s="5" t="n">
        <v>61.3</v>
      </c>
      <c r="AR774" s="5" t="n">
        <v>62.86</v>
      </c>
      <c r="AS774" s="5" t="n">
        <v>64.42</v>
      </c>
      <c r="AT774" s="5" t="n">
        <v>65.98</v>
      </c>
      <c r="AU774" s="5" t="n">
        <v>67.53</v>
      </c>
      <c r="AV774" s="5" t="s">
        <v>51</v>
      </c>
    </row>
    <row r="775" customFormat="false" ht="15" hidden="false" customHeight="false" outlineLevel="0" collapsed="false">
      <c r="A775" s="2" t="s">
        <v>184</v>
      </c>
      <c r="B775" s="2" t="n">
        <v>2022</v>
      </c>
      <c r="C775" s="2" t="s">
        <v>56</v>
      </c>
      <c r="D775" s="2" t="n">
        <v>1</v>
      </c>
      <c r="E775" s="2" t="n">
        <v>16</v>
      </c>
      <c r="F775" s="2" t="s">
        <v>50</v>
      </c>
      <c r="G775" s="3" t="n">
        <v>0</v>
      </c>
      <c r="H775" s="3" t="n">
        <v>0</v>
      </c>
      <c r="I775" s="3" t="n">
        <v>0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1</v>
      </c>
      <c r="X775" s="3" t="n">
        <v>0</v>
      </c>
      <c r="Y775" s="3" t="n">
        <v>0</v>
      </c>
      <c r="Z775" s="3" t="n">
        <v>0</v>
      </c>
      <c r="AA775" s="3" t="n">
        <v>1</v>
      </c>
      <c r="AB775" s="3" t="n">
        <v>0</v>
      </c>
      <c r="AC775" s="3" t="n">
        <v>0</v>
      </c>
      <c r="AD775" s="3" t="n">
        <v>0</v>
      </c>
      <c r="AE775" s="3" t="n">
        <v>1</v>
      </c>
      <c r="AF775" s="3" t="n">
        <v>0</v>
      </c>
      <c r="AG775" s="3" t="n">
        <v>1</v>
      </c>
      <c r="AH775" s="3" t="n">
        <v>0</v>
      </c>
      <c r="AI775" s="3" t="n">
        <v>0</v>
      </c>
      <c r="AJ775" s="4" t="n">
        <f aca="false">SUM(G775:AI775)</f>
        <v>9</v>
      </c>
      <c r="AK775" s="4" t="n">
        <f aca="false">ROUND(SUMPRODUCT(G775:AI775,Gene_Weights!$B$2:$AD$2),3)</f>
        <v>-7.02</v>
      </c>
      <c r="AL775" s="2" t="n">
        <v>6</v>
      </c>
      <c r="AM775" s="2" t="n">
        <v>5</v>
      </c>
      <c r="AN775" s="2" t="n">
        <v>83.33</v>
      </c>
      <c r="AO775" s="5" t="n">
        <v>75.59</v>
      </c>
      <c r="AP775" s="5" t="n">
        <v>78.01</v>
      </c>
      <c r="AQ775" s="5" t="n">
        <v>80.42</v>
      </c>
      <c r="AR775" s="5" t="n">
        <v>82.83</v>
      </c>
      <c r="AS775" s="5" t="n">
        <v>85.24</v>
      </c>
      <c r="AT775" s="5" t="n">
        <v>87.66</v>
      </c>
      <c r="AU775" s="5" t="n">
        <v>90.07</v>
      </c>
      <c r="AV775" s="5" t="s">
        <v>51</v>
      </c>
    </row>
    <row r="776" customFormat="false" ht="15" hidden="false" customHeight="false" outlineLevel="0" collapsed="false">
      <c r="A776" s="2" t="s">
        <v>185</v>
      </c>
      <c r="B776" s="2" t="n">
        <v>2009</v>
      </c>
      <c r="C776" s="2" t="s">
        <v>49</v>
      </c>
      <c r="D776" s="2" t="n">
        <v>0</v>
      </c>
      <c r="E776" s="2" t="n">
        <v>32</v>
      </c>
      <c r="F776" s="2" t="s">
        <v>50</v>
      </c>
      <c r="G776" s="3" t="n">
        <v>0</v>
      </c>
      <c r="H776" s="3" t="n">
        <v>1</v>
      </c>
      <c r="I776" s="3" t="n">
        <v>1</v>
      </c>
      <c r="J776" s="3" t="n">
        <v>1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1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1</v>
      </c>
      <c r="AG776" s="3" t="n">
        <v>0</v>
      </c>
      <c r="AH776" s="3" t="n">
        <v>0</v>
      </c>
      <c r="AI776" s="3" t="n">
        <v>0</v>
      </c>
      <c r="AJ776" s="4" t="n">
        <f aca="false">SUM(G776:AI776)</f>
        <v>5</v>
      </c>
      <c r="AK776" s="4" t="n">
        <f aca="false">ROUND(SUMPRODUCT(G776:AI776,Gene_Weights!$B$2:$AD$2),3)</f>
        <v>-2.57</v>
      </c>
      <c r="AL776" s="2" t="n">
        <v>12</v>
      </c>
      <c r="AM776" s="2" t="n">
        <v>4</v>
      </c>
      <c r="AN776" s="2" t="n">
        <v>33.33</v>
      </c>
      <c r="AO776" s="5" t="n">
        <v>55.12</v>
      </c>
      <c r="AP776" s="5" t="n">
        <v>56.02</v>
      </c>
      <c r="AQ776" s="5" t="n">
        <v>56.92</v>
      </c>
      <c r="AR776" s="5" t="n">
        <v>57.82</v>
      </c>
      <c r="AS776" s="5" t="n">
        <v>58.72</v>
      </c>
      <c r="AT776" s="5" t="n">
        <v>59.62</v>
      </c>
      <c r="AU776" s="5" t="n">
        <v>60.52</v>
      </c>
      <c r="AV776" s="5" t="s">
        <v>51</v>
      </c>
    </row>
    <row r="777" customFormat="false" ht="15" hidden="false" customHeight="false" outlineLevel="0" collapsed="false">
      <c r="A777" s="2" t="s">
        <v>185</v>
      </c>
      <c r="B777" s="2" t="n">
        <v>2009</v>
      </c>
      <c r="C777" s="2" t="s">
        <v>52</v>
      </c>
      <c r="D777" s="2" t="n">
        <v>1</v>
      </c>
      <c r="E777" s="2" t="n">
        <v>2</v>
      </c>
      <c r="F777" s="2" t="s">
        <v>50</v>
      </c>
      <c r="G777" s="3" t="n">
        <v>0</v>
      </c>
      <c r="H777" s="3" t="n">
        <v>1</v>
      </c>
      <c r="I777" s="3" t="n">
        <v>1</v>
      </c>
      <c r="J777" s="3" t="n">
        <v>1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1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1</v>
      </c>
      <c r="AG777" s="3" t="n">
        <v>0</v>
      </c>
      <c r="AH777" s="3" t="n">
        <v>0</v>
      </c>
      <c r="AI777" s="3" t="n">
        <v>0</v>
      </c>
      <c r="AJ777" s="4" t="n">
        <f aca="false">SUM(G777:AI777)</f>
        <v>5</v>
      </c>
      <c r="AK777" s="4" t="n">
        <f aca="false">ROUND(SUMPRODUCT(G777:AI777,Gene_Weights!$B$2:$AD$2),3)</f>
        <v>-2.57</v>
      </c>
      <c r="AL777" s="2" t="n">
        <v>12</v>
      </c>
      <c r="AM777" s="2" t="n">
        <v>3</v>
      </c>
      <c r="AN777" s="2" t="n">
        <v>25</v>
      </c>
      <c r="AO777" s="5" t="n">
        <v>64.53</v>
      </c>
      <c r="AP777" s="5" t="n">
        <v>66.13</v>
      </c>
      <c r="AQ777" s="5" t="n">
        <v>67.73</v>
      </c>
      <c r="AR777" s="5" t="n">
        <v>69.33</v>
      </c>
      <c r="AS777" s="5" t="n">
        <v>70.93</v>
      </c>
      <c r="AT777" s="5" t="n">
        <v>72.53</v>
      </c>
      <c r="AU777" s="5" t="n">
        <v>74.13</v>
      </c>
      <c r="AV777" s="5" t="s">
        <v>51</v>
      </c>
    </row>
    <row r="778" customFormat="false" ht="15" hidden="false" customHeight="false" outlineLevel="0" collapsed="false">
      <c r="A778" s="2" t="s">
        <v>185</v>
      </c>
      <c r="B778" s="2" t="n">
        <v>2009</v>
      </c>
      <c r="C778" s="2" t="s">
        <v>53</v>
      </c>
      <c r="D778" s="2" t="n">
        <v>0</v>
      </c>
      <c r="E778" s="2" t="n">
        <v>2</v>
      </c>
      <c r="F778" s="2" t="s">
        <v>50</v>
      </c>
      <c r="G778" s="3" t="n">
        <v>0</v>
      </c>
      <c r="H778" s="3" t="n">
        <v>1</v>
      </c>
      <c r="I778" s="3" t="n">
        <v>1</v>
      </c>
      <c r="J778" s="3" t="n">
        <v>1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1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1</v>
      </c>
      <c r="AG778" s="3" t="n">
        <v>0</v>
      </c>
      <c r="AH778" s="3" t="n">
        <v>0</v>
      </c>
      <c r="AI778" s="3" t="n">
        <v>0</v>
      </c>
      <c r="AJ778" s="4" t="n">
        <f aca="false">SUM(G778:AI778)</f>
        <v>5</v>
      </c>
      <c r="AK778" s="4" t="n">
        <f aca="false">ROUND(SUMPRODUCT(G778:AI778,Gene_Weights!$B$2:$AD$2),3)</f>
        <v>-2.57</v>
      </c>
      <c r="AL778" s="2" t="n">
        <v>12</v>
      </c>
      <c r="AM778" s="2" t="n">
        <v>9</v>
      </c>
      <c r="AN778" s="2" t="n">
        <v>75</v>
      </c>
      <c r="AO778" s="5" t="n">
        <v>52.86</v>
      </c>
      <c r="AP778" s="5" t="n">
        <v>53.65</v>
      </c>
      <c r="AQ778" s="5" t="n">
        <v>54.45</v>
      </c>
      <c r="AR778" s="5" t="n">
        <v>55.24</v>
      </c>
      <c r="AS778" s="5" t="n">
        <v>56.03</v>
      </c>
      <c r="AT778" s="5" t="n">
        <v>56.83</v>
      </c>
      <c r="AU778" s="5" t="n">
        <v>57.62</v>
      </c>
      <c r="AV778" s="5" t="s">
        <v>51</v>
      </c>
    </row>
    <row r="779" customFormat="false" ht="15" hidden="false" customHeight="false" outlineLevel="0" collapsed="false">
      <c r="A779" s="2" t="s">
        <v>185</v>
      </c>
      <c r="B779" s="2" t="n">
        <v>2009</v>
      </c>
      <c r="C779" s="2" t="s">
        <v>54</v>
      </c>
      <c r="D779" s="2" t="n">
        <v>1</v>
      </c>
      <c r="E779" s="2" t="n">
        <v>16</v>
      </c>
      <c r="F779" s="2" t="s">
        <v>50</v>
      </c>
      <c r="G779" s="3" t="n">
        <v>0</v>
      </c>
      <c r="H779" s="3" t="n">
        <v>1</v>
      </c>
      <c r="I779" s="3" t="n">
        <v>1</v>
      </c>
      <c r="J779" s="3" t="n">
        <v>1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1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1</v>
      </c>
      <c r="AG779" s="3" t="n">
        <v>0</v>
      </c>
      <c r="AH779" s="3" t="n">
        <v>0</v>
      </c>
      <c r="AI779" s="3" t="n">
        <v>0</v>
      </c>
      <c r="AJ779" s="4" t="n">
        <f aca="false">SUM(G779:AI779)</f>
        <v>5</v>
      </c>
      <c r="AK779" s="4" t="n">
        <f aca="false">ROUND(SUMPRODUCT(G779:AI779,Gene_Weights!$B$2:$AD$2),3)</f>
        <v>-2.57</v>
      </c>
      <c r="AL779" s="2" t="n">
        <v>12</v>
      </c>
      <c r="AM779" s="2" t="n">
        <v>8</v>
      </c>
      <c r="AN779" s="2" t="n">
        <v>66.67</v>
      </c>
      <c r="AO779" s="5" t="n">
        <v>81.84</v>
      </c>
      <c r="AP779" s="5" t="n">
        <v>84.45</v>
      </c>
      <c r="AQ779" s="5" t="n">
        <v>87.06</v>
      </c>
      <c r="AR779" s="5" t="n">
        <v>89.67</v>
      </c>
      <c r="AS779" s="5" t="n">
        <v>92.27</v>
      </c>
      <c r="AT779" s="5" t="n">
        <v>94.88</v>
      </c>
      <c r="AU779" s="5" t="n">
        <v>97.49</v>
      </c>
      <c r="AV779" s="5" t="s">
        <v>51</v>
      </c>
    </row>
    <row r="780" customFormat="false" ht="15" hidden="false" customHeight="false" outlineLevel="0" collapsed="false">
      <c r="A780" s="2" t="s">
        <v>185</v>
      </c>
      <c r="B780" s="2" t="n">
        <v>2009</v>
      </c>
      <c r="C780" s="2" t="s">
        <v>55</v>
      </c>
      <c r="D780" s="2" t="n">
        <v>0</v>
      </c>
      <c r="E780" s="2" t="n">
        <v>32</v>
      </c>
      <c r="F780" s="2" t="s">
        <v>50</v>
      </c>
      <c r="G780" s="3" t="n">
        <v>0</v>
      </c>
      <c r="H780" s="3" t="n">
        <v>1</v>
      </c>
      <c r="I780" s="3" t="n">
        <v>1</v>
      </c>
      <c r="J780" s="3" t="n">
        <v>1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1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1</v>
      </c>
      <c r="AG780" s="3" t="n">
        <v>0</v>
      </c>
      <c r="AH780" s="3" t="n">
        <v>0</v>
      </c>
      <c r="AI780" s="3" t="n">
        <v>0</v>
      </c>
      <c r="AJ780" s="4" t="n">
        <f aca="false">SUM(G780:AI780)</f>
        <v>5</v>
      </c>
      <c r="AK780" s="4" t="n">
        <f aca="false">ROUND(SUMPRODUCT(G780:AI780,Gene_Weights!$B$2:$AD$2),3)</f>
        <v>-2.57</v>
      </c>
      <c r="AL780" s="2" t="n">
        <v>12</v>
      </c>
      <c r="AM780" s="2" t="n">
        <v>2</v>
      </c>
      <c r="AN780" s="2" t="n">
        <v>16.67</v>
      </c>
      <c r="AO780" s="5" t="n">
        <v>58.19</v>
      </c>
      <c r="AP780" s="5" t="n">
        <v>59.74</v>
      </c>
      <c r="AQ780" s="5" t="n">
        <v>61.3</v>
      </c>
      <c r="AR780" s="5" t="n">
        <v>62.86</v>
      </c>
      <c r="AS780" s="5" t="n">
        <v>64.42</v>
      </c>
      <c r="AT780" s="5" t="n">
        <v>65.98</v>
      </c>
      <c r="AU780" s="5" t="n">
        <v>67.53</v>
      </c>
      <c r="AV780" s="5" t="s">
        <v>51</v>
      </c>
    </row>
    <row r="781" customFormat="false" ht="15" hidden="false" customHeight="false" outlineLevel="0" collapsed="false">
      <c r="A781" s="2" t="s">
        <v>185</v>
      </c>
      <c r="B781" s="2" t="n">
        <v>2009</v>
      </c>
      <c r="C781" s="2" t="s">
        <v>56</v>
      </c>
      <c r="D781" s="2" t="n">
        <v>1</v>
      </c>
      <c r="E781" s="2" t="n">
        <v>2</v>
      </c>
      <c r="F781" s="2" t="s">
        <v>50</v>
      </c>
      <c r="G781" s="3" t="n">
        <v>0</v>
      </c>
      <c r="H781" s="3" t="n">
        <v>1</v>
      </c>
      <c r="I781" s="3" t="n">
        <v>1</v>
      </c>
      <c r="J781" s="3" t="n">
        <v>1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1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1</v>
      </c>
      <c r="AG781" s="3" t="n">
        <v>0</v>
      </c>
      <c r="AH781" s="3" t="n">
        <v>0</v>
      </c>
      <c r="AI781" s="3" t="n">
        <v>0</v>
      </c>
      <c r="AJ781" s="4" t="n">
        <f aca="false">SUM(G781:AI781)</f>
        <v>5</v>
      </c>
      <c r="AK781" s="4" t="n">
        <f aca="false">ROUND(SUMPRODUCT(G781:AI781,Gene_Weights!$B$2:$AD$2),3)</f>
        <v>-2.57</v>
      </c>
      <c r="AL781" s="2" t="n">
        <v>12</v>
      </c>
      <c r="AM781" s="2" t="n">
        <v>4</v>
      </c>
      <c r="AN781" s="2" t="n">
        <v>33.33</v>
      </c>
      <c r="AO781" s="5" t="n">
        <v>75.59</v>
      </c>
      <c r="AP781" s="5" t="n">
        <v>78.01</v>
      </c>
      <c r="AQ781" s="5" t="n">
        <v>80.42</v>
      </c>
      <c r="AR781" s="5" t="n">
        <v>82.83</v>
      </c>
      <c r="AS781" s="5" t="n">
        <v>85.24</v>
      </c>
      <c r="AT781" s="5" t="n">
        <v>87.66</v>
      </c>
      <c r="AU781" s="5" t="n">
        <v>90.07</v>
      </c>
      <c r="AV781" s="5" t="s">
        <v>51</v>
      </c>
    </row>
    <row r="782" customFormat="false" ht="15" hidden="false" customHeight="false" outlineLevel="0" collapsed="false">
      <c r="A782" s="2" t="s">
        <v>186</v>
      </c>
      <c r="B782" s="2" t="n">
        <v>2009</v>
      </c>
      <c r="C782" s="2" t="s">
        <v>49</v>
      </c>
      <c r="D782" s="2" t="n">
        <v>1</v>
      </c>
      <c r="E782" s="2" t="n">
        <v>32</v>
      </c>
      <c r="F782" s="2" t="s">
        <v>50</v>
      </c>
      <c r="G782" s="3" t="n">
        <v>1</v>
      </c>
      <c r="H782" s="3" t="n">
        <v>0</v>
      </c>
      <c r="I782" s="3" t="n">
        <v>0</v>
      </c>
      <c r="J782" s="3" t="n">
        <v>0</v>
      </c>
      <c r="K782" s="3" t="n">
        <v>1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1</v>
      </c>
      <c r="W782" s="3" t="n">
        <v>0</v>
      </c>
      <c r="X782" s="3" t="n">
        <v>0</v>
      </c>
      <c r="Y782" s="3" t="n">
        <v>0</v>
      </c>
      <c r="Z782" s="3" t="n">
        <v>1</v>
      </c>
      <c r="AA782" s="3" t="n">
        <v>1</v>
      </c>
      <c r="AB782" s="3" t="n">
        <v>1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1</v>
      </c>
      <c r="AH782" s="3" t="n">
        <v>0</v>
      </c>
      <c r="AI782" s="3" t="n">
        <v>1</v>
      </c>
      <c r="AJ782" s="4" t="n">
        <f aca="false">SUM(G782:AI782)</f>
        <v>8</v>
      </c>
      <c r="AK782" s="4" t="n">
        <f aca="false">ROUND(SUMPRODUCT(G782:AI782,Gene_Weights!$B$2:$AD$2),3)</f>
        <v>-5.57</v>
      </c>
      <c r="AL782" s="2" t="n">
        <v>12</v>
      </c>
      <c r="AM782" s="2" t="n">
        <v>4</v>
      </c>
      <c r="AN782" s="2" t="n">
        <v>33.33</v>
      </c>
      <c r="AO782" s="5" t="n">
        <v>55.12</v>
      </c>
      <c r="AP782" s="5" t="n">
        <v>56.02</v>
      </c>
      <c r="AQ782" s="5" t="n">
        <v>56.92</v>
      </c>
      <c r="AR782" s="5" t="n">
        <v>57.82</v>
      </c>
      <c r="AS782" s="5" t="n">
        <v>58.72</v>
      </c>
      <c r="AT782" s="5" t="n">
        <v>59.62</v>
      </c>
      <c r="AU782" s="5" t="n">
        <v>60.52</v>
      </c>
      <c r="AV782" s="5" t="s">
        <v>51</v>
      </c>
    </row>
    <row r="783" customFormat="false" ht="15" hidden="false" customHeight="false" outlineLevel="0" collapsed="false">
      <c r="A783" s="2" t="s">
        <v>186</v>
      </c>
      <c r="B783" s="2" t="n">
        <v>2009</v>
      </c>
      <c r="C783" s="2" t="s">
        <v>52</v>
      </c>
      <c r="D783" s="2" t="n">
        <v>0</v>
      </c>
      <c r="E783" s="2" t="n">
        <v>32</v>
      </c>
      <c r="F783" s="2" t="s">
        <v>50</v>
      </c>
      <c r="G783" s="3" t="n">
        <v>1</v>
      </c>
      <c r="H783" s="3" t="n">
        <v>0</v>
      </c>
      <c r="I783" s="3" t="n">
        <v>0</v>
      </c>
      <c r="J783" s="3" t="n">
        <v>0</v>
      </c>
      <c r="K783" s="3" t="n">
        <v>1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1</v>
      </c>
      <c r="W783" s="3" t="n">
        <v>0</v>
      </c>
      <c r="X783" s="3" t="n">
        <v>0</v>
      </c>
      <c r="Y783" s="3" t="n">
        <v>0</v>
      </c>
      <c r="Z783" s="3" t="n">
        <v>1</v>
      </c>
      <c r="AA783" s="3" t="n">
        <v>1</v>
      </c>
      <c r="AB783" s="3" t="n">
        <v>1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1</v>
      </c>
      <c r="AH783" s="3" t="n">
        <v>0</v>
      </c>
      <c r="AI783" s="3" t="n">
        <v>1</v>
      </c>
      <c r="AJ783" s="4" t="n">
        <f aca="false">SUM(G783:AI783)</f>
        <v>8</v>
      </c>
      <c r="AK783" s="4" t="n">
        <f aca="false">ROUND(SUMPRODUCT(G783:AI783,Gene_Weights!$B$2:$AD$2),3)</f>
        <v>-5.57</v>
      </c>
      <c r="AL783" s="2" t="n">
        <v>12</v>
      </c>
      <c r="AM783" s="2" t="n">
        <v>3</v>
      </c>
      <c r="AN783" s="2" t="n">
        <v>25</v>
      </c>
      <c r="AO783" s="5" t="n">
        <v>64.53</v>
      </c>
      <c r="AP783" s="5" t="n">
        <v>66.13</v>
      </c>
      <c r="AQ783" s="5" t="n">
        <v>67.73</v>
      </c>
      <c r="AR783" s="5" t="n">
        <v>69.33</v>
      </c>
      <c r="AS783" s="5" t="n">
        <v>70.93</v>
      </c>
      <c r="AT783" s="5" t="n">
        <v>72.53</v>
      </c>
      <c r="AU783" s="5" t="n">
        <v>74.13</v>
      </c>
      <c r="AV783" s="5" t="s">
        <v>51</v>
      </c>
    </row>
    <row r="784" customFormat="false" ht="15" hidden="false" customHeight="false" outlineLevel="0" collapsed="false">
      <c r="A784" s="2" t="s">
        <v>186</v>
      </c>
      <c r="B784" s="2" t="n">
        <v>2009</v>
      </c>
      <c r="C784" s="2" t="s">
        <v>53</v>
      </c>
      <c r="D784" s="2" t="n">
        <v>0</v>
      </c>
      <c r="E784" s="2" t="n">
        <v>2</v>
      </c>
      <c r="F784" s="2" t="s">
        <v>50</v>
      </c>
      <c r="G784" s="3" t="n">
        <v>1</v>
      </c>
      <c r="H784" s="3" t="n">
        <v>0</v>
      </c>
      <c r="I784" s="3" t="n">
        <v>0</v>
      </c>
      <c r="J784" s="3" t="n">
        <v>0</v>
      </c>
      <c r="K784" s="3" t="n">
        <v>1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1</v>
      </c>
      <c r="W784" s="3" t="n">
        <v>0</v>
      </c>
      <c r="X784" s="3" t="n">
        <v>0</v>
      </c>
      <c r="Y784" s="3" t="n">
        <v>0</v>
      </c>
      <c r="Z784" s="3" t="n">
        <v>1</v>
      </c>
      <c r="AA784" s="3" t="n">
        <v>1</v>
      </c>
      <c r="AB784" s="3" t="n">
        <v>1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1</v>
      </c>
      <c r="AH784" s="3" t="n">
        <v>0</v>
      </c>
      <c r="AI784" s="3" t="n">
        <v>1</v>
      </c>
      <c r="AJ784" s="4" t="n">
        <f aca="false">SUM(G784:AI784)</f>
        <v>8</v>
      </c>
      <c r="AK784" s="4" t="n">
        <f aca="false">ROUND(SUMPRODUCT(G784:AI784,Gene_Weights!$B$2:$AD$2),3)</f>
        <v>-5.57</v>
      </c>
      <c r="AL784" s="2" t="n">
        <v>12</v>
      </c>
      <c r="AM784" s="2" t="n">
        <v>9</v>
      </c>
      <c r="AN784" s="2" t="n">
        <v>75</v>
      </c>
      <c r="AO784" s="5" t="n">
        <v>52.86</v>
      </c>
      <c r="AP784" s="5" t="n">
        <v>53.65</v>
      </c>
      <c r="AQ784" s="5" t="n">
        <v>54.45</v>
      </c>
      <c r="AR784" s="5" t="n">
        <v>55.24</v>
      </c>
      <c r="AS784" s="5" t="n">
        <v>56.03</v>
      </c>
      <c r="AT784" s="5" t="n">
        <v>56.83</v>
      </c>
      <c r="AU784" s="5" t="n">
        <v>57.62</v>
      </c>
      <c r="AV784" s="5" t="s">
        <v>51</v>
      </c>
    </row>
    <row r="785" customFormat="false" ht="15" hidden="false" customHeight="false" outlineLevel="0" collapsed="false">
      <c r="A785" s="2" t="s">
        <v>186</v>
      </c>
      <c r="B785" s="2" t="n">
        <v>2009</v>
      </c>
      <c r="C785" s="2" t="s">
        <v>54</v>
      </c>
      <c r="D785" s="2" t="n">
        <v>1</v>
      </c>
      <c r="E785" s="2" t="n">
        <v>16</v>
      </c>
      <c r="F785" s="2" t="s">
        <v>50</v>
      </c>
      <c r="G785" s="3" t="n">
        <v>1</v>
      </c>
      <c r="H785" s="3" t="n">
        <v>0</v>
      </c>
      <c r="I785" s="3" t="n">
        <v>0</v>
      </c>
      <c r="J785" s="3" t="n">
        <v>0</v>
      </c>
      <c r="K785" s="3" t="n">
        <v>1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1</v>
      </c>
      <c r="W785" s="3" t="n">
        <v>0</v>
      </c>
      <c r="X785" s="3" t="n">
        <v>0</v>
      </c>
      <c r="Y785" s="3" t="n">
        <v>0</v>
      </c>
      <c r="Z785" s="3" t="n">
        <v>1</v>
      </c>
      <c r="AA785" s="3" t="n">
        <v>1</v>
      </c>
      <c r="AB785" s="3" t="n">
        <v>1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1</v>
      </c>
      <c r="AH785" s="3" t="n">
        <v>0</v>
      </c>
      <c r="AI785" s="3" t="n">
        <v>1</v>
      </c>
      <c r="AJ785" s="4" t="n">
        <f aca="false">SUM(G785:AI785)</f>
        <v>8</v>
      </c>
      <c r="AK785" s="4" t="n">
        <f aca="false">ROUND(SUMPRODUCT(G785:AI785,Gene_Weights!$B$2:$AD$2),3)</f>
        <v>-5.57</v>
      </c>
      <c r="AL785" s="2" t="n">
        <v>12</v>
      </c>
      <c r="AM785" s="2" t="n">
        <v>8</v>
      </c>
      <c r="AN785" s="2" t="n">
        <v>66.67</v>
      </c>
      <c r="AO785" s="5" t="n">
        <v>81.84</v>
      </c>
      <c r="AP785" s="5" t="n">
        <v>84.45</v>
      </c>
      <c r="AQ785" s="5" t="n">
        <v>87.06</v>
      </c>
      <c r="AR785" s="5" t="n">
        <v>89.67</v>
      </c>
      <c r="AS785" s="5" t="n">
        <v>92.27</v>
      </c>
      <c r="AT785" s="5" t="n">
        <v>94.88</v>
      </c>
      <c r="AU785" s="5" t="n">
        <v>97.49</v>
      </c>
      <c r="AV785" s="5" t="s">
        <v>51</v>
      </c>
    </row>
    <row r="786" customFormat="false" ht="15" hidden="false" customHeight="false" outlineLevel="0" collapsed="false">
      <c r="A786" s="2" t="s">
        <v>186</v>
      </c>
      <c r="B786" s="2" t="n">
        <v>2009</v>
      </c>
      <c r="C786" s="2" t="s">
        <v>55</v>
      </c>
      <c r="D786" s="2" t="n">
        <v>1</v>
      </c>
      <c r="E786" s="2" t="n">
        <v>32</v>
      </c>
      <c r="F786" s="2" t="s">
        <v>50</v>
      </c>
      <c r="G786" s="3" t="n">
        <v>1</v>
      </c>
      <c r="H786" s="3" t="n">
        <v>0</v>
      </c>
      <c r="I786" s="3" t="n">
        <v>0</v>
      </c>
      <c r="J786" s="3" t="n">
        <v>0</v>
      </c>
      <c r="K786" s="3" t="n">
        <v>1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1</v>
      </c>
      <c r="W786" s="3" t="n">
        <v>0</v>
      </c>
      <c r="X786" s="3" t="n">
        <v>0</v>
      </c>
      <c r="Y786" s="3" t="n">
        <v>0</v>
      </c>
      <c r="Z786" s="3" t="n">
        <v>1</v>
      </c>
      <c r="AA786" s="3" t="n">
        <v>1</v>
      </c>
      <c r="AB786" s="3" t="n">
        <v>1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1</v>
      </c>
      <c r="AH786" s="3" t="n">
        <v>0</v>
      </c>
      <c r="AI786" s="3" t="n">
        <v>1</v>
      </c>
      <c r="AJ786" s="4" t="n">
        <f aca="false">SUM(G786:AI786)</f>
        <v>8</v>
      </c>
      <c r="AK786" s="4" t="n">
        <f aca="false">ROUND(SUMPRODUCT(G786:AI786,Gene_Weights!$B$2:$AD$2),3)</f>
        <v>-5.57</v>
      </c>
      <c r="AL786" s="2" t="n">
        <v>12</v>
      </c>
      <c r="AM786" s="2" t="n">
        <v>2</v>
      </c>
      <c r="AN786" s="2" t="n">
        <v>16.67</v>
      </c>
      <c r="AO786" s="5" t="n">
        <v>58.19</v>
      </c>
      <c r="AP786" s="5" t="n">
        <v>59.74</v>
      </c>
      <c r="AQ786" s="5" t="n">
        <v>61.3</v>
      </c>
      <c r="AR786" s="5" t="n">
        <v>62.86</v>
      </c>
      <c r="AS786" s="5" t="n">
        <v>64.42</v>
      </c>
      <c r="AT786" s="5" t="n">
        <v>65.98</v>
      </c>
      <c r="AU786" s="5" t="n">
        <v>67.53</v>
      </c>
      <c r="AV786" s="5" t="s">
        <v>51</v>
      </c>
    </row>
    <row r="787" customFormat="false" ht="15" hidden="false" customHeight="false" outlineLevel="0" collapsed="false">
      <c r="A787" s="2" t="s">
        <v>186</v>
      </c>
      <c r="B787" s="2" t="n">
        <v>2009</v>
      </c>
      <c r="C787" s="2" t="s">
        <v>56</v>
      </c>
      <c r="D787" s="2" t="n">
        <v>1</v>
      </c>
      <c r="E787" s="2" t="n">
        <v>2</v>
      </c>
      <c r="F787" s="2" t="s">
        <v>50</v>
      </c>
      <c r="G787" s="3" t="n">
        <v>1</v>
      </c>
      <c r="H787" s="3" t="n">
        <v>0</v>
      </c>
      <c r="I787" s="3" t="n">
        <v>0</v>
      </c>
      <c r="J787" s="3" t="n">
        <v>0</v>
      </c>
      <c r="K787" s="3" t="n">
        <v>1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1</v>
      </c>
      <c r="W787" s="3" t="n">
        <v>0</v>
      </c>
      <c r="X787" s="3" t="n">
        <v>0</v>
      </c>
      <c r="Y787" s="3" t="n">
        <v>0</v>
      </c>
      <c r="Z787" s="3" t="n">
        <v>1</v>
      </c>
      <c r="AA787" s="3" t="n">
        <v>1</v>
      </c>
      <c r="AB787" s="3" t="n">
        <v>1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1</v>
      </c>
      <c r="AH787" s="3" t="n">
        <v>0</v>
      </c>
      <c r="AI787" s="3" t="n">
        <v>1</v>
      </c>
      <c r="AJ787" s="4" t="n">
        <f aca="false">SUM(G787:AI787)</f>
        <v>8</v>
      </c>
      <c r="AK787" s="4" t="n">
        <f aca="false">ROUND(SUMPRODUCT(G787:AI787,Gene_Weights!$B$2:$AD$2),3)</f>
        <v>-5.57</v>
      </c>
      <c r="AL787" s="2" t="n">
        <v>12</v>
      </c>
      <c r="AM787" s="2" t="n">
        <v>4</v>
      </c>
      <c r="AN787" s="2" t="n">
        <v>33.33</v>
      </c>
      <c r="AO787" s="5" t="n">
        <v>75.59</v>
      </c>
      <c r="AP787" s="5" t="n">
        <v>78.01</v>
      </c>
      <c r="AQ787" s="5" t="n">
        <v>80.42</v>
      </c>
      <c r="AR787" s="5" t="n">
        <v>82.83</v>
      </c>
      <c r="AS787" s="5" t="n">
        <v>85.24</v>
      </c>
      <c r="AT787" s="5" t="n">
        <v>87.66</v>
      </c>
      <c r="AU787" s="5" t="n">
        <v>90.07</v>
      </c>
      <c r="AV787" s="5" t="s">
        <v>51</v>
      </c>
    </row>
    <row r="788" customFormat="false" ht="15" hidden="false" customHeight="false" outlineLevel="0" collapsed="false">
      <c r="A788" s="2" t="s">
        <v>187</v>
      </c>
      <c r="B788" s="2" t="n">
        <v>2003</v>
      </c>
      <c r="C788" s="2" t="s">
        <v>49</v>
      </c>
      <c r="D788" s="2" t="n">
        <v>1</v>
      </c>
      <c r="E788" s="2" t="n">
        <v>32</v>
      </c>
      <c r="F788" s="2" t="s">
        <v>50</v>
      </c>
      <c r="G788" s="3" t="n">
        <v>0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1</v>
      </c>
      <c r="T788" s="3" t="n">
        <v>1</v>
      </c>
      <c r="U788" s="3" t="n">
        <v>1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1</v>
      </c>
      <c r="AB788" s="3" t="n">
        <v>1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1</v>
      </c>
      <c r="AJ788" s="4" t="n">
        <f aca="false">SUM(G788:AI788)</f>
        <v>8</v>
      </c>
      <c r="AK788" s="4" t="n">
        <f aca="false">ROUND(SUMPRODUCT(G788:AI788,Gene_Weights!$B$2:$AD$2),3)</f>
        <v>-5.35</v>
      </c>
      <c r="AL788" s="2" t="n">
        <v>7</v>
      </c>
      <c r="AM788" s="2" t="n">
        <v>2</v>
      </c>
      <c r="AN788" s="2" t="n">
        <v>28.57</v>
      </c>
      <c r="AO788" s="5" t="n">
        <v>55.12</v>
      </c>
      <c r="AP788" s="5" t="n">
        <v>56.02</v>
      </c>
      <c r="AQ788" s="5" t="n">
        <v>56.92</v>
      </c>
      <c r="AR788" s="5" t="n">
        <v>57.82</v>
      </c>
      <c r="AS788" s="5" t="n">
        <v>58.72</v>
      </c>
      <c r="AT788" s="5" t="n">
        <v>59.62</v>
      </c>
      <c r="AU788" s="5" t="n">
        <v>60.52</v>
      </c>
      <c r="AV788" s="5" t="s">
        <v>51</v>
      </c>
    </row>
    <row r="789" customFormat="false" ht="15" hidden="false" customHeight="false" outlineLevel="0" collapsed="false">
      <c r="A789" s="2" t="s">
        <v>187</v>
      </c>
      <c r="B789" s="2" t="n">
        <v>2003</v>
      </c>
      <c r="C789" s="2" t="s">
        <v>52</v>
      </c>
      <c r="D789" s="2" t="n">
        <v>1</v>
      </c>
      <c r="E789" s="2" t="n">
        <v>4</v>
      </c>
      <c r="F789" s="2" t="s">
        <v>50</v>
      </c>
      <c r="G789" s="3" t="n">
        <v>0</v>
      </c>
      <c r="H789" s="3" t="n">
        <v>1</v>
      </c>
      <c r="I789" s="3" t="n">
        <v>1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1</v>
      </c>
      <c r="T789" s="3" t="n">
        <v>1</v>
      </c>
      <c r="U789" s="3" t="n">
        <v>1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1</v>
      </c>
      <c r="AB789" s="3" t="n">
        <v>1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1</v>
      </c>
      <c r="AJ789" s="4" t="n">
        <f aca="false">SUM(G789:AI789)</f>
        <v>8</v>
      </c>
      <c r="AK789" s="4" t="n">
        <f aca="false">ROUND(SUMPRODUCT(G789:AI789,Gene_Weights!$B$2:$AD$2),3)</f>
        <v>-5.35</v>
      </c>
      <c r="AL789" s="2" t="n">
        <v>7</v>
      </c>
      <c r="AM789" s="2" t="n">
        <v>2</v>
      </c>
      <c r="AN789" s="2" t="n">
        <v>28.57</v>
      </c>
      <c r="AO789" s="5" t="n">
        <v>64.53</v>
      </c>
      <c r="AP789" s="5" t="n">
        <v>66.13</v>
      </c>
      <c r="AQ789" s="5" t="n">
        <v>67.73</v>
      </c>
      <c r="AR789" s="5" t="n">
        <v>69.33</v>
      </c>
      <c r="AS789" s="5" t="n">
        <v>70.93</v>
      </c>
      <c r="AT789" s="5" t="n">
        <v>72.53</v>
      </c>
      <c r="AU789" s="5" t="n">
        <v>74.13</v>
      </c>
      <c r="AV789" s="5" t="s">
        <v>51</v>
      </c>
    </row>
    <row r="790" customFormat="false" ht="15" hidden="false" customHeight="false" outlineLevel="0" collapsed="false">
      <c r="A790" s="2" t="s">
        <v>187</v>
      </c>
      <c r="B790" s="2" t="n">
        <v>2003</v>
      </c>
      <c r="C790" s="2" t="s">
        <v>53</v>
      </c>
      <c r="D790" s="2" t="n">
        <v>0</v>
      </c>
      <c r="E790" s="2" t="n">
        <v>4</v>
      </c>
      <c r="F790" s="2" t="s">
        <v>50</v>
      </c>
      <c r="G790" s="3" t="n">
        <v>0</v>
      </c>
      <c r="H790" s="3" t="n">
        <v>1</v>
      </c>
      <c r="I790" s="3" t="n">
        <v>1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1</v>
      </c>
      <c r="T790" s="3" t="n">
        <v>1</v>
      </c>
      <c r="U790" s="3" t="n">
        <v>1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1</v>
      </c>
      <c r="AB790" s="3" t="n">
        <v>1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1</v>
      </c>
      <c r="AJ790" s="4" t="n">
        <f aca="false">SUM(G790:AI790)</f>
        <v>8</v>
      </c>
      <c r="AK790" s="4" t="n">
        <f aca="false">ROUND(SUMPRODUCT(G790:AI790,Gene_Weights!$B$2:$AD$2),3)</f>
        <v>-5.35</v>
      </c>
      <c r="AL790" s="2" t="n">
        <v>7</v>
      </c>
      <c r="AM790" s="2" t="n">
        <v>3</v>
      </c>
      <c r="AN790" s="2" t="n">
        <v>42.86</v>
      </c>
      <c r="AO790" s="5" t="n">
        <v>52.86</v>
      </c>
      <c r="AP790" s="5" t="n">
        <v>53.65</v>
      </c>
      <c r="AQ790" s="5" t="n">
        <v>54.45</v>
      </c>
      <c r="AR790" s="5" t="n">
        <v>55.24</v>
      </c>
      <c r="AS790" s="5" t="n">
        <v>56.03</v>
      </c>
      <c r="AT790" s="5" t="n">
        <v>56.83</v>
      </c>
      <c r="AU790" s="5" t="n">
        <v>57.62</v>
      </c>
      <c r="AV790" s="5" t="s">
        <v>51</v>
      </c>
    </row>
    <row r="791" customFormat="false" ht="15" hidden="false" customHeight="false" outlineLevel="0" collapsed="false">
      <c r="A791" s="2" t="s">
        <v>187</v>
      </c>
      <c r="B791" s="2" t="n">
        <v>2003</v>
      </c>
      <c r="C791" s="2" t="s">
        <v>54</v>
      </c>
      <c r="D791" s="2" t="n">
        <v>0</v>
      </c>
      <c r="E791" s="2" t="n">
        <v>16</v>
      </c>
      <c r="F791" s="2" t="s">
        <v>50</v>
      </c>
      <c r="G791" s="3" t="n">
        <v>0</v>
      </c>
      <c r="H791" s="3" t="n">
        <v>1</v>
      </c>
      <c r="I791" s="3" t="n">
        <v>1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1</v>
      </c>
      <c r="T791" s="3" t="n">
        <v>1</v>
      </c>
      <c r="U791" s="3" t="n">
        <v>1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1</v>
      </c>
      <c r="AB791" s="3" t="n">
        <v>1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1</v>
      </c>
      <c r="AJ791" s="4" t="n">
        <f aca="false">SUM(G791:AI791)</f>
        <v>8</v>
      </c>
      <c r="AK791" s="4" t="n">
        <f aca="false">ROUND(SUMPRODUCT(G791:AI791,Gene_Weights!$B$2:$AD$2),3)</f>
        <v>-5.35</v>
      </c>
      <c r="AL791" s="2" t="n">
        <v>7</v>
      </c>
      <c r="AM791" s="2" t="n">
        <v>3</v>
      </c>
      <c r="AN791" s="2" t="n">
        <v>42.86</v>
      </c>
      <c r="AO791" s="5" t="n">
        <v>81.84</v>
      </c>
      <c r="AP791" s="5" t="n">
        <v>84.45</v>
      </c>
      <c r="AQ791" s="5" t="n">
        <v>87.06</v>
      </c>
      <c r="AR791" s="5" t="n">
        <v>89.67</v>
      </c>
      <c r="AS791" s="5" t="n">
        <v>92.27</v>
      </c>
      <c r="AT791" s="5" t="n">
        <v>94.88</v>
      </c>
      <c r="AU791" s="5" t="n">
        <v>97.49</v>
      </c>
      <c r="AV791" s="5" t="s">
        <v>51</v>
      </c>
    </row>
    <row r="792" customFormat="false" ht="15" hidden="false" customHeight="false" outlineLevel="0" collapsed="false">
      <c r="A792" s="2" t="s">
        <v>187</v>
      </c>
      <c r="B792" s="2" t="n">
        <v>2003</v>
      </c>
      <c r="C792" s="2" t="s">
        <v>55</v>
      </c>
      <c r="D792" s="2" t="n">
        <v>0</v>
      </c>
      <c r="E792" s="2" t="n">
        <v>2</v>
      </c>
      <c r="F792" s="2" t="s">
        <v>50</v>
      </c>
      <c r="G792" s="3" t="n">
        <v>0</v>
      </c>
      <c r="H792" s="3" t="n">
        <v>1</v>
      </c>
      <c r="I792" s="3" t="n">
        <v>1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1</v>
      </c>
      <c r="T792" s="3" t="n">
        <v>1</v>
      </c>
      <c r="U792" s="3" t="n">
        <v>1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1</v>
      </c>
      <c r="AB792" s="3" t="n">
        <v>1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1</v>
      </c>
      <c r="AJ792" s="4" t="n">
        <f aca="false">SUM(G792:AI792)</f>
        <v>8</v>
      </c>
      <c r="AK792" s="4" t="n">
        <f aca="false">ROUND(SUMPRODUCT(G792:AI792,Gene_Weights!$B$2:$AD$2),3)</f>
        <v>-5.35</v>
      </c>
      <c r="AL792" s="2" t="n">
        <v>7</v>
      </c>
      <c r="AM792" s="2" t="n">
        <v>1</v>
      </c>
      <c r="AN792" s="2" t="n">
        <v>14.29</v>
      </c>
      <c r="AO792" s="5" t="n">
        <v>58.19</v>
      </c>
      <c r="AP792" s="5" t="n">
        <v>59.74</v>
      </c>
      <c r="AQ792" s="5" t="n">
        <v>61.3</v>
      </c>
      <c r="AR792" s="5" t="n">
        <v>62.86</v>
      </c>
      <c r="AS792" s="5" t="n">
        <v>64.42</v>
      </c>
      <c r="AT792" s="5" t="n">
        <v>65.98</v>
      </c>
      <c r="AU792" s="5" t="n">
        <v>67.53</v>
      </c>
      <c r="AV792" s="5" t="s">
        <v>51</v>
      </c>
    </row>
    <row r="793" customFormat="false" ht="15" hidden="false" customHeight="false" outlineLevel="0" collapsed="false">
      <c r="A793" s="2" t="s">
        <v>187</v>
      </c>
      <c r="B793" s="2" t="n">
        <v>2003</v>
      </c>
      <c r="C793" s="2" t="s">
        <v>56</v>
      </c>
      <c r="D793" s="2" t="n">
        <v>1</v>
      </c>
      <c r="E793" s="2" t="n">
        <v>4</v>
      </c>
      <c r="F793" s="2" t="s">
        <v>50</v>
      </c>
      <c r="G793" s="3" t="n">
        <v>0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1</v>
      </c>
      <c r="T793" s="3" t="n">
        <v>1</v>
      </c>
      <c r="U793" s="3" t="n">
        <v>1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1</v>
      </c>
      <c r="AB793" s="3" t="n">
        <v>1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1</v>
      </c>
      <c r="AJ793" s="4" t="n">
        <f aca="false">SUM(G793:AI793)</f>
        <v>8</v>
      </c>
      <c r="AK793" s="4" t="n">
        <f aca="false">ROUND(SUMPRODUCT(G793:AI793,Gene_Weights!$B$2:$AD$2),3)</f>
        <v>-5.35</v>
      </c>
      <c r="AL793" s="2" t="n">
        <v>7</v>
      </c>
      <c r="AM793" s="2" t="n">
        <v>1</v>
      </c>
      <c r="AN793" s="2" t="n">
        <v>14.29</v>
      </c>
      <c r="AO793" s="5" t="n">
        <v>75.59</v>
      </c>
      <c r="AP793" s="5" t="n">
        <v>78.01</v>
      </c>
      <c r="AQ793" s="5" t="n">
        <v>80.42</v>
      </c>
      <c r="AR793" s="5" t="n">
        <v>82.83</v>
      </c>
      <c r="AS793" s="5" t="n">
        <v>85.24</v>
      </c>
      <c r="AT793" s="5" t="n">
        <v>87.66</v>
      </c>
      <c r="AU793" s="5" t="n">
        <v>90.07</v>
      </c>
      <c r="AV793" s="5" t="s">
        <v>51</v>
      </c>
    </row>
    <row r="794" customFormat="false" ht="15" hidden="false" customHeight="false" outlineLevel="0" collapsed="false">
      <c r="A794" s="2" t="s">
        <v>188</v>
      </c>
      <c r="B794" s="2" t="n">
        <v>2015</v>
      </c>
      <c r="C794" s="2" t="s">
        <v>49</v>
      </c>
      <c r="D794" s="2" t="n">
        <v>1</v>
      </c>
      <c r="E794" s="2" t="n">
        <v>16</v>
      </c>
      <c r="F794" s="2" t="s">
        <v>50</v>
      </c>
      <c r="G794" s="3" t="n">
        <v>1</v>
      </c>
      <c r="H794" s="3" t="n">
        <v>1</v>
      </c>
      <c r="I794" s="3" t="n">
        <v>0</v>
      </c>
      <c r="J794" s="3" t="n">
        <v>1</v>
      </c>
      <c r="K794" s="3" t="n">
        <v>1</v>
      </c>
      <c r="L794" s="3" t="n">
        <v>0</v>
      </c>
      <c r="M794" s="3" t="n">
        <v>1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1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1</v>
      </c>
      <c r="X794" s="3" t="n">
        <v>0</v>
      </c>
      <c r="Y794" s="3" t="n">
        <v>1</v>
      </c>
      <c r="Z794" s="3" t="n">
        <v>1</v>
      </c>
      <c r="AA794" s="3" t="n">
        <v>0</v>
      </c>
      <c r="AB794" s="3" t="n">
        <v>0</v>
      </c>
      <c r="AC794" s="3" t="n">
        <v>1</v>
      </c>
      <c r="AD794" s="3" t="n">
        <v>0</v>
      </c>
      <c r="AE794" s="3" t="n">
        <v>0</v>
      </c>
      <c r="AF794" s="3" t="n">
        <v>0</v>
      </c>
      <c r="AG794" s="3" t="n">
        <v>1</v>
      </c>
      <c r="AH794" s="3" t="n">
        <v>1</v>
      </c>
      <c r="AI794" s="3" t="n">
        <v>1</v>
      </c>
      <c r="AJ794" s="4" t="n">
        <f aca="false">SUM(G794:AI794)</f>
        <v>13</v>
      </c>
      <c r="AK794" s="4" t="n">
        <f aca="false">ROUND(SUMPRODUCT(G794:AI794,Gene_Weights!$B$2:$AD$2),3)</f>
        <v>-12.02</v>
      </c>
      <c r="AL794" s="2" t="n">
        <v>3</v>
      </c>
      <c r="AM794" s="2" t="n">
        <v>2</v>
      </c>
      <c r="AN794" s="2" t="n">
        <v>66.67</v>
      </c>
      <c r="AO794" s="5" t="n">
        <v>55.12</v>
      </c>
      <c r="AP794" s="5" t="n">
        <v>56.02</v>
      </c>
      <c r="AQ794" s="5" t="n">
        <v>56.92</v>
      </c>
      <c r="AR794" s="5" t="n">
        <v>57.82</v>
      </c>
      <c r="AS794" s="5" t="n">
        <v>58.72</v>
      </c>
      <c r="AT794" s="5" t="n">
        <v>59.62</v>
      </c>
      <c r="AU794" s="5" t="n">
        <v>60.52</v>
      </c>
      <c r="AV794" s="5" t="s">
        <v>51</v>
      </c>
    </row>
    <row r="795" customFormat="false" ht="15" hidden="false" customHeight="false" outlineLevel="0" collapsed="false">
      <c r="A795" s="2" t="s">
        <v>188</v>
      </c>
      <c r="B795" s="2" t="n">
        <v>2015</v>
      </c>
      <c r="C795" s="2" t="s">
        <v>52</v>
      </c>
      <c r="D795" s="2" t="n">
        <v>0</v>
      </c>
      <c r="E795" s="2" t="n">
        <v>16</v>
      </c>
      <c r="F795" s="2" t="s">
        <v>50</v>
      </c>
      <c r="G795" s="3" t="n">
        <v>1</v>
      </c>
      <c r="H795" s="3" t="n">
        <v>1</v>
      </c>
      <c r="I795" s="3" t="n">
        <v>0</v>
      </c>
      <c r="J795" s="3" t="n">
        <v>1</v>
      </c>
      <c r="K795" s="3" t="n">
        <v>1</v>
      </c>
      <c r="L795" s="3" t="n">
        <v>0</v>
      </c>
      <c r="M795" s="3" t="n">
        <v>1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1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1</v>
      </c>
      <c r="X795" s="3" t="n">
        <v>0</v>
      </c>
      <c r="Y795" s="3" t="n">
        <v>1</v>
      </c>
      <c r="Z795" s="3" t="n">
        <v>1</v>
      </c>
      <c r="AA795" s="3" t="n">
        <v>0</v>
      </c>
      <c r="AB795" s="3" t="n">
        <v>0</v>
      </c>
      <c r="AC795" s="3" t="n">
        <v>1</v>
      </c>
      <c r="AD795" s="3" t="n">
        <v>0</v>
      </c>
      <c r="AE795" s="3" t="n">
        <v>0</v>
      </c>
      <c r="AF795" s="3" t="n">
        <v>0</v>
      </c>
      <c r="AG795" s="3" t="n">
        <v>1</v>
      </c>
      <c r="AH795" s="3" t="n">
        <v>1</v>
      </c>
      <c r="AI795" s="3" t="n">
        <v>1</v>
      </c>
      <c r="AJ795" s="4" t="n">
        <f aca="false">SUM(G795:AI795)</f>
        <v>13</v>
      </c>
      <c r="AK795" s="4" t="n">
        <f aca="false">ROUND(SUMPRODUCT(G795:AI795,Gene_Weights!$B$2:$AD$2),3)</f>
        <v>-12.02</v>
      </c>
      <c r="AL795" s="2" t="n">
        <v>3</v>
      </c>
      <c r="AM795" s="2" t="n">
        <v>1</v>
      </c>
      <c r="AN795" s="2" t="n">
        <v>33.33</v>
      </c>
      <c r="AO795" s="5" t="n">
        <v>64.53</v>
      </c>
      <c r="AP795" s="5" t="n">
        <v>66.13</v>
      </c>
      <c r="AQ795" s="5" t="n">
        <v>67.73</v>
      </c>
      <c r="AR795" s="5" t="n">
        <v>69.33</v>
      </c>
      <c r="AS795" s="5" t="n">
        <v>70.93</v>
      </c>
      <c r="AT795" s="5" t="n">
        <v>72.53</v>
      </c>
      <c r="AU795" s="5" t="n">
        <v>74.13</v>
      </c>
      <c r="AV795" s="5" t="s">
        <v>51</v>
      </c>
    </row>
    <row r="796" customFormat="false" ht="15" hidden="false" customHeight="false" outlineLevel="0" collapsed="false">
      <c r="A796" s="2" t="s">
        <v>188</v>
      </c>
      <c r="B796" s="2" t="n">
        <v>2015</v>
      </c>
      <c r="C796" s="2" t="s">
        <v>53</v>
      </c>
      <c r="D796" s="2" t="n">
        <v>0</v>
      </c>
      <c r="E796" s="2" t="n">
        <v>2</v>
      </c>
      <c r="F796" s="2" t="s">
        <v>50</v>
      </c>
      <c r="G796" s="3" t="n">
        <v>1</v>
      </c>
      <c r="H796" s="3" t="n">
        <v>1</v>
      </c>
      <c r="I796" s="3" t="n">
        <v>0</v>
      </c>
      <c r="J796" s="3" t="n">
        <v>1</v>
      </c>
      <c r="K796" s="3" t="n">
        <v>1</v>
      </c>
      <c r="L796" s="3" t="n">
        <v>0</v>
      </c>
      <c r="M796" s="3" t="n">
        <v>1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1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1</v>
      </c>
      <c r="X796" s="3" t="n">
        <v>0</v>
      </c>
      <c r="Y796" s="3" t="n">
        <v>1</v>
      </c>
      <c r="Z796" s="3" t="n">
        <v>1</v>
      </c>
      <c r="AA796" s="3" t="n">
        <v>0</v>
      </c>
      <c r="AB796" s="3" t="n">
        <v>0</v>
      </c>
      <c r="AC796" s="3" t="n">
        <v>1</v>
      </c>
      <c r="AD796" s="3" t="n">
        <v>0</v>
      </c>
      <c r="AE796" s="3" t="n">
        <v>0</v>
      </c>
      <c r="AF796" s="3" t="n">
        <v>0</v>
      </c>
      <c r="AG796" s="3" t="n">
        <v>1</v>
      </c>
      <c r="AH796" s="3" t="n">
        <v>1</v>
      </c>
      <c r="AI796" s="3" t="n">
        <v>1</v>
      </c>
      <c r="AJ796" s="4" t="n">
        <f aca="false">SUM(G796:AI796)</f>
        <v>13</v>
      </c>
      <c r="AK796" s="4" t="n">
        <f aca="false">ROUND(SUMPRODUCT(G796:AI796,Gene_Weights!$B$2:$AD$2),3)</f>
        <v>-12.02</v>
      </c>
      <c r="AL796" s="2" t="n">
        <v>3</v>
      </c>
      <c r="AM796" s="2" t="n">
        <v>1</v>
      </c>
      <c r="AN796" s="2" t="n">
        <v>33.33</v>
      </c>
      <c r="AO796" s="5" t="n">
        <v>52.86</v>
      </c>
      <c r="AP796" s="5" t="n">
        <v>53.65</v>
      </c>
      <c r="AQ796" s="5" t="n">
        <v>54.45</v>
      </c>
      <c r="AR796" s="5" t="n">
        <v>55.24</v>
      </c>
      <c r="AS796" s="5" t="n">
        <v>56.03</v>
      </c>
      <c r="AT796" s="5" t="n">
        <v>56.83</v>
      </c>
      <c r="AU796" s="5" t="n">
        <v>57.62</v>
      </c>
      <c r="AV796" s="5" t="s">
        <v>51</v>
      </c>
    </row>
    <row r="797" customFormat="false" ht="15" hidden="false" customHeight="false" outlineLevel="0" collapsed="false">
      <c r="A797" s="2" t="s">
        <v>188</v>
      </c>
      <c r="B797" s="2" t="n">
        <v>2015</v>
      </c>
      <c r="C797" s="2" t="s">
        <v>54</v>
      </c>
      <c r="D797" s="2" t="n">
        <v>0</v>
      </c>
      <c r="E797" s="2" t="n">
        <v>2</v>
      </c>
      <c r="F797" s="2" t="s">
        <v>50</v>
      </c>
      <c r="G797" s="3" t="n">
        <v>1</v>
      </c>
      <c r="H797" s="3" t="n">
        <v>1</v>
      </c>
      <c r="I797" s="3" t="n">
        <v>0</v>
      </c>
      <c r="J797" s="3" t="n">
        <v>1</v>
      </c>
      <c r="K797" s="3" t="n">
        <v>1</v>
      </c>
      <c r="L797" s="3" t="n">
        <v>0</v>
      </c>
      <c r="M797" s="3" t="n">
        <v>1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1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1</v>
      </c>
      <c r="X797" s="3" t="n">
        <v>0</v>
      </c>
      <c r="Y797" s="3" t="n">
        <v>1</v>
      </c>
      <c r="Z797" s="3" t="n">
        <v>1</v>
      </c>
      <c r="AA797" s="3" t="n">
        <v>0</v>
      </c>
      <c r="AB797" s="3" t="n">
        <v>0</v>
      </c>
      <c r="AC797" s="3" t="n">
        <v>1</v>
      </c>
      <c r="AD797" s="3" t="n">
        <v>0</v>
      </c>
      <c r="AE797" s="3" t="n">
        <v>0</v>
      </c>
      <c r="AF797" s="3" t="n">
        <v>0</v>
      </c>
      <c r="AG797" s="3" t="n">
        <v>1</v>
      </c>
      <c r="AH797" s="3" t="n">
        <v>1</v>
      </c>
      <c r="AI797" s="3" t="n">
        <v>1</v>
      </c>
      <c r="AJ797" s="4" t="n">
        <f aca="false">SUM(G797:AI797)</f>
        <v>13</v>
      </c>
      <c r="AK797" s="4" t="n">
        <f aca="false">ROUND(SUMPRODUCT(G797:AI797,Gene_Weights!$B$2:$AD$2),3)</f>
        <v>-12.02</v>
      </c>
      <c r="AL797" s="2" t="n">
        <v>3</v>
      </c>
      <c r="AM797" s="2" t="n">
        <v>1</v>
      </c>
      <c r="AN797" s="2" t="n">
        <v>33.33</v>
      </c>
      <c r="AO797" s="5" t="n">
        <v>81.84</v>
      </c>
      <c r="AP797" s="5" t="n">
        <v>84.45</v>
      </c>
      <c r="AQ797" s="5" t="n">
        <v>87.06</v>
      </c>
      <c r="AR797" s="5" t="n">
        <v>89.67</v>
      </c>
      <c r="AS797" s="5" t="n">
        <v>92.27</v>
      </c>
      <c r="AT797" s="5" t="n">
        <v>94.88</v>
      </c>
      <c r="AU797" s="5" t="n">
        <v>97.49</v>
      </c>
      <c r="AV797" s="5" t="s">
        <v>51</v>
      </c>
    </row>
    <row r="798" customFormat="false" ht="15" hidden="false" customHeight="false" outlineLevel="0" collapsed="false">
      <c r="A798" s="2" t="s">
        <v>188</v>
      </c>
      <c r="B798" s="2" t="n">
        <v>2015</v>
      </c>
      <c r="C798" s="2" t="s">
        <v>55</v>
      </c>
      <c r="D798" s="2" t="n">
        <v>1</v>
      </c>
      <c r="E798" s="2" t="n">
        <v>4</v>
      </c>
      <c r="F798" s="2" t="s">
        <v>50</v>
      </c>
      <c r="G798" s="3" t="n">
        <v>1</v>
      </c>
      <c r="H798" s="3" t="n">
        <v>1</v>
      </c>
      <c r="I798" s="3" t="n">
        <v>0</v>
      </c>
      <c r="J798" s="3" t="n">
        <v>1</v>
      </c>
      <c r="K798" s="3" t="n">
        <v>1</v>
      </c>
      <c r="L798" s="3" t="n">
        <v>0</v>
      </c>
      <c r="M798" s="3" t="n">
        <v>1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1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1</v>
      </c>
      <c r="X798" s="3" t="n">
        <v>0</v>
      </c>
      <c r="Y798" s="3" t="n">
        <v>1</v>
      </c>
      <c r="Z798" s="3" t="n">
        <v>1</v>
      </c>
      <c r="AA798" s="3" t="n">
        <v>0</v>
      </c>
      <c r="AB798" s="3" t="n">
        <v>0</v>
      </c>
      <c r="AC798" s="3" t="n">
        <v>1</v>
      </c>
      <c r="AD798" s="3" t="n">
        <v>0</v>
      </c>
      <c r="AE798" s="3" t="n">
        <v>0</v>
      </c>
      <c r="AF798" s="3" t="n">
        <v>0</v>
      </c>
      <c r="AG798" s="3" t="n">
        <v>1</v>
      </c>
      <c r="AH798" s="3" t="n">
        <v>1</v>
      </c>
      <c r="AI798" s="3" t="n">
        <v>1</v>
      </c>
      <c r="AJ798" s="4" t="n">
        <f aca="false">SUM(G798:AI798)</f>
        <v>13</v>
      </c>
      <c r="AK798" s="4" t="n">
        <f aca="false">ROUND(SUMPRODUCT(G798:AI798,Gene_Weights!$B$2:$AD$2),3)</f>
        <v>-12.02</v>
      </c>
      <c r="AL798" s="2" t="n">
        <v>3</v>
      </c>
      <c r="AM798" s="2" t="n">
        <v>3</v>
      </c>
      <c r="AN798" s="2" t="n">
        <v>100</v>
      </c>
      <c r="AO798" s="5" t="n">
        <v>58.19</v>
      </c>
      <c r="AP798" s="5" t="n">
        <v>59.74</v>
      </c>
      <c r="AQ798" s="5" t="n">
        <v>61.3</v>
      </c>
      <c r="AR798" s="5" t="n">
        <v>62.86</v>
      </c>
      <c r="AS798" s="5" t="n">
        <v>64.42</v>
      </c>
      <c r="AT798" s="5" t="n">
        <v>65.98</v>
      </c>
      <c r="AU798" s="5" t="n">
        <v>67.53</v>
      </c>
      <c r="AV798" s="5" t="s">
        <v>51</v>
      </c>
    </row>
    <row r="799" customFormat="false" ht="15" hidden="false" customHeight="false" outlineLevel="0" collapsed="false">
      <c r="A799" s="2" t="s">
        <v>188</v>
      </c>
      <c r="B799" s="2" t="n">
        <v>2015</v>
      </c>
      <c r="C799" s="2" t="s">
        <v>56</v>
      </c>
      <c r="D799" s="2" t="n">
        <v>0</v>
      </c>
      <c r="E799" s="2" t="n">
        <v>2</v>
      </c>
      <c r="F799" s="2" t="s">
        <v>50</v>
      </c>
      <c r="G799" s="3" t="n">
        <v>1</v>
      </c>
      <c r="H799" s="3" t="n">
        <v>1</v>
      </c>
      <c r="I799" s="3" t="n">
        <v>0</v>
      </c>
      <c r="J799" s="3" t="n">
        <v>1</v>
      </c>
      <c r="K799" s="3" t="n">
        <v>1</v>
      </c>
      <c r="L799" s="3" t="n">
        <v>0</v>
      </c>
      <c r="M799" s="3" t="n">
        <v>1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1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1</v>
      </c>
      <c r="X799" s="3" t="n">
        <v>0</v>
      </c>
      <c r="Y799" s="3" t="n">
        <v>1</v>
      </c>
      <c r="Z799" s="3" t="n">
        <v>1</v>
      </c>
      <c r="AA799" s="3" t="n">
        <v>0</v>
      </c>
      <c r="AB799" s="3" t="n">
        <v>0</v>
      </c>
      <c r="AC799" s="3" t="n">
        <v>1</v>
      </c>
      <c r="AD799" s="3" t="n">
        <v>0</v>
      </c>
      <c r="AE799" s="3" t="n">
        <v>0</v>
      </c>
      <c r="AF799" s="3" t="n">
        <v>0</v>
      </c>
      <c r="AG799" s="3" t="n">
        <v>1</v>
      </c>
      <c r="AH799" s="3" t="n">
        <v>1</v>
      </c>
      <c r="AI799" s="3" t="n">
        <v>1</v>
      </c>
      <c r="AJ799" s="4" t="n">
        <f aca="false">SUM(G799:AI799)</f>
        <v>13</v>
      </c>
      <c r="AK799" s="4" t="n">
        <f aca="false">ROUND(SUMPRODUCT(G799:AI799,Gene_Weights!$B$2:$AD$2),3)</f>
        <v>-12.02</v>
      </c>
      <c r="AL799" s="2" t="n">
        <v>3</v>
      </c>
      <c r="AM799" s="2" t="n">
        <v>0</v>
      </c>
      <c r="AN799" s="2" t="n">
        <v>0</v>
      </c>
      <c r="AO799" s="5" t="n">
        <v>75.59</v>
      </c>
      <c r="AP799" s="5" t="n">
        <v>78.01</v>
      </c>
      <c r="AQ799" s="5" t="n">
        <v>80.42</v>
      </c>
      <c r="AR799" s="5" t="n">
        <v>82.83</v>
      </c>
      <c r="AS799" s="5" t="n">
        <v>85.24</v>
      </c>
      <c r="AT799" s="5" t="n">
        <v>87.66</v>
      </c>
      <c r="AU799" s="5" t="n">
        <v>90.07</v>
      </c>
      <c r="AV799" s="5" t="s">
        <v>51</v>
      </c>
    </row>
    <row r="800" customFormat="false" ht="15" hidden="false" customHeight="false" outlineLevel="0" collapsed="false">
      <c r="A800" s="2" t="s">
        <v>189</v>
      </c>
      <c r="B800" s="2" t="n">
        <v>2014</v>
      </c>
      <c r="C800" s="2" t="s">
        <v>49</v>
      </c>
      <c r="D800" s="2" t="n">
        <v>1</v>
      </c>
      <c r="E800" s="2" t="n">
        <v>4</v>
      </c>
      <c r="F800" s="2" t="s">
        <v>50</v>
      </c>
      <c r="G800" s="3" t="n">
        <v>1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1</v>
      </c>
      <c r="M800" s="3" t="n">
        <v>0</v>
      </c>
      <c r="N800" s="3" t="n">
        <v>0</v>
      </c>
      <c r="O800" s="3" t="n">
        <v>0</v>
      </c>
      <c r="P800" s="3" t="n">
        <v>1</v>
      </c>
      <c r="Q800" s="3" t="n">
        <v>0</v>
      </c>
      <c r="R800" s="3" t="n">
        <v>0</v>
      </c>
      <c r="S800" s="3" t="n">
        <v>0</v>
      </c>
      <c r="T800" s="3" t="n">
        <v>1</v>
      </c>
      <c r="U800" s="3" t="n">
        <v>0</v>
      </c>
      <c r="V800" s="3" t="n">
        <v>1</v>
      </c>
      <c r="W800" s="3" t="n">
        <v>1</v>
      </c>
      <c r="X800" s="3" t="n">
        <v>0</v>
      </c>
      <c r="Y800" s="3" t="n">
        <v>1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1</v>
      </c>
      <c r="AH800" s="3" t="n">
        <v>0</v>
      </c>
      <c r="AI800" s="3" t="n">
        <v>0</v>
      </c>
      <c r="AJ800" s="4" t="n">
        <f aca="false">SUM(G800:AI800)</f>
        <v>8</v>
      </c>
      <c r="AK800" s="4" t="n">
        <f aca="false">ROUND(SUMPRODUCT(G800:AI800,Gene_Weights!$B$2:$AD$2),3)</f>
        <v>-5.79</v>
      </c>
      <c r="AL800" s="2" t="n">
        <v>8</v>
      </c>
      <c r="AM800" s="2" t="n">
        <v>3</v>
      </c>
      <c r="AN800" s="2" t="n">
        <v>37.5</v>
      </c>
      <c r="AO800" s="5" t="n">
        <v>55.12</v>
      </c>
      <c r="AP800" s="5" t="n">
        <v>56.02</v>
      </c>
      <c r="AQ800" s="5" t="n">
        <v>56.92</v>
      </c>
      <c r="AR800" s="5" t="n">
        <v>57.82</v>
      </c>
      <c r="AS800" s="5" t="n">
        <v>58.72</v>
      </c>
      <c r="AT800" s="5" t="n">
        <v>59.62</v>
      </c>
      <c r="AU800" s="5" t="n">
        <v>60.52</v>
      </c>
      <c r="AV800" s="5" t="s">
        <v>51</v>
      </c>
    </row>
    <row r="801" customFormat="false" ht="15" hidden="false" customHeight="false" outlineLevel="0" collapsed="false">
      <c r="A801" s="2" t="s">
        <v>189</v>
      </c>
      <c r="B801" s="2" t="n">
        <v>2014</v>
      </c>
      <c r="C801" s="2" t="s">
        <v>52</v>
      </c>
      <c r="D801" s="2" t="n">
        <v>1</v>
      </c>
      <c r="E801" s="2" t="n">
        <v>32</v>
      </c>
      <c r="F801" s="2" t="s">
        <v>50</v>
      </c>
      <c r="G801" s="3" t="n">
        <v>1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1</v>
      </c>
      <c r="M801" s="3" t="n">
        <v>0</v>
      </c>
      <c r="N801" s="3" t="n">
        <v>0</v>
      </c>
      <c r="O801" s="3" t="n">
        <v>0</v>
      </c>
      <c r="P801" s="3" t="n">
        <v>1</v>
      </c>
      <c r="Q801" s="3" t="n">
        <v>0</v>
      </c>
      <c r="R801" s="3" t="n">
        <v>0</v>
      </c>
      <c r="S801" s="3" t="n">
        <v>0</v>
      </c>
      <c r="T801" s="3" t="n">
        <v>1</v>
      </c>
      <c r="U801" s="3" t="n">
        <v>0</v>
      </c>
      <c r="V801" s="3" t="n">
        <v>1</v>
      </c>
      <c r="W801" s="3" t="n">
        <v>1</v>
      </c>
      <c r="X801" s="3" t="n">
        <v>0</v>
      </c>
      <c r="Y801" s="3" t="n">
        <v>1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1</v>
      </c>
      <c r="AH801" s="3" t="n">
        <v>0</v>
      </c>
      <c r="AI801" s="3" t="n">
        <v>0</v>
      </c>
      <c r="AJ801" s="4" t="n">
        <f aca="false">SUM(G801:AI801)</f>
        <v>8</v>
      </c>
      <c r="AK801" s="4" t="n">
        <f aca="false">ROUND(SUMPRODUCT(G801:AI801,Gene_Weights!$B$2:$AD$2),3)</f>
        <v>-5.79</v>
      </c>
      <c r="AL801" s="2" t="n">
        <v>8</v>
      </c>
      <c r="AM801" s="2" t="n">
        <v>4</v>
      </c>
      <c r="AN801" s="2" t="n">
        <v>50</v>
      </c>
      <c r="AO801" s="5" t="n">
        <v>64.53</v>
      </c>
      <c r="AP801" s="5" t="n">
        <v>66.13</v>
      </c>
      <c r="AQ801" s="5" t="n">
        <v>67.73</v>
      </c>
      <c r="AR801" s="5" t="n">
        <v>69.33</v>
      </c>
      <c r="AS801" s="5" t="n">
        <v>70.93</v>
      </c>
      <c r="AT801" s="5" t="n">
        <v>72.53</v>
      </c>
      <c r="AU801" s="5" t="n">
        <v>74.13</v>
      </c>
      <c r="AV801" s="5" t="s">
        <v>51</v>
      </c>
    </row>
    <row r="802" customFormat="false" ht="15" hidden="false" customHeight="false" outlineLevel="0" collapsed="false">
      <c r="A802" s="2" t="s">
        <v>189</v>
      </c>
      <c r="B802" s="2" t="n">
        <v>2014</v>
      </c>
      <c r="C802" s="2" t="s">
        <v>53</v>
      </c>
      <c r="D802" s="2" t="n">
        <v>0</v>
      </c>
      <c r="E802" s="2" t="n">
        <v>32</v>
      </c>
      <c r="F802" s="2" t="s">
        <v>50</v>
      </c>
      <c r="G802" s="3" t="n">
        <v>1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1</v>
      </c>
      <c r="M802" s="3" t="n">
        <v>0</v>
      </c>
      <c r="N802" s="3" t="n">
        <v>0</v>
      </c>
      <c r="O802" s="3" t="n">
        <v>0</v>
      </c>
      <c r="P802" s="3" t="n">
        <v>1</v>
      </c>
      <c r="Q802" s="3" t="n">
        <v>0</v>
      </c>
      <c r="R802" s="3" t="n">
        <v>0</v>
      </c>
      <c r="S802" s="3" t="n">
        <v>0</v>
      </c>
      <c r="T802" s="3" t="n">
        <v>1</v>
      </c>
      <c r="U802" s="3" t="n">
        <v>0</v>
      </c>
      <c r="V802" s="3" t="n">
        <v>1</v>
      </c>
      <c r="W802" s="3" t="n">
        <v>1</v>
      </c>
      <c r="X802" s="3" t="n">
        <v>0</v>
      </c>
      <c r="Y802" s="3" t="n">
        <v>1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1</v>
      </c>
      <c r="AH802" s="3" t="n">
        <v>0</v>
      </c>
      <c r="AI802" s="3" t="n">
        <v>0</v>
      </c>
      <c r="AJ802" s="4" t="n">
        <f aca="false">SUM(G802:AI802)</f>
        <v>8</v>
      </c>
      <c r="AK802" s="4" t="n">
        <f aca="false">ROUND(SUMPRODUCT(G802:AI802,Gene_Weights!$B$2:$AD$2),3)</f>
        <v>-5.79</v>
      </c>
      <c r="AL802" s="2" t="n">
        <v>8</v>
      </c>
      <c r="AM802" s="2" t="n">
        <v>2</v>
      </c>
      <c r="AN802" s="2" t="n">
        <v>25</v>
      </c>
      <c r="AO802" s="5" t="n">
        <v>52.86</v>
      </c>
      <c r="AP802" s="5" t="n">
        <v>53.65</v>
      </c>
      <c r="AQ802" s="5" t="n">
        <v>54.45</v>
      </c>
      <c r="AR802" s="5" t="n">
        <v>55.24</v>
      </c>
      <c r="AS802" s="5" t="n">
        <v>56.03</v>
      </c>
      <c r="AT802" s="5" t="n">
        <v>56.83</v>
      </c>
      <c r="AU802" s="5" t="n">
        <v>57.62</v>
      </c>
      <c r="AV802" s="5" t="s">
        <v>51</v>
      </c>
    </row>
    <row r="803" customFormat="false" ht="15" hidden="false" customHeight="false" outlineLevel="0" collapsed="false">
      <c r="A803" s="2" t="s">
        <v>189</v>
      </c>
      <c r="B803" s="2" t="n">
        <v>2014</v>
      </c>
      <c r="C803" s="2" t="s">
        <v>54</v>
      </c>
      <c r="D803" s="2" t="n">
        <v>0</v>
      </c>
      <c r="E803" s="2" t="n">
        <v>4</v>
      </c>
      <c r="F803" s="2" t="s">
        <v>50</v>
      </c>
      <c r="G803" s="3" t="n">
        <v>1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1</v>
      </c>
      <c r="M803" s="3" t="n">
        <v>0</v>
      </c>
      <c r="N803" s="3" t="n">
        <v>0</v>
      </c>
      <c r="O803" s="3" t="n">
        <v>0</v>
      </c>
      <c r="P803" s="3" t="n">
        <v>1</v>
      </c>
      <c r="Q803" s="3" t="n">
        <v>0</v>
      </c>
      <c r="R803" s="3" t="n">
        <v>0</v>
      </c>
      <c r="S803" s="3" t="n">
        <v>0</v>
      </c>
      <c r="T803" s="3" t="n">
        <v>1</v>
      </c>
      <c r="U803" s="3" t="n">
        <v>0</v>
      </c>
      <c r="V803" s="3" t="n">
        <v>1</v>
      </c>
      <c r="W803" s="3" t="n">
        <v>1</v>
      </c>
      <c r="X803" s="3" t="n">
        <v>0</v>
      </c>
      <c r="Y803" s="3" t="n">
        <v>1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1</v>
      </c>
      <c r="AH803" s="3" t="n">
        <v>0</v>
      </c>
      <c r="AI803" s="3" t="n">
        <v>0</v>
      </c>
      <c r="AJ803" s="4" t="n">
        <f aca="false">SUM(G803:AI803)</f>
        <v>8</v>
      </c>
      <c r="AK803" s="4" t="n">
        <f aca="false">ROUND(SUMPRODUCT(G803:AI803,Gene_Weights!$B$2:$AD$2),3)</f>
        <v>-5.79</v>
      </c>
      <c r="AL803" s="2" t="n">
        <v>8</v>
      </c>
      <c r="AM803" s="2" t="n">
        <v>5</v>
      </c>
      <c r="AN803" s="2" t="n">
        <v>62.5</v>
      </c>
      <c r="AO803" s="5" t="n">
        <v>81.84</v>
      </c>
      <c r="AP803" s="5" t="n">
        <v>84.45</v>
      </c>
      <c r="AQ803" s="5" t="n">
        <v>87.06</v>
      </c>
      <c r="AR803" s="5" t="n">
        <v>89.67</v>
      </c>
      <c r="AS803" s="5" t="n">
        <v>92.27</v>
      </c>
      <c r="AT803" s="5" t="n">
        <v>94.88</v>
      </c>
      <c r="AU803" s="5" t="n">
        <v>97.49</v>
      </c>
      <c r="AV803" s="5" t="s">
        <v>51</v>
      </c>
    </row>
    <row r="804" customFormat="false" ht="15" hidden="false" customHeight="false" outlineLevel="0" collapsed="false">
      <c r="A804" s="2" t="s">
        <v>189</v>
      </c>
      <c r="B804" s="2" t="n">
        <v>2014</v>
      </c>
      <c r="C804" s="2" t="s">
        <v>55</v>
      </c>
      <c r="D804" s="2" t="n">
        <v>0</v>
      </c>
      <c r="E804" s="2" t="n">
        <v>4</v>
      </c>
      <c r="F804" s="2" t="s">
        <v>50</v>
      </c>
      <c r="G804" s="3" t="n">
        <v>1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1</v>
      </c>
      <c r="M804" s="3" t="n">
        <v>0</v>
      </c>
      <c r="N804" s="3" t="n">
        <v>0</v>
      </c>
      <c r="O804" s="3" t="n">
        <v>0</v>
      </c>
      <c r="P804" s="3" t="n">
        <v>1</v>
      </c>
      <c r="Q804" s="3" t="n">
        <v>0</v>
      </c>
      <c r="R804" s="3" t="n">
        <v>0</v>
      </c>
      <c r="S804" s="3" t="n">
        <v>0</v>
      </c>
      <c r="T804" s="3" t="n">
        <v>1</v>
      </c>
      <c r="U804" s="3" t="n">
        <v>0</v>
      </c>
      <c r="V804" s="3" t="n">
        <v>1</v>
      </c>
      <c r="W804" s="3" t="n">
        <v>1</v>
      </c>
      <c r="X804" s="3" t="n">
        <v>0</v>
      </c>
      <c r="Y804" s="3" t="n">
        <v>1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1</v>
      </c>
      <c r="AH804" s="3" t="n">
        <v>0</v>
      </c>
      <c r="AI804" s="3" t="n">
        <v>0</v>
      </c>
      <c r="AJ804" s="4" t="n">
        <f aca="false">SUM(G804:AI804)</f>
        <v>8</v>
      </c>
      <c r="AK804" s="4" t="n">
        <f aca="false">ROUND(SUMPRODUCT(G804:AI804,Gene_Weights!$B$2:$AD$2),3)</f>
        <v>-5.79</v>
      </c>
      <c r="AL804" s="2" t="n">
        <v>8</v>
      </c>
      <c r="AM804" s="2" t="n">
        <v>3</v>
      </c>
      <c r="AN804" s="2" t="n">
        <v>37.5</v>
      </c>
      <c r="AO804" s="5" t="n">
        <v>58.19</v>
      </c>
      <c r="AP804" s="5" t="n">
        <v>59.74</v>
      </c>
      <c r="AQ804" s="5" t="n">
        <v>61.3</v>
      </c>
      <c r="AR804" s="5" t="n">
        <v>62.86</v>
      </c>
      <c r="AS804" s="5" t="n">
        <v>64.42</v>
      </c>
      <c r="AT804" s="5" t="n">
        <v>65.98</v>
      </c>
      <c r="AU804" s="5" t="n">
        <v>67.53</v>
      </c>
      <c r="AV804" s="5" t="s">
        <v>51</v>
      </c>
    </row>
    <row r="805" customFormat="false" ht="15" hidden="false" customHeight="false" outlineLevel="0" collapsed="false">
      <c r="A805" s="2" t="s">
        <v>189</v>
      </c>
      <c r="B805" s="2" t="n">
        <v>2014</v>
      </c>
      <c r="C805" s="2" t="s">
        <v>56</v>
      </c>
      <c r="D805" s="2" t="n">
        <v>1</v>
      </c>
      <c r="E805" s="2" t="n">
        <v>4</v>
      </c>
      <c r="F805" s="2" t="s">
        <v>50</v>
      </c>
      <c r="G805" s="3" t="n">
        <v>1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1</v>
      </c>
      <c r="M805" s="3" t="n">
        <v>0</v>
      </c>
      <c r="N805" s="3" t="n">
        <v>0</v>
      </c>
      <c r="O805" s="3" t="n">
        <v>0</v>
      </c>
      <c r="P805" s="3" t="n">
        <v>1</v>
      </c>
      <c r="Q805" s="3" t="n">
        <v>0</v>
      </c>
      <c r="R805" s="3" t="n">
        <v>0</v>
      </c>
      <c r="S805" s="3" t="n">
        <v>0</v>
      </c>
      <c r="T805" s="3" t="n">
        <v>1</v>
      </c>
      <c r="U805" s="3" t="n">
        <v>0</v>
      </c>
      <c r="V805" s="3" t="n">
        <v>1</v>
      </c>
      <c r="W805" s="3" t="n">
        <v>1</v>
      </c>
      <c r="X805" s="3" t="n">
        <v>0</v>
      </c>
      <c r="Y805" s="3" t="n">
        <v>1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1</v>
      </c>
      <c r="AH805" s="3" t="n">
        <v>0</v>
      </c>
      <c r="AI805" s="3" t="n">
        <v>0</v>
      </c>
      <c r="AJ805" s="4" t="n">
        <f aca="false">SUM(G805:AI805)</f>
        <v>8</v>
      </c>
      <c r="AK805" s="4" t="n">
        <f aca="false">ROUND(SUMPRODUCT(G805:AI805,Gene_Weights!$B$2:$AD$2),3)</f>
        <v>-5.79</v>
      </c>
      <c r="AL805" s="2" t="n">
        <v>8</v>
      </c>
      <c r="AM805" s="2" t="n">
        <v>3</v>
      </c>
      <c r="AN805" s="2" t="n">
        <v>37.5</v>
      </c>
      <c r="AO805" s="5" t="n">
        <v>75.59</v>
      </c>
      <c r="AP805" s="5" t="n">
        <v>78.01</v>
      </c>
      <c r="AQ805" s="5" t="n">
        <v>80.42</v>
      </c>
      <c r="AR805" s="5" t="n">
        <v>82.83</v>
      </c>
      <c r="AS805" s="5" t="n">
        <v>85.24</v>
      </c>
      <c r="AT805" s="5" t="n">
        <v>87.66</v>
      </c>
      <c r="AU805" s="5" t="n">
        <v>90.07</v>
      </c>
      <c r="AV805" s="5" t="s">
        <v>51</v>
      </c>
    </row>
    <row r="806" customFormat="false" ht="15" hidden="false" customHeight="false" outlineLevel="0" collapsed="false">
      <c r="A806" s="2" t="s">
        <v>190</v>
      </c>
      <c r="B806" s="2" t="n">
        <v>1998</v>
      </c>
      <c r="C806" s="2" t="s">
        <v>49</v>
      </c>
      <c r="D806" s="2" t="n">
        <v>1</v>
      </c>
      <c r="E806" s="2" t="n">
        <v>2</v>
      </c>
      <c r="F806" s="2" t="s">
        <v>50</v>
      </c>
      <c r="G806" s="3" t="n">
        <v>0</v>
      </c>
      <c r="H806" s="3" t="n">
        <v>1</v>
      </c>
      <c r="I806" s="3" t="n">
        <v>1</v>
      </c>
      <c r="J806" s="3" t="n">
        <v>0</v>
      </c>
      <c r="K806" s="3" t="n">
        <v>1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1</v>
      </c>
      <c r="Q806" s="3" t="n">
        <v>0</v>
      </c>
      <c r="R806" s="3" t="n">
        <v>0</v>
      </c>
      <c r="S806" s="3" t="n">
        <v>1</v>
      </c>
      <c r="T806" s="3" t="n">
        <v>0</v>
      </c>
      <c r="U806" s="3" t="n">
        <v>0</v>
      </c>
      <c r="V806" s="3" t="n">
        <v>1</v>
      </c>
      <c r="W806" s="3" t="n">
        <v>0</v>
      </c>
      <c r="X806" s="3" t="n">
        <v>0</v>
      </c>
      <c r="Y806" s="3" t="n">
        <v>1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1</v>
      </c>
      <c r="AE806" s="3" t="n">
        <v>0</v>
      </c>
      <c r="AF806" s="3" t="n">
        <v>0</v>
      </c>
      <c r="AG806" s="3" t="n">
        <v>0</v>
      </c>
      <c r="AH806" s="3" t="n">
        <v>1</v>
      </c>
      <c r="AI806" s="3" t="n">
        <v>0</v>
      </c>
      <c r="AJ806" s="4" t="n">
        <f aca="false">SUM(G806:AI806)</f>
        <v>9</v>
      </c>
      <c r="AK806" s="4" t="n">
        <f aca="false">ROUND(SUMPRODUCT(G806:AI806,Gene_Weights!$B$2:$AD$2),3)</f>
        <v>-4.77</v>
      </c>
      <c r="AL806" s="2" t="n">
        <v>4</v>
      </c>
      <c r="AM806" s="2" t="n">
        <v>3</v>
      </c>
      <c r="AN806" s="2" t="n">
        <v>75</v>
      </c>
      <c r="AO806" s="5" t="n">
        <v>55.12</v>
      </c>
      <c r="AP806" s="5" t="n">
        <v>56.02</v>
      </c>
      <c r="AQ806" s="5" t="n">
        <v>56.92</v>
      </c>
      <c r="AR806" s="5" t="n">
        <v>57.82</v>
      </c>
      <c r="AS806" s="5" t="n">
        <v>58.72</v>
      </c>
      <c r="AT806" s="5" t="n">
        <v>59.62</v>
      </c>
      <c r="AU806" s="5" t="n">
        <v>60.52</v>
      </c>
      <c r="AV806" s="5" t="s">
        <v>51</v>
      </c>
    </row>
    <row r="807" customFormat="false" ht="15" hidden="false" customHeight="false" outlineLevel="0" collapsed="false">
      <c r="A807" s="2" t="s">
        <v>190</v>
      </c>
      <c r="B807" s="2" t="n">
        <v>1998</v>
      </c>
      <c r="C807" s="2" t="s">
        <v>52</v>
      </c>
      <c r="D807" s="2" t="n">
        <v>1</v>
      </c>
      <c r="E807" s="2" t="n">
        <v>2</v>
      </c>
      <c r="F807" s="2" t="s">
        <v>50</v>
      </c>
      <c r="G807" s="3" t="n">
        <v>0</v>
      </c>
      <c r="H807" s="3" t="n">
        <v>1</v>
      </c>
      <c r="I807" s="3" t="n">
        <v>1</v>
      </c>
      <c r="J807" s="3" t="n">
        <v>0</v>
      </c>
      <c r="K807" s="3" t="n">
        <v>1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1</v>
      </c>
      <c r="Q807" s="3" t="n">
        <v>0</v>
      </c>
      <c r="R807" s="3" t="n">
        <v>0</v>
      </c>
      <c r="S807" s="3" t="n">
        <v>1</v>
      </c>
      <c r="T807" s="3" t="n">
        <v>0</v>
      </c>
      <c r="U807" s="3" t="n">
        <v>0</v>
      </c>
      <c r="V807" s="3" t="n">
        <v>1</v>
      </c>
      <c r="W807" s="3" t="n">
        <v>0</v>
      </c>
      <c r="X807" s="3" t="n">
        <v>0</v>
      </c>
      <c r="Y807" s="3" t="n">
        <v>1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1</v>
      </c>
      <c r="AE807" s="3" t="n">
        <v>0</v>
      </c>
      <c r="AF807" s="3" t="n">
        <v>0</v>
      </c>
      <c r="AG807" s="3" t="n">
        <v>0</v>
      </c>
      <c r="AH807" s="3" t="n">
        <v>1</v>
      </c>
      <c r="AI807" s="3" t="n">
        <v>0</v>
      </c>
      <c r="AJ807" s="4" t="n">
        <f aca="false">SUM(G807:AI807)</f>
        <v>9</v>
      </c>
      <c r="AK807" s="4" t="n">
        <f aca="false">ROUND(SUMPRODUCT(G807:AI807,Gene_Weights!$B$2:$AD$2),3)</f>
        <v>-4.77</v>
      </c>
      <c r="AL807" s="2" t="n">
        <v>4</v>
      </c>
      <c r="AM807" s="2" t="n">
        <v>2</v>
      </c>
      <c r="AN807" s="2" t="n">
        <v>50</v>
      </c>
      <c r="AO807" s="5" t="n">
        <v>64.53</v>
      </c>
      <c r="AP807" s="5" t="n">
        <v>66.13</v>
      </c>
      <c r="AQ807" s="5" t="n">
        <v>67.73</v>
      </c>
      <c r="AR807" s="5" t="n">
        <v>69.33</v>
      </c>
      <c r="AS807" s="5" t="n">
        <v>70.93</v>
      </c>
      <c r="AT807" s="5" t="n">
        <v>72.53</v>
      </c>
      <c r="AU807" s="5" t="n">
        <v>74.13</v>
      </c>
      <c r="AV807" s="5" t="s">
        <v>51</v>
      </c>
    </row>
    <row r="808" customFormat="false" ht="15" hidden="false" customHeight="false" outlineLevel="0" collapsed="false">
      <c r="A808" s="2" t="s">
        <v>190</v>
      </c>
      <c r="B808" s="2" t="n">
        <v>1998</v>
      </c>
      <c r="C808" s="2" t="s">
        <v>53</v>
      </c>
      <c r="D808" s="2" t="n">
        <v>1</v>
      </c>
      <c r="E808" s="2" t="n">
        <v>4</v>
      </c>
      <c r="F808" s="2" t="s">
        <v>50</v>
      </c>
      <c r="G808" s="3" t="n">
        <v>0</v>
      </c>
      <c r="H808" s="3" t="n">
        <v>1</v>
      </c>
      <c r="I808" s="3" t="n">
        <v>1</v>
      </c>
      <c r="J808" s="3" t="n">
        <v>0</v>
      </c>
      <c r="K808" s="3" t="n">
        <v>1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1</v>
      </c>
      <c r="Q808" s="3" t="n">
        <v>0</v>
      </c>
      <c r="R808" s="3" t="n">
        <v>0</v>
      </c>
      <c r="S808" s="3" t="n">
        <v>1</v>
      </c>
      <c r="T808" s="3" t="n">
        <v>0</v>
      </c>
      <c r="U808" s="3" t="n">
        <v>0</v>
      </c>
      <c r="V808" s="3" t="n">
        <v>1</v>
      </c>
      <c r="W808" s="3" t="n">
        <v>0</v>
      </c>
      <c r="X808" s="3" t="n">
        <v>0</v>
      </c>
      <c r="Y808" s="3" t="n">
        <v>1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1</v>
      </c>
      <c r="AE808" s="3" t="n">
        <v>0</v>
      </c>
      <c r="AF808" s="3" t="n">
        <v>0</v>
      </c>
      <c r="AG808" s="3" t="n">
        <v>0</v>
      </c>
      <c r="AH808" s="3" t="n">
        <v>1</v>
      </c>
      <c r="AI808" s="3" t="n">
        <v>0</v>
      </c>
      <c r="AJ808" s="4" t="n">
        <f aca="false">SUM(G808:AI808)</f>
        <v>9</v>
      </c>
      <c r="AK808" s="4" t="n">
        <f aca="false">ROUND(SUMPRODUCT(G808:AI808,Gene_Weights!$B$2:$AD$2),3)</f>
        <v>-4.77</v>
      </c>
      <c r="AL808" s="2" t="n">
        <v>4</v>
      </c>
      <c r="AM808" s="2" t="n">
        <v>1</v>
      </c>
      <c r="AN808" s="2" t="n">
        <v>25</v>
      </c>
      <c r="AO808" s="5" t="n">
        <v>52.86</v>
      </c>
      <c r="AP808" s="5" t="n">
        <v>53.65</v>
      </c>
      <c r="AQ808" s="5" t="n">
        <v>54.45</v>
      </c>
      <c r="AR808" s="5" t="n">
        <v>55.24</v>
      </c>
      <c r="AS808" s="5" t="n">
        <v>56.03</v>
      </c>
      <c r="AT808" s="5" t="n">
        <v>56.83</v>
      </c>
      <c r="AU808" s="5" t="n">
        <v>57.62</v>
      </c>
      <c r="AV808" s="5" t="s">
        <v>51</v>
      </c>
    </row>
    <row r="809" customFormat="false" ht="15" hidden="false" customHeight="false" outlineLevel="0" collapsed="false">
      <c r="A809" s="2" t="s">
        <v>190</v>
      </c>
      <c r="B809" s="2" t="n">
        <v>1998</v>
      </c>
      <c r="C809" s="2" t="s">
        <v>54</v>
      </c>
      <c r="D809" s="2" t="n">
        <v>0</v>
      </c>
      <c r="E809" s="2" t="n">
        <v>4</v>
      </c>
      <c r="F809" s="2" t="s">
        <v>50</v>
      </c>
      <c r="G809" s="3" t="n">
        <v>0</v>
      </c>
      <c r="H809" s="3" t="n">
        <v>1</v>
      </c>
      <c r="I809" s="3" t="n">
        <v>1</v>
      </c>
      <c r="J809" s="3" t="n">
        <v>0</v>
      </c>
      <c r="K809" s="3" t="n">
        <v>1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1</v>
      </c>
      <c r="Q809" s="3" t="n">
        <v>0</v>
      </c>
      <c r="R809" s="3" t="n">
        <v>0</v>
      </c>
      <c r="S809" s="3" t="n">
        <v>1</v>
      </c>
      <c r="T809" s="3" t="n">
        <v>0</v>
      </c>
      <c r="U809" s="3" t="n">
        <v>0</v>
      </c>
      <c r="V809" s="3" t="n">
        <v>1</v>
      </c>
      <c r="W809" s="3" t="n">
        <v>0</v>
      </c>
      <c r="X809" s="3" t="n">
        <v>0</v>
      </c>
      <c r="Y809" s="3" t="n">
        <v>1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1</v>
      </c>
      <c r="AE809" s="3" t="n">
        <v>0</v>
      </c>
      <c r="AF809" s="3" t="n">
        <v>0</v>
      </c>
      <c r="AG809" s="3" t="n">
        <v>0</v>
      </c>
      <c r="AH809" s="3" t="n">
        <v>1</v>
      </c>
      <c r="AI809" s="3" t="n">
        <v>0</v>
      </c>
      <c r="AJ809" s="4" t="n">
        <f aca="false">SUM(G809:AI809)</f>
        <v>9</v>
      </c>
      <c r="AK809" s="4" t="n">
        <f aca="false">ROUND(SUMPRODUCT(G809:AI809,Gene_Weights!$B$2:$AD$2),3)</f>
        <v>-4.77</v>
      </c>
      <c r="AL809" s="2" t="n">
        <v>4</v>
      </c>
      <c r="AM809" s="2" t="n">
        <v>0</v>
      </c>
      <c r="AN809" s="2" t="n">
        <v>0</v>
      </c>
      <c r="AO809" s="5" t="n">
        <v>81.84</v>
      </c>
      <c r="AP809" s="5" t="n">
        <v>84.45</v>
      </c>
      <c r="AQ809" s="5" t="n">
        <v>87.06</v>
      </c>
      <c r="AR809" s="5" t="n">
        <v>89.67</v>
      </c>
      <c r="AS809" s="5" t="n">
        <v>92.27</v>
      </c>
      <c r="AT809" s="5" t="n">
        <v>94.88</v>
      </c>
      <c r="AU809" s="5" t="n">
        <v>97.49</v>
      </c>
      <c r="AV809" s="5" t="s">
        <v>51</v>
      </c>
    </row>
    <row r="810" customFormat="false" ht="15" hidden="false" customHeight="false" outlineLevel="0" collapsed="false">
      <c r="A810" s="2" t="s">
        <v>190</v>
      </c>
      <c r="B810" s="2" t="n">
        <v>1998</v>
      </c>
      <c r="C810" s="2" t="s">
        <v>55</v>
      </c>
      <c r="D810" s="2" t="n">
        <v>0</v>
      </c>
      <c r="E810" s="2" t="n">
        <v>4</v>
      </c>
      <c r="F810" s="2" t="s">
        <v>50</v>
      </c>
      <c r="G810" s="3" t="n">
        <v>0</v>
      </c>
      <c r="H810" s="3" t="n">
        <v>1</v>
      </c>
      <c r="I810" s="3" t="n">
        <v>1</v>
      </c>
      <c r="J810" s="3" t="n">
        <v>0</v>
      </c>
      <c r="K810" s="3" t="n">
        <v>1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1</v>
      </c>
      <c r="Q810" s="3" t="n">
        <v>0</v>
      </c>
      <c r="R810" s="3" t="n">
        <v>0</v>
      </c>
      <c r="S810" s="3" t="n">
        <v>1</v>
      </c>
      <c r="T810" s="3" t="n">
        <v>0</v>
      </c>
      <c r="U810" s="3" t="n">
        <v>0</v>
      </c>
      <c r="V810" s="3" t="n">
        <v>1</v>
      </c>
      <c r="W810" s="3" t="n">
        <v>0</v>
      </c>
      <c r="X810" s="3" t="n">
        <v>0</v>
      </c>
      <c r="Y810" s="3" t="n">
        <v>1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1</v>
      </c>
      <c r="AE810" s="3" t="n">
        <v>0</v>
      </c>
      <c r="AF810" s="3" t="n">
        <v>0</v>
      </c>
      <c r="AG810" s="3" t="n">
        <v>0</v>
      </c>
      <c r="AH810" s="3" t="n">
        <v>1</v>
      </c>
      <c r="AI810" s="3" t="n">
        <v>0</v>
      </c>
      <c r="AJ810" s="4" t="n">
        <f aca="false">SUM(G810:AI810)</f>
        <v>9</v>
      </c>
      <c r="AK810" s="4" t="n">
        <f aca="false">ROUND(SUMPRODUCT(G810:AI810,Gene_Weights!$B$2:$AD$2),3)</f>
        <v>-4.77</v>
      </c>
      <c r="AL810" s="2" t="n">
        <v>4</v>
      </c>
      <c r="AM810" s="2" t="n">
        <v>1</v>
      </c>
      <c r="AN810" s="2" t="n">
        <v>25</v>
      </c>
      <c r="AO810" s="5" t="n">
        <v>58.19</v>
      </c>
      <c r="AP810" s="5" t="n">
        <v>59.74</v>
      </c>
      <c r="AQ810" s="5" t="n">
        <v>61.3</v>
      </c>
      <c r="AR810" s="5" t="n">
        <v>62.86</v>
      </c>
      <c r="AS810" s="5" t="n">
        <v>64.42</v>
      </c>
      <c r="AT810" s="5" t="n">
        <v>65.98</v>
      </c>
      <c r="AU810" s="5" t="n">
        <v>67.53</v>
      </c>
      <c r="AV810" s="5" t="s">
        <v>51</v>
      </c>
    </row>
    <row r="811" customFormat="false" ht="15" hidden="false" customHeight="false" outlineLevel="0" collapsed="false">
      <c r="A811" s="2" t="s">
        <v>190</v>
      </c>
      <c r="B811" s="2" t="n">
        <v>1998</v>
      </c>
      <c r="C811" s="2" t="s">
        <v>56</v>
      </c>
      <c r="D811" s="2" t="n">
        <v>0</v>
      </c>
      <c r="E811" s="2" t="n">
        <v>16</v>
      </c>
      <c r="F811" s="2" t="s">
        <v>50</v>
      </c>
      <c r="G811" s="3" t="n">
        <v>0</v>
      </c>
      <c r="H811" s="3" t="n">
        <v>1</v>
      </c>
      <c r="I811" s="3" t="n">
        <v>1</v>
      </c>
      <c r="J811" s="3" t="n">
        <v>0</v>
      </c>
      <c r="K811" s="3" t="n">
        <v>1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1</v>
      </c>
      <c r="Q811" s="3" t="n">
        <v>0</v>
      </c>
      <c r="R811" s="3" t="n">
        <v>0</v>
      </c>
      <c r="S811" s="3" t="n">
        <v>1</v>
      </c>
      <c r="T811" s="3" t="n">
        <v>0</v>
      </c>
      <c r="U811" s="3" t="n">
        <v>0</v>
      </c>
      <c r="V811" s="3" t="n">
        <v>1</v>
      </c>
      <c r="W811" s="3" t="n">
        <v>0</v>
      </c>
      <c r="X811" s="3" t="n">
        <v>0</v>
      </c>
      <c r="Y811" s="3" t="n">
        <v>1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1</v>
      </c>
      <c r="AE811" s="3" t="n">
        <v>0</v>
      </c>
      <c r="AF811" s="3" t="n">
        <v>0</v>
      </c>
      <c r="AG811" s="3" t="n">
        <v>0</v>
      </c>
      <c r="AH811" s="3" t="n">
        <v>1</v>
      </c>
      <c r="AI811" s="3" t="n">
        <v>0</v>
      </c>
      <c r="AJ811" s="4" t="n">
        <f aca="false">SUM(G811:AI811)</f>
        <v>9</v>
      </c>
      <c r="AK811" s="4" t="n">
        <f aca="false">ROUND(SUMPRODUCT(G811:AI811,Gene_Weights!$B$2:$AD$2),3)</f>
        <v>-4.77</v>
      </c>
      <c r="AL811" s="2" t="n">
        <v>4</v>
      </c>
      <c r="AM811" s="2" t="n">
        <v>0</v>
      </c>
      <c r="AN811" s="2" t="n">
        <v>0</v>
      </c>
      <c r="AO811" s="5" t="n">
        <v>75.59</v>
      </c>
      <c r="AP811" s="5" t="n">
        <v>78.01</v>
      </c>
      <c r="AQ811" s="5" t="n">
        <v>80.42</v>
      </c>
      <c r="AR811" s="5" t="n">
        <v>82.83</v>
      </c>
      <c r="AS811" s="5" t="n">
        <v>85.24</v>
      </c>
      <c r="AT811" s="5" t="n">
        <v>87.66</v>
      </c>
      <c r="AU811" s="5" t="n">
        <v>90.07</v>
      </c>
      <c r="AV811" s="5" t="s">
        <v>51</v>
      </c>
    </row>
    <row r="812" customFormat="false" ht="15" hidden="false" customHeight="false" outlineLevel="0" collapsed="false">
      <c r="A812" s="2" t="s">
        <v>191</v>
      </c>
      <c r="B812" s="2" t="n">
        <v>1999</v>
      </c>
      <c r="C812" s="2" t="s">
        <v>49</v>
      </c>
      <c r="D812" s="2" t="n">
        <v>1</v>
      </c>
      <c r="E812" s="2" t="n">
        <v>32</v>
      </c>
      <c r="F812" s="2" t="s">
        <v>50</v>
      </c>
      <c r="G812" s="3" t="n">
        <v>0</v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1</v>
      </c>
      <c r="M812" s="3" t="n">
        <v>0</v>
      </c>
      <c r="N812" s="3" t="n">
        <v>0</v>
      </c>
      <c r="O812" s="3" t="n">
        <v>0</v>
      </c>
      <c r="P812" s="3" t="n">
        <v>1</v>
      </c>
      <c r="Q812" s="3" t="n">
        <v>1</v>
      </c>
      <c r="R812" s="3" t="n">
        <v>0</v>
      </c>
      <c r="S812" s="3" t="n">
        <v>0</v>
      </c>
      <c r="T812" s="3" t="n">
        <v>1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1</v>
      </c>
      <c r="Z812" s="3" t="n">
        <v>0</v>
      </c>
      <c r="AA812" s="3" t="n">
        <v>1</v>
      </c>
      <c r="AB812" s="3" t="n">
        <v>0</v>
      </c>
      <c r="AC812" s="3" t="n">
        <v>0</v>
      </c>
      <c r="AD812" s="3" t="n">
        <v>0</v>
      </c>
      <c r="AE812" s="3" t="n">
        <v>1</v>
      </c>
      <c r="AF812" s="3" t="n">
        <v>0</v>
      </c>
      <c r="AG812" s="3" t="n">
        <v>0</v>
      </c>
      <c r="AH812" s="3" t="n">
        <v>0</v>
      </c>
      <c r="AI812" s="3" t="n">
        <v>0</v>
      </c>
      <c r="AJ812" s="4" t="n">
        <f aca="false">SUM(G812:AI812)</f>
        <v>8</v>
      </c>
      <c r="AK812" s="4" t="n">
        <f aca="false">ROUND(SUMPRODUCT(G812:AI812,Gene_Weights!$B$2:$AD$2),3)</f>
        <v>-6.07</v>
      </c>
      <c r="AL812" s="2" t="n">
        <v>2</v>
      </c>
      <c r="AM812" s="2" t="n">
        <v>1</v>
      </c>
      <c r="AN812" s="2" t="n">
        <v>50</v>
      </c>
      <c r="AO812" s="5" t="n">
        <v>55.12</v>
      </c>
      <c r="AP812" s="5" t="n">
        <v>56.02</v>
      </c>
      <c r="AQ812" s="5" t="n">
        <v>56.92</v>
      </c>
      <c r="AR812" s="5" t="n">
        <v>57.82</v>
      </c>
      <c r="AS812" s="5" t="n">
        <v>58.72</v>
      </c>
      <c r="AT812" s="5" t="n">
        <v>59.62</v>
      </c>
      <c r="AU812" s="5" t="n">
        <v>60.52</v>
      </c>
      <c r="AV812" s="5" t="s">
        <v>51</v>
      </c>
    </row>
    <row r="813" customFormat="false" ht="15" hidden="false" customHeight="false" outlineLevel="0" collapsed="false">
      <c r="A813" s="2" t="s">
        <v>191</v>
      </c>
      <c r="B813" s="2" t="n">
        <v>1999</v>
      </c>
      <c r="C813" s="2" t="s">
        <v>52</v>
      </c>
      <c r="D813" s="2" t="n">
        <v>1</v>
      </c>
      <c r="E813" s="2" t="n">
        <v>16</v>
      </c>
      <c r="F813" s="2" t="s">
        <v>50</v>
      </c>
      <c r="G813" s="3" t="n">
        <v>0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1</v>
      </c>
      <c r="M813" s="3" t="n">
        <v>0</v>
      </c>
      <c r="N813" s="3" t="n">
        <v>0</v>
      </c>
      <c r="O813" s="3" t="n">
        <v>0</v>
      </c>
      <c r="P813" s="3" t="n">
        <v>1</v>
      </c>
      <c r="Q813" s="3" t="n">
        <v>1</v>
      </c>
      <c r="R813" s="3" t="n">
        <v>0</v>
      </c>
      <c r="S813" s="3" t="n">
        <v>0</v>
      </c>
      <c r="T813" s="3" t="n">
        <v>1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1</v>
      </c>
      <c r="Z813" s="3" t="n">
        <v>0</v>
      </c>
      <c r="AA813" s="3" t="n">
        <v>1</v>
      </c>
      <c r="AB813" s="3" t="n">
        <v>0</v>
      </c>
      <c r="AC813" s="3" t="n">
        <v>0</v>
      </c>
      <c r="AD813" s="3" t="n">
        <v>0</v>
      </c>
      <c r="AE813" s="3" t="n">
        <v>1</v>
      </c>
      <c r="AF813" s="3" t="n">
        <v>0</v>
      </c>
      <c r="AG813" s="3" t="n">
        <v>0</v>
      </c>
      <c r="AH813" s="3" t="n">
        <v>0</v>
      </c>
      <c r="AI813" s="3" t="n">
        <v>0</v>
      </c>
      <c r="AJ813" s="4" t="n">
        <f aca="false">SUM(G813:AI813)</f>
        <v>8</v>
      </c>
      <c r="AK813" s="4" t="n">
        <f aca="false">ROUND(SUMPRODUCT(G813:AI813,Gene_Weights!$B$2:$AD$2),3)</f>
        <v>-6.07</v>
      </c>
      <c r="AL813" s="2" t="n">
        <v>2</v>
      </c>
      <c r="AM813" s="2" t="n">
        <v>1</v>
      </c>
      <c r="AN813" s="2" t="n">
        <v>50</v>
      </c>
      <c r="AO813" s="5" t="n">
        <v>64.53</v>
      </c>
      <c r="AP813" s="5" t="n">
        <v>66.13</v>
      </c>
      <c r="AQ813" s="5" t="n">
        <v>67.73</v>
      </c>
      <c r="AR813" s="5" t="n">
        <v>69.33</v>
      </c>
      <c r="AS813" s="5" t="n">
        <v>70.93</v>
      </c>
      <c r="AT813" s="5" t="n">
        <v>72.53</v>
      </c>
      <c r="AU813" s="5" t="n">
        <v>74.13</v>
      </c>
      <c r="AV813" s="5" t="s">
        <v>51</v>
      </c>
    </row>
    <row r="814" customFormat="false" ht="15" hidden="false" customHeight="false" outlineLevel="0" collapsed="false">
      <c r="A814" s="2" t="s">
        <v>191</v>
      </c>
      <c r="B814" s="2" t="n">
        <v>1999</v>
      </c>
      <c r="C814" s="2" t="s">
        <v>53</v>
      </c>
      <c r="D814" s="2" t="n">
        <v>1</v>
      </c>
      <c r="E814" s="2" t="n">
        <v>16</v>
      </c>
      <c r="F814" s="2" t="s">
        <v>50</v>
      </c>
      <c r="G814" s="3" t="n">
        <v>0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1</v>
      </c>
      <c r="M814" s="3" t="n">
        <v>0</v>
      </c>
      <c r="N814" s="3" t="n">
        <v>0</v>
      </c>
      <c r="O814" s="3" t="n">
        <v>0</v>
      </c>
      <c r="P814" s="3" t="n">
        <v>1</v>
      </c>
      <c r="Q814" s="3" t="n">
        <v>1</v>
      </c>
      <c r="R814" s="3" t="n">
        <v>0</v>
      </c>
      <c r="S814" s="3" t="n">
        <v>0</v>
      </c>
      <c r="T814" s="3" t="n">
        <v>1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1</v>
      </c>
      <c r="Z814" s="3" t="n">
        <v>0</v>
      </c>
      <c r="AA814" s="3" t="n">
        <v>1</v>
      </c>
      <c r="AB814" s="3" t="n">
        <v>0</v>
      </c>
      <c r="AC814" s="3" t="n">
        <v>0</v>
      </c>
      <c r="AD814" s="3" t="n">
        <v>0</v>
      </c>
      <c r="AE814" s="3" t="n">
        <v>1</v>
      </c>
      <c r="AF814" s="3" t="n">
        <v>0</v>
      </c>
      <c r="AG814" s="3" t="n">
        <v>0</v>
      </c>
      <c r="AH814" s="3" t="n">
        <v>0</v>
      </c>
      <c r="AI814" s="3" t="n">
        <v>0</v>
      </c>
      <c r="AJ814" s="4" t="n">
        <f aca="false">SUM(G814:AI814)</f>
        <v>8</v>
      </c>
      <c r="AK814" s="4" t="n">
        <f aca="false">ROUND(SUMPRODUCT(G814:AI814,Gene_Weights!$B$2:$AD$2),3)</f>
        <v>-6.07</v>
      </c>
      <c r="AL814" s="2" t="n">
        <v>2</v>
      </c>
      <c r="AM814" s="2" t="n">
        <v>1</v>
      </c>
      <c r="AN814" s="2" t="n">
        <v>50</v>
      </c>
      <c r="AO814" s="5" t="n">
        <v>52.86</v>
      </c>
      <c r="AP814" s="5" t="n">
        <v>53.65</v>
      </c>
      <c r="AQ814" s="5" t="n">
        <v>54.45</v>
      </c>
      <c r="AR814" s="5" t="n">
        <v>55.24</v>
      </c>
      <c r="AS814" s="5" t="n">
        <v>56.03</v>
      </c>
      <c r="AT814" s="5" t="n">
        <v>56.83</v>
      </c>
      <c r="AU814" s="5" t="n">
        <v>57.62</v>
      </c>
      <c r="AV814" s="5" t="s">
        <v>51</v>
      </c>
    </row>
    <row r="815" customFormat="false" ht="15" hidden="false" customHeight="false" outlineLevel="0" collapsed="false">
      <c r="A815" s="2" t="s">
        <v>191</v>
      </c>
      <c r="B815" s="2" t="n">
        <v>1999</v>
      </c>
      <c r="C815" s="2" t="s">
        <v>54</v>
      </c>
      <c r="D815" s="2" t="n">
        <v>1</v>
      </c>
      <c r="E815" s="2" t="n">
        <v>4</v>
      </c>
      <c r="F815" s="2" t="s">
        <v>50</v>
      </c>
      <c r="G815" s="3" t="n">
        <v>0</v>
      </c>
      <c r="H815" s="3" t="n">
        <v>1</v>
      </c>
      <c r="I815" s="3" t="n">
        <v>0</v>
      </c>
      <c r="J815" s="3" t="n">
        <v>0</v>
      </c>
      <c r="K815" s="3" t="n">
        <v>0</v>
      </c>
      <c r="L815" s="3" t="n">
        <v>1</v>
      </c>
      <c r="M815" s="3" t="n">
        <v>0</v>
      </c>
      <c r="N815" s="3" t="n">
        <v>0</v>
      </c>
      <c r="O815" s="3" t="n">
        <v>0</v>
      </c>
      <c r="P815" s="3" t="n">
        <v>1</v>
      </c>
      <c r="Q815" s="3" t="n">
        <v>1</v>
      </c>
      <c r="R815" s="3" t="n">
        <v>0</v>
      </c>
      <c r="S815" s="3" t="n">
        <v>0</v>
      </c>
      <c r="T815" s="3" t="n">
        <v>1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1</v>
      </c>
      <c r="Z815" s="3" t="n">
        <v>0</v>
      </c>
      <c r="AA815" s="3" t="n">
        <v>1</v>
      </c>
      <c r="AB815" s="3" t="n">
        <v>0</v>
      </c>
      <c r="AC815" s="3" t="n">
        <v>0</v>
      </c>
      <c r="AD815" s="3" t="n">
        <v>0</v>
      </c>
      <c r="AE815" s="3" t="n">
        <v>1</v>
      </c>
      <c r="AF815" s="3" t="n">
        <v>0</v>
      </c>
      <c r="AG815" s="3" t="n">
        <v>0</v>
      </c>
      <c r="AH815" s="3" t="n">
        <v>0</v>
      </c>
      <c r="AI815" s="3" t="n">
        <v>0</v>
      </c>
      <c r="AJ815" s="4" t="n">
        <f aca="false">SUM(G815:AI815)</f>
        <v>8</v>
      </c>
      <c r="AK815" s="4" t="n">
        <f aca="false">ROUND(SUMPRODUCT(G815:AI815,Gene_Weights!$B$2:$AD$2),3)</f>
        <v>-6.07</v>
      </c>
      <c r="AL815" s="2" t="n">
        <v>2</v>
      </c>
      <c r="AM815" s="2" t="n">
        <v>1</v>
      </c>
      <c r="AN815" s="2" t="n">
        <v>50</v>
      </c>
      <c r="AO815" s="5" t="n">
        <v>81.84</v>
      </c>
      <c r="AP815" s="5" t="n">
        <v>84.45</v>
      </c>
      <c r="AQ815" s="5" t="n">
        <v>87.06</v>
      </c>
      <c r="AR815" s="5" t="n">
        <v>89.67</v>
      </c>
      <c r="AS815" s="5" t="n">
        <v>92.27</v>
      </c>
      <c r="AT815" s="5" t="n">
        <v>94.88</v>
      </c>
      <c r="AU815" s="5" t="n">
        <v>97.49</v>
      </c>
      <c r="AV815" s="5" t="s">
        <v>51</v>
      </c>
    </row>
    <row r="816" customFormat="false" ht="15" hidden="false" customHeight="false" outlineLevel="0" collapsed="false">
      <c r="A816" s="2" t="s">
        <v>191</v>
      </c>
      <c r="B816" s="2" t="n">
        <v>1999</v>
      </c>
      <c r="C816" s="2" t="s">
        <v>55</v>
      </c>
      <c r="D816" s="2" t="n">
        <v>0</v>
      </c>
      <c r="E816" s="2" t="n">
        <v>16</v>
      </c>
      <c r="F816" s="2" t="s">
        <v>50</v>
      </c>
      <c r="G816" s="3" t="n">
        <v>0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1</v>
      </c>
      <c r="M816" s="3" t="n">
        <v>0</v>
      </c>
      <c r="N816" s="3" t="n">
        <v>0</v>
      </c>
      <c r="O816" s="3" t="n">
        <v>0</v>
      </c>
      <c r="P816" s="3" t="n">
        <v>1</v>
      </c>
      <c r="Q816" s="3" t="n">
        <v>1</v>
      </c>
      <c r="R816" s="3" t="n">
        <v>0</v>
      </c>
      <c r="S816" s="3" t="n">
        <v>0</v>
      </c>
      <c r="T816" s="3" t="n">
        <v>1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1</v>
      </c>
      <c r="Z816" s="3" t="n">
        <v>0</v>
      </c>
      <c r="AA816" s="3" t="n">
        <v>1</v>
      </c>
      <c r="AB816" s="3" t="n">
        <v>0</v>
      </c>
      <c r="AC816" s="3" t="n">
        <v>0</v>
      </c>
      <c r="AD816" s="3" t="n">
        <v>0</v>
      </c>
      <c r="AE816" s="3" t="n">
        <v>1</v>
      </c>
      <c r="AF816" s="3" t="n">
        <v>0</v>
      </c>
      <c r="AG816" s="3" t="n">
        <v>0</v>
      </c>
      <c r="AH816" s="3" t="n">
        <v>0</v>
      </c>
      <c r="AI816" s="3" t="n">
        <v>0</v>
      </c>
      <c r="AJ816" s="4" t="n">
        <f aca="false">SUM(G816:AI816)</f>
        <v>8</v>
      </c>
      <c r="AK816" s="4" t="n">
        <f aca="false">ROUND(SUMPRODUCT(G816:AI816,Gene_Weights!$B$2:$AD$2),3)</f>
        <v>-6.07</v>
      </c>
      <c r="AL816" s="2" t="n">
        <v>2</v>
      </c>
      <c r="AM816" s="2" t="n">
        <v>0</v>
      </c>
      <c r="AN816" s="2" t="n">
        <v>0</v>
      </c>
      <c r="AO816" s="5" t="n">
        <v>58.19</v>
      </c>
      <c r="AP816" s="5" t="n">
        <v>59.74</v>
      </c>
      <c r="AQ816" s="5" t="n">
        <v>61.3</v>
      </c>
      <c r="AR816" s="5" t="n">
        <v>62.86</v>
      </c>
      <c r="AS816" s="5" t="n">
        <v>64.42</v>
      </c>
      <c r="AT816" s="5" t="n">
        <v>65.98</v>
      </c>
      <c r="AU816" s="5" t="n">
        <v>67.53</v>
      </c>
      <c r="AV816" s="5" t="s">
        <v>51</v>
      </c>
    </row>
    <row r="817" customFormat="false" ht="15" hidden="false" customHeight="false" outlineLevel="0" collapsed="false">
      <c r="A817" s="2" t="s">
        <v>191</v>
      </c>
      <c r="B817" s="2" t="n">
        <v>1999</v>
      </c>
      <c r="C817" s="2" t="s">
        <v>56</v>
      </c>
      <c r="D817" s="2" t="n">
        <v>0</v>
      </c>
      <c r="E817" s="2" t="n">
        <v>4</v>
      </c>
      <c r="F817" s="2" t="s">
        <v>50</v>
      </c>
      <c r="G817" s="3" t="n">
        <v>0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1</v>
      </c>
      <c r="M817" s="3" t="n">
        <v>0</v>
      </c>
      <c r="N817" s="3" t="n">
        <v>0</v>
      </c>
      <c r="O817" s="3" t="n">
        <v>0</v>
      </c>
      <c r="P817" s="3" t="n">
        <v>1</v>
      </c>
      <c r="Q817" s="3" t="n">
        <v>1</v>
      </c>
      <c r="R817" s="3" t="n">
        <v>0</v>
      </c>
      <c r="S817" s="3" t="n">
        <v>0</v>
      </c>
      <c r="T817" s="3" t="n">
        <v>1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1</v>
      </c>
      <c r="Z817" s="3" t="n">
        <v>0</v>
      </c>
      <c r="AA817" s="3" t="n">
        <v>1</v>
      </c>
      <c r="AB817" s="3" t="n">
        <v>0</v>
      </c>
      <c r="AC817" s="3" t="n">
        <v>0</v>
      </c>
      <c r="AD817" s="3" t="n">
        <v>0</v>
      </c>
      <c r="AE817" s="3" t="n">
        <v>1</v>
      </c>
      <c r="AF817" s="3" t="n">
        <v>0</v>
      </c>
      <c r="AG817" s="3" t="n">
        <v>0</v>
      </c>
      <c r="AH817" s="3" t="n">
        <v>0</v>
      </c>
      <c r="AI817" s="3" t="n">
        <v>0</v>
      </c>
      <c r="AJ817" s="4" t="n">
        <f aca="false">SUM(G817:AI817)</f>
        <v>8</v>
      </c>
      <c r="AK817" s="4" t="n">
        <f aca="false">ROUND(SUMPRODUCT(G817:AI817,Gene_Weights!$B$2:$AD$2),3)</f>
        <v>-6.07</v>
      </c>
      <c r="AL817" s="2" t="n">
        <v>2</v>
      </c>
      <c r="AM817" s="2" t="n">
        <v>0</v>
      </c>
      <c r="AN817" s="2" t="n">
        <v>0</v>
      </c>
      <c r="AO817" s="5" t="n">
        <v>75.59</v>
      </c>
      <c r="AP817" s="5" t="n">
        <v>78.01</v>
      </c>
      <c r="AQ817" s="5" t="n">
        <v>80.42</v>
      </c>
      <c r="AR817" s="5" t="n">
        <v>82.83</v>
      </c>
      <c r="AS817" s="5" t="n">
        <v>85.24</v>
      </c>
      <c r="AT817" s="5" t="n">
        <v>87.66</v>
      </c>
      <c r="AU817" s="5" t="n">
        <v>90.07</v>
      </c>
      <c r="AV817" s="5" t="s">
        <v>51</v>
      </c>
    </row>
    <row r="818" customFormat="false" ht="15" hidden="false" customHeight="false" outlineLevel="0" collapsed="false">
      <c r="A818" s="2" t="s">
        <v>192</v>
      </c>
      <c r="B818" s="2" t="n">
        <v>2009</v>
      </c>
      <c r="C818" s="2" t="s">
        <v>49</v>
      </c>
      <c r="D818" s="2" t="n">
        <v>0</v>
      </c>
      <c r="E818" s="2" t="n">
        <v>4</v>
      </c>
      <c r="F818" s="2" t="s">
        <v>50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1</v>
      </c>
      <c r="P818" s="3" t="n">
        <v>0</v>
      </c>
      <c r="Q818" s="3" t="n">
        <v>1</v>
      </c>
      <c r="R818" s="3" t="n">
        <v>0</v>
      </c>
      <c r="S818" s="3" t="n">
        <v>0</v>
      </c>
      <c r="T818" s="3" t="n">
        <v>0</v>
      </c>
      <c r="U818" s="3" t="n">
        <v>1</v>
      </c>
      <c r="V818" s="3" t="n">
        <v>1</v>
      </c>
      <c r="W818" s="3" t="n">
        <v>0</v>
      </c>
      <c r="X818" s="3" t="n">
        <v>0</v>
      </c>
      <c r="Y818" s="3" t="n">
        <v>0</v>
      </c>
      <c r="Z818" s="3" t="n">
        <v>1</v>
      </c>
      <c r="AA818" s="3" t="n">
        <v>0</v>
      </c>
      <c r="AB818" s="3" t="n">
        <v>1</v>
      </c>
      <c r="AC818" s="3" t="n">
        <v>0</v>
      </c>
      <c r="AD818" s="3" t="n">
        <v>1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4" t="n">
        <f aca="false">SUM(G818:AI818)</f>
        <v>7</v>
      </c>
      <c r="AK818" s="4" t="n">
        <f aca="false">ROUND(SUMPRODUCT(G818:AI818,Gene_Weights!$B$2:$AD$2),3)</f>
        <v>-4.69</v>
      </c>
      <c r="AL818" s="2" t="n">
        <v>12</v>
      </c>
      <c r="AM818" s="2" t="n">
        <v>4</v>
      </c>
      <c r="AN818" s="2" t="n">
        <v>33.33</v>
      </c>
      <c r="AO818" s="5" t="n">
        <v>55.12</v>
      </c>
      <c r="AP818" s="5" t="n">
        <v>56.02</v>
      </c>
      <c r="AQ818" s="5" t="n">
        <v>56.92</v>
      </c>
      <c r="AR818" s="5" t="n">
        <v>57.82</v>
      </c>
      <c r="AS818" s="5" t="n">
        <v>58.72</v>
      </c>
      <c r="AT818" s="5" t="n">
        <v>59.62</v>
      </c>
      <c r="AU818" s="5" t="n">
        <v>60.52</v>
      </c>
      <c r="AV818" s="5" t="s">
        <v>51</v>
      </c>
    </row>
    <row r="819" customFormat="false" ht="15" hidden="false" customHeight="false" outlineLevel="0" collapsed="false">
      <c r="A819" s="2" t="s">
        <v>192</v>
      </c>
      <c r="B819" s="2" t="n">
        <v>2009</v>
      </c>
      <c r="C819" s="2" t="s">
        <v>52</v>
      </c>
      <c r="D819" s="2" t="n">
        <v>0</v>
      </c>
      <c r="E819" s="2" t="n">
        <v>32</v>
      </c>
      <c r="F819" s="2" t="s">
        <v>50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1</v>
      </c>
      <c r="P819" s="3" t="n">
        <v>0</v>
      </c>
      <c r="Q819" s="3" t="n">
        <v>1</v>
      </c>
      <c r="R819" s="3" t="n">
        <v>0</v>
      </c>
      <c r="S819" s="3" t="n">
        <v>0</v>
      </c>
      <c r="T819" s="3" t="n">
        <v>0</v>
      </c>
      <c r="U819" s="3" t="n">
        <v>1</v>
      </c>
      <c r="V819" s="3" t="n">
        <v>1</v>
      </c>
      <c r="W819" s="3" t="n">
        <v>0</v>
      </c>
      <c r="X819" s="3" t="n">
        <v>0</v>
      </c>
      <c r="Y819" s="3" t="n">
        <v>0</v>
      </c>
      <c r="Z819" s="3" t="n">
        <v>1</v>
      </c>
      <c r="AA819" s="3" t="n">
        <v>0</v>
      </c>
      <c r="AB819" s="3" t="n">
        <v>1</v>
      </c>
      <c r="AC819" s="3" t="n">
        <v>0</v>
      </c>
      <c r="AD819" s="3" t="n">
        <v>1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4" t="n">
        <f aca="false">SUM(G819:AI819)</f>
        <v>7</v>
      </c>
      <c r="AK819" s="4" t="n">
        <f aca="false">ROUND(SUMPRODUCT(G819:AI819,Gene_Weights!$B$2:$AD$2),3)</f>
        <v>-4.69</v>
      </c>
      <c r="AL819" s="2" t="n">
        <v>12</v>
      </c>
      <c r="AM819" s="2" t="n">
        <v>3</v>
      </c>
      <c r="AN819" s="2" t="n">
        <v>25</v>
      </c>
      <c r="AO819" s="5" t="n">
        <v>64.53</v>
      </c>
      <c r="AP819" s="5" t="n">
        <v>66.13</v>
      </c>
      <c r="AQ819" s="5" t="n">
        <v>67.73</v>
      </c>
      <c r="AR819" s="5" t="n">
        <v>69.33</v>
      </c>
      <c r="AS819" s="5" t="n">
        <v>70.93</v>
      </c>
      <c r="AT819" s="5" t="n">
        <v>72.53</v>
      </c>
      <c r="AU819" s="5" t="n">
        <v>74.13</v>
      </c>
      <c r="AV819" s="5" t="s">
        <v>51</v>
      </c>
    </row>
    <row r="820" customFormat="false" ht="15" hidden="false" customHeight="false" outlineLevel="0" collapsed="false">
      <c r="A820" s="2" t="s">
        <v>192</v>
      </c>
      <c r="B820" s="2" t="n">
        <v>2009</v>
      </c>
      <c r="C820" s="2" t="s">
        <v>53</v>
      </c>
      <c r="D820" s="2" t="n">
        <v>1</v>
      </c>
      <c r="E820" s="2" t="n">
        <v>16</v>
      </c>
      <c r="F820" s="2" t="s">
        <v>50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1</v>
      </c>
      <c r="P820" s="3" t="n">
        <v>0</v>
      </c>
      <c r="Q820" s="3" t="n">
        <v>1</v>
      </c>
      <c r="R820" s="3" t="n">
        <v>0</v>
      </c>
      <c r="S820" s="3" t="n">
        <v>0</v>
      </c>
      <c r="T820" s="3" t="n">
        <v>0</v>
      </c>
      <c r="U820" s="3" t="n">
        <v>1</v>
      </c>
      <c r="V820" s="3" t="n">
        <v>1</v>
      </c>
      <c r="W820" s="3" t="n">
        <v>0</v>
      </c>
      <c r="X820" s="3" t="n">
        <v>0</v>
      </c>
      <c r="Y820" s="3" t="n">
        <v>0</v>
      </c>
      <c r="Z820" s="3" t="n">
        <v>1</v>
      </c>
      <c r="AA820" s="3" t="n">
        <v>0</v>
      </c>
      <c r="AB820" s="3" t="n">
        <v>1</v>
      </c>
      <c r="AC820" s="3" t="n">
        <v>0</v>
      </c>
      <c r="AD820" s="3" t="n">
        <v>1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4" t="n">
        <f aca="false">SUM(G820:AI820)</f>
        <v>7</v>
      </c>
      <c r="AK820" s="4" t="n">
        <f aca="false">ROUND(SUMPRODUCT(G820:AI820,Gene_Weights!$B$2:$AD$2),3)</f>
        <v>-4.69</v>
      </c>
      <c r="AL820" s="2" t="n">
        <v>12</v>
      </c>
      <c r="AM820" s="2" t="n">
        <v>9</v>
      </c>
      <c r="AN820" s="2" t="n">
        <v>75</v>
      </c>
      <c r="AO820" s="5" t="n">
        <v>52.86</v>
      </c>
      <c r="AP820" s="5" t="n">
        <v>53.65</v>
      </c>
      <c r="AQ820" s="5" t="n">
        <v>54.45</v>
      </c>
      <c r="AR820" s="5" t="n">
        <v>55.24</v>
      </c>
      <c r="AS820" s="5" t="n">
        <v>56.03</v>
      </c>
      <c r="AT820" s="5" t="n">
        <v>56.83</v>
      </c>
      <c r="AU820" s="5" t="n">
        <v>57.62</v>
      </c>
      <c r="AV820" s="5" t="s">
        <v>51</v>
      </c>
    </row>
    <row r="821" customFormat="false" ht="15" hidden="false" customHeight="false" outlineLevel="0" collapsed="false">
      <c r="A821" s="2" t="s">
        <v>192</v>
      </c>
      <c r="B821" s="2" t="n">
        <v>2009</v>
      </c>
      <c r="C821" s="2" t="s">
        <v>54</v>
      </c>
      <c r="D821" s="2" t="n">
        <v>0</v>
      </c>
      <c r="E821" s="2" t="n">
        <v>16</v>
      </c>
      <c r="F821" s="2" t="s">
        <v>50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1</v>
      </c>
      <c r="P821" s="3" t="n">
        <v>0</v>
      </c>
      <c r="Q821" s="3" t="n">
        <v>1</v>
      </c>
      <c r="R821" s="3" t="n">
        <v>0</v>
      </c>
      <c r="S821" s="3" t="n">
        <v>0</v>
      </c>
      <c r="T821" s="3" t="n">
        <v>0</v>
      </c>
      <c r="U821" s="3" t="n">
        <v>1</v>
      </c>
      <c r="V821" s="3" t="n">
        <v>1</v>
      </c>
      <c r="W821" s="3" t="n">
        <v>0</v>
      </c>
      <c r="X821" s="3" t="n">
        <v>0</v>
      </c>
      <c r="Y821" s="3" t="n">
        <v>0</v>
      </c>
      <c r="Z821" s="3" t="n">
        <v>1</v>
      </c>
      <c r="AA821" s="3" t="n">
        <v>0</v>
      </c>
      <c r="AB821" s="3" t="n">
        <v>1</v>
      </c>
      <c r="AC821" s="3" t="n">
        <v>0</v>
      </c>
      <c r="AD821" s="3" t="n">
        <v>1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4" t="n">
        <f aca="false">SUM(G821:AI821)</f>
        <v>7</v>
      </c>
      <c r="AK821" s="4" t="n">
        <f aca="false">ROUND(SUMPRODUCT(G821:AI821,Gene_Weights!$B$2:$AD$2),3)</f>
        <v>-4.69</v>
      </c>
      <c r="AL821" s="2" t="n">
        <v>12</v>
      </c>
      <c r="AM821" s="2" t="n">
        <v>8</v>
      </c>
      <c r="AN821" s="2" t="n">
        <v>66.67</v>
      </c>
      <c r="AO821" s="5" t="n">
        <v>81.84</v>
      </c>
      <c r="AP821" s="5" t="n">
        <v>84.45</v>
      </c>
      <c r="AQ821" s="5" t="n">
        <v>87.06</v>
      </c>
      <c r="AR821" s="5" t="n">
        <v>89.67</v>
      </c>
      <c r="AS821" s="5" t="n">
        <v>92.27</v>
      </c>
      <c r="AT821" s="5" t="n">
        <v>94.88</v>
      </c>
      <c r="AU821" s="5" t="n">
        <v>97.49</v>
      </c>
      <c r="AV821" s="5" t="s">
        <v>51</v>
      </c>
    </row>
    <row r="822" customFormat="false" ht="15" hidden="false" customHeight="false" outlineLevel="0" collapsed="false">
      <c r="A822" s="2" t="s">
        <v>192</v>
      </c>
      <c r="B822" s="2" t="n">
        <v>2009</v>
      </c>
      <c r="C822" s="2" t="s">
        <v>55</v>
      </c>
      <c r="D822" s="2" t="n">
        <v>0</v>
      </c>
      <c r="E822" s="2" t="n">
        <v>32</v>
      </c>
      <c r="F822" s="2" t="s">
        <v>50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1</v>
      </c>
      <c r="P822" s="3" t="n">
        <v>0</v>
      </c>
      <c r="Q822" s="3" t="n">
        <v>1</v>
      </c>
      <c r="R822" s="3" t="n">
        <v>0</v>
      </c>
      <c r="S822" s="3" t="n">
        <v>0</v>
      </c>
      <c r="T822" s="3" t="n">
        <v>0</v>
      </c>
      <c r="U822" s="3" t="n">
        <v>1</v>
      </c>
      <c r="V822" s="3" t="n">
        <v>1</v>
      </c>
      <c r="W822" s="3" t="n">
        <v>0</v>
      </c>
      <c r="X822" s="3" t="n">
        <v>0</v>
      </c>
      <c r="Y822" s="3" t="n">
        <v>0</v>
      </c>
      <c r="Z822" s="3" t="n">
        <v>1</v>
      </c>
      <c r="AA822" s="3" t="n">
        <v>0</v>
      </c>
      <c r="AB822" s="3" t="n">
        <v>1</v>
      </c>
      <c r="AC822" s="3" t="n">
        <v>0</v>
      </c>
      <c r="AD822" s="3" t="n">
        <v>1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4" t="n">
        <f aca="false">SUM(G822:AI822)</f>
        <v>7</v>
      </c>
      <c r="AK822" s="4" t="n">
        <f aca="false">ROUND(SUMPRODUCT(G822:AI822,Gene_Weights!$B$2:$AD$2),3)</f>
        <v>-4.69</v>
      </c>
      <c r="AL822" s="2" t="n">
        <v>12</v>
      </c>
      <c r="AM822" s="2" t="n">
        <v>2</v>
      </c>
      <c r="AN822" s="2" t="n">
        <v>16.67</v>
      </c>
      <c r="AO822" s="5" t="n">
        <v>58.19</v>
      </c>
      <c r="AP822" s="5" t="n">
        <v>59.74</v>
      </c>
      <c r="AQ822" s="5" t="n">
        <v>61.3</v>
      </c>
      <c r="AR822" s="5" t="n">
        <v>62.86</v>
      </c>
      <c r="AS822" s="5" t="n">
        <v>64.42</v>
      </c>
      <c r="AT822" s="5" t="n">
        <v>65.98</v>
      </c>
      <c r="AU822" s="5" t="n">
        <v>67.53</v>
      </c>
      <c r="AV822" s="5" t="s">
        <v>51</v>
      </c>
    </row>
    <row r="823" customFormat="false" ht="15" hidden="false" customHeight="false" outlineLevel="0" collapsed="false">
      <c r="A823" s="2" t="s">
        <v>192</v>
      </c>
      <c r="B823" s="2" t="n">
        <v>2009</v>
      </c>
      <c r="C823" s="2" t="s">
        <v>56</v>
      </c>
      <c r="D823" s="2" t="n">
        <v>0</v>
      </c>
      <c r="E823" s="2" t="n">
        <v>4</v>
      </c>
      <c r="F823" s="2" t="s">
        <v>50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1</v>
      </c>
      <c r="P823" s="3" t="n">
        <v>0</v>
      </c>
      <c r="Q823" s="3" t="n">
        <v>1</v>
      </c>
      <c r="R823" s="3" t="n">
        <v>0</v>
      </c>
      <c r="S823" s="3" t="n">
        <v>0</v>
      </c>
      <c r="T823" s="3" t="n">
        <v>0</v>
      </c>
      <c r="U823" s="3" t="n">
        <v>1</v>
      </c>
      <c r="V823" s="3" t="n">
        <v>1</v>
      </c>
      <c r="W823" s="3" t="n">
        <v>0</v>
      </c>
      <c r="X823" s="3" t="n">
        <v>0</v>
      </c>
      <c r="Y823" s="3" t="n">
        <v>0</v>
      </c>
      <c r="Z823" s="3" t="n">
        <v>1</v>
      </c>
      <c r="AA823" s="3" t="n">
        <v>0</v>
      </c>
      <c r="AB823" s="3" t="n">
        <v>1</v>
      </c>
      <c r="AC823" s="3" t="n">
        <v>0</v>
      </c>
      <c r="AD823" s="3" t="n">
        <v>1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4" t="n">
        <f aca="false">SUM(G823:AI823)</f>
        <v>7</v>
      </c>
      <c r="AK823" s="4" t="n">
        <f aca="false">ROUND(SUMPRODUCT(G823:AI823,Gene_Weights!$B$2:$AD$2),3)</f>
        <v>-4.69</v>
      </c>
      <c r="AL823" s="2" t="n">
        <v>12</v>
      </c>
      <c r="AM823" s="2" t="n">
        <v>4</v>
      </c>
      <c r="AN823" s="2" t="n">
        <v>33.33</v>
      </c>
      <c r="AO823" s="5" t="n">
        <v>75.59</v>
      </c>
      <c r="AP823" s="5" t="n">
        <v>78.01</v>
      </c>
      <c r="AQ823" s="5" t="n">
        <v>80.42</v>
      </c>
      <c r="AR823" s="5" t="n">
        <v>82.83</v>
      </c>
      <c r="AS823" s="5" t="n">
        <v>85.24</v>
      </c>
      <c r="AT823" s="5" t="n">
        <v>87.66</v>
      </c>
      <c r="AU823" s="5" t="n">
        <v>90.07</v>
      </c>
      <c r="AV823" s="5" t="s">
        <v>51</v>
      </c>
    </row>
    <row r="824" customFormat="false" ht="15" hidden="false" customHeight="false" outlineLevel="0" collapsed="false">
      <c r="A824" s="2" t="s">
        <v>193</v>
      </c>
      <c r="B824" s="2" t="n">
        <v>2023</v>
      </c>
      <c r="C824" s="2" t="s">
        <v>49</v>
      </c>
      <c r="D824" s="2" t="n">
        <v>1</v>
      </c>
      <c r="E824" s="2" t="n">
        <v>16</v>
      </c>
      <c r="F824" s="2" t="s">
        <v>50</v>
      </c>
      <c r="G824" s="3" t="n">
        <v>1</v>
      </c>
      <c r="H824" s="3" t="n">
        <v>0</v>
      </c>
      <c r="I824" s="3" t="n">
        <v>0</v>
      </c>
      <c r="J824" s="3" t="n">
        <v>0</v>
      </c>
      <c r="K824" s="3" t="n">
        <v>1</v>
      </c>
      <c r="L824" s="3" t="n">
        <v>0</v>
      </c>
      <c r="M824" s="3" t="n">
        <v>1</v>
      </c>
      <c r="N824" s="3" t="n">
        <v>0</v>
      </c>
      <c r="O824" s="3" t="n">
        <v>0</v>
      </c>
      <c r="P824" s="3" t="n">
        <v>0</v>
      </c>
      <c r="Q824" s="3" t="n">
        <v>1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1</v>
      </c>
      <c r="X824" s="3" t="n">
        <v>0</v>
      </c>
      <c r="Y824" s="3" t="n">
        <v>1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1</v>
      </c>
      <c r="AE824" s="3" t="n">
        <v>0</v>
      </c>
      <c r="AF824" s="3" t="n">
        <v>0</v>
      </c>
      <c r="AG824" s="3" t="n">
        <v>1</v>
      </c>
      <c r="AH824" s="3" t="n">
        <v>0</v>
      </c>
      <c r="AI824" s="3" t="n">
        <v>1</v>
      </c>
      <c r="AJ824" s="4" t="n">
        <f aca="false">SUM(G824:AI824)</f>
        <v>9</v>
      </c>
      <c r="AK824" s="4" t="n">
        <f aca="false">ROUND(SUMPRODUCT(G824:AI824,Gene_Weights!$B$2:$AD$2),3)</f>
        <v>-8.3</v>
      </c>
      <c r="AL824" s="2" t="n">
        <v>9</v>
      </c>
      <c r="AM824" s="2" t="n">
        <v>5</v>
      </c>
      <c r="AN824" s="2" t="n">
        <v>55.56</v>
      </c>
      <c r="AO824" s="5" t="n">
        <v>55.12</v>
      </c>
      <c r="AP824" s="5" t="n">
        <v>56.02</v>
      </c>
      <c r="AQ824" s="5" t="n">
        <v>56.92</v>
      </c>
      <c r="AR824" s="5" t="n">
        <v>57.82</v>
      </c>
      <c r="AS824" s="5" t="n">
        <v>58.72</v>
      </c>
      <c r="AT824" s="5" t="n">
        <v>59.62</v>
      </c>
      <c r="AU824" s="5" t="n">
        <v>60.52</v>
      </c>
      <c r="AV824" s="5" t="s">
        <v>51</v>
      </c>
    </row>
    <row r="825" customFormat="false" ht="15" hidden="false" customHeight="false" outlineLevel="0" collapsed="false">
      <c r="A825" s="2" t="s">
        <v>193</v>
      </c>
      <c r="B825" s="2" t="n">
        <v>2023</v>
      </c>
      <c r="C825" s="2" t="s">
        <v>52</v>
      </c>
      <c r="D825" s="2" t="n">
        <v>1</v>
      </c>
      <c r="E825" s="2" t="n">
        <v>4</v>
      </c>
      <c r="F825" s="2" t="s">
        <v>50</v>
      </c>
      <c r="G825" s="3" t="n">
        <v>1</v>
      </c>
      <c r="H825" s="3" t="n">
        <v>0</v>
      </c>
      <c r="I825" s="3" t="n">
        <v>0</v>
      </c>
      <c r="J825" s="3" t="n">
        <v>0</v>
      </c>
      <c r="K825" s="3" t="n">
        <v>1</v>
      </c>
      <c r="L825" s="3" t="n">
        <v>0</v>
      </c>
      <c r="M825" s="3" t="n">
        <v>1</v>
      </c>
      <c r="N825" s="3" t="n">
        <v>0</v>
      </c>
      <c r="O825" s="3" t="n">
        <v>0</v>
      </c>
      <c r="P825" s="3" t="n">
        <v>0</v>
      </c>
      <c r="Q825" s="3" t="n">
        <v>1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1</v>
      </c>
      <c r="X825" s="3" t="n">
        <v>0</v>
      </c>
      <c r="Y825" s="3" t="n">
        <v>1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1</v>
      </c>
      <c r="AE825" s="3" t="n">
        <v>0</v>
      </c>
      <c r="AF825" s="3" t="n">
        <v>0</v>
      </c>
      <c r="AG825" s="3" t="n">
        <v>1</v>
      </c>
      <c r="AH825" s="3" t="n">
        <v>0</v>
      </c>
      <c r="AI825" s="3" t="n">
        <v>1</v>
      </c>
      <c r="AJ825" s="4" t="n">
        <f aca="false">SUM(G825:AI825)</f>
        <v>9</v>
      </c>
      <c r="AK825" s="4" t="n">
        <f aca="false">ROUND(SUMPRODUCT(G825:AI825,Gene_Weights!$B$2:$AD$2),3)</f>
        <v>-8.3</v>
      </c>
      <c r="AL825" s="2" t="n">
        <v>9</v>
      </c>
      <c r="AM825" s="2" t="n">
        <v>7</v>
      </c>
      <c r="AN825" s="2" t="n">
        <v>77.78</v>
      </c>
      <c r="AO825" s="5" t="n">
        <v>64.53</v>
      </c>
      <c r="AP825" s="5" t="n">
        <v>66.13</v>
      </c>
      <c r="AQ825" s="5" t="n">
        <v>67.73</v>
      </c>
      <c r="AR825" s="5" t="n">
        <v>69.33</v>
      </c>
      <c r="AS825" s="5" t="n">
        <v>70.93</v>
      </c>
      <c r="AT825" s="5" t="n">
        <v>72.53</v>
      </c>
      <c r="AU825" s="5" t="n">
        <v>74.13</v>
      </c>
      <c r="AV825" s="5" t="s">
        <v>51</v>
      </c>
    </row>
    <row r="826" customFormat="false" ht="15" hidden="false" customHeight="false" outlineLevel="0" collapsed="false">
      <c r="A826" s="2" t="s">
        <v>193</v>
      </c>
      <c r="B826" s="2" t="n">
        <v>2023</v>
      </c>
      <c r="C826" s="2" t="s">
        <v>53</v>
      </c>
      <c r="D826" s="2" t="n">
        <v>1</v>
      </c>
      <c r="E826" s="2" t="n">
        <v>4</v>
      </c>
      <c r="F826" s="2" t="s">
        <v>50</v>
      </c>
      <c r="G826" s="3" t="n">
        <v>1</v>
      </c>
      <c r="H826" s="3" t="n">
        <v>0</v>
      </c>
      <c r="I826" s="3" t="n">
        <v>0</v>
      </c>
      <c r="J826" s="3" t="n">
        <v>0</v>
      </c>
      <c r="K826" s="3" t="n">
        <v>1</v>
      </c>
      <c r="L826" s="3" t="n">
        <v>0</v>
      </c>
      <c r="M826" s="3" t="n">
        <v>1</v>
      </c>
      <c r="N826" s="3" t="n">
        <v>0</v>
      </c>
      <c r="O826" s="3" t="n">
        <v>0</v>
      </c>
      <c r="P826" s="3" t="n">
        <v>0</v>
      </c>
      <c r="Q826" s="3" t="n">
        <v>1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1</v>
      </c>
      <c r="X826" s="3" t="n">
        <v>0</v>
      </c>
      <c r="Y826" s="3" t="n">
        <v>1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1</v>
      </c>
      <c r="AE826" s="3" t="n">
        <v>0</v>
      </c>
      <c r="AF826" s="3" t="n">
        <v>0</v>
      </c>
      <c r="AG826" s="3" t="n">
        <v>1</v>
      </c>
      <c r="AH826" s="3" t="n">
        <v>0</v>
      </c>
      <c r="AI826" s="3" t="n">
        <v>1</v>
      </c>
      <c r="AJ826" s="4" t="n">
        <f aca="false">SUM(G826:AI826)</f>
        <v>9</v>
      </c>
      <c r="AK826" s="4" t="n">
        <f aca="false">ROUND(SUMPRODUCT(G826:AI826,Gene_Weights!$B$2:$AD$2),3)</f>
        <v>-8.3</v>
      </c>
      <c r="AL826" s="2" t="n">
        <v>9</v>
      </c>
      <c r="AM826" s="2" t="n">
        <v>5</v>
      </c>
      <c r="AN826" s="2" t="n">
        <v>55.56</v>
      </c>
      <c r="AO826" s="5" t="n">
        <v>52.86</v>
      </c>
      <c r="AP826" s="5" t="n">
        <v>53.65</v>
      </c>
      <c r="AQ826" s="5" t="n">
        <v>54.45</v>
      </c>
      <c r="AR826" s="5" t="n">
        <v>55.24</v>
      </c>
      <c r="AS826" s="5" t="n">
        <v>56.03</v>
      </c>
      <c r="AT826" s="5" t="n">
        <v>56.83</v>
      </c>
      <c r="AU826" s="5" t="n">
        <v>57.62</v>
      </c>
      <c r="AV826" s="5" t="s">
        <v>51</v>
      </c>
    </row>
    <row r="827" customFormat="false" ht="15" hidden="false" customHeight="false" outlineLevel="0" collapsed="false">
      <c r="A827" s="2" t="s">
        <v>193</v>
      </c>
      <c r="B827" s="2" t="n">
        <v>2023</v>
      </c>
      <c r="C827" s="2" t="s">
        <v>54</v>
      </c>
      <c r="D827" s="2" t="n">
        <v>1</v>
      </c>
      <c r="E827" s="2" t="n">
        <v>16</v>
      </c>
      <c r="F827" s="2" t="s">
        <v>50</v>
      </c>
      <c r="G827" s="3" t="n">
        <v>1</v>
      </c>
      <c r="H827" s="3" t="n">
        <v>0</v>
      </c>
      <c r="I827" s="3" t="n">
        <v>0</v>
      </c>
      <c r="J827" s="3" t="n">
        <v>0</v>
      </c>
      <c r="K827" s="3" t="n">
        <v>1</v>
      </c>
      <c r="L827" s="3" t="n">
        <v>0</v>
      </c>
      <c r="M827" s="3" t="n">
        <v>1</v>
      </c>
      <c r="N827" s="3" t="n">
        <v>0</v>
      </c>
      <c r="O827" s="3" t="n">
        <v>0</v>
      </c>
      <c r="P827" s="3" t="n">
        <v>0</v>
      </c>
      <c r="Q827" s="3" t="n">
        <v>1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1</v>
      </c>
      <c r="X827" s="3" t="n">
        <v>0</v>
      </c>
      <c r="Y827" s="3" t="n">
        <v>1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1</v>
      </c>
      <c r="AE827" s="3" t="n">
        <v>0</v>
      </c>
      <c r="AF827" s="3" t="n">
        <v>0</v>
      </c>
      <c r="AG827" s="3" t="n">
        <v>1</v>
      </c>
      <c r="AH827" s="3" t="n">
        <v>0</v>
      </c>
      <c r="AI827" s="3" t="n">
        <v>1</v>
      </c>
      <c r="AJ827" s="4" t="n">
        <f aca="false">SUM(G827:AI827)</f>
        <v>9</v>
      </c>
      <c r="AK827" s="4" t="n">
        <f aca="false">ROUND(SUMPRODUCT(G827:AI827,Gene_Weights!$B$2:$AD$2),3)</f>
        <v>-8.3</v>
      </c>
      <c r="AL827" s="2" t="n">
        <v>9</v>
      </c>
      <c r="AM827" s="2" t="n">
        <v>7</v>
      </c>
      <c r="AN827" s="2" t="n">
        <v>77.78</v>
      </c>
      <c r="AO827" s="5" t="n">
        <v>81.84</v>
      </c>
      <c r="AP827" s="5" t="n">
        <v>84.45</v>
      </c>
      <c r="AQ827" s="5" t="n">
        <v>87.06</v>
      </c>
      <c r="AR827" s="5" t="n">
        <v>89.67</v>
      </c>
      <c r="AS827" s="5" t="n">
        <v>92.27</v>
      </c>
      <c r="AT827" s="5" t="n">
        <v>94.88</v>
      </c>
      <c r="AU827" s="5" t="n">
        <v>97.49</v>
      </c>
      <c r="AV827" s="5" t="s">
        <v>51</v>
      </c>
    </row>
    <row r="828" customFormat="false" ht="15" hidden="false" customHeight="false" outlineLevel="0" collapsed="false">
      <c r="A828" s="2" t="s">
        <v>193</v>
      </c>
      <c r="B828" s="2" t="n">
        <v>2023</v>
      </c>
      <c r="C828" s="2" t="s">
        <v>55</v>
      </c>
      <c r="D828" s="2" t="n">
        <v>0</v>
      </c>
      <c r="E828" s="2" t="n">
        <v>2</v>
      </c>
      <c r="F828" s="2" t="s">
        <v>50</v>
      </c>
      <c r="G828" s="3" t="n">
        <v>1</v>
      </c>
      <c r="H828" s="3" t="n">
        <v>0</v>
      </c>
      <c r="I828" s="3" t="n">
        <v>0</v>
      </c>
      <c r="J828" s="3" t="n">
        <v>0</v>
      </c>
      <c r="K828" s="3" t="n">
        <v>1</v>
      </c>
      <c r="L828" s="3" t="n">
        <v>0</v>
      </c>
      <c r="M828" s="3" t="n">
        <v>1</v>
      </c>
      <c r="N828" s="3" t="n">
        <v>0</v>
      </c>
      <c r="O828" s="3" t="n">
        <v>0</v>
      </c>
      <c r="P828" s="3" t="n">
        <v>0</v>
      </c>
      <c r="Q828" s="3" t="n">
        <v>1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1</v>
      </c>
      <c r="X828" s="3" t="n">
        <v>0</v>
      </c>
      <c r="Y828" s="3" t="n">
        <v>1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1</v>
      </c>
      <c r="AE828" s="3" t="n">
        <v>0</v>
      </c>
      <c r="AF828" s="3" t="n">
        <v>0</v>
      </c>
      <c r="AG828" s="3" t="n">
        <v>1</v>
      </c>
      <c r="AH828" s="3" t="n">
        <v>0</v>
      </c>
      <c r="AI828" s="3" t="n">
        <v>1</v>
      </c>
      <c r="AJ828" s="4" t="n">
        <f aca="false">SUM(G828:AI828)</f>
        <v>9</v>
      </c>
      <c r="AK828" s="4" t="n">
        <f aca="false">ROUND(SUMPRODUCT(G828:AI828,Gene_Weights!$B$2:$AD$2),3)</f>
        <v>-8.3</v>
      </c>
      <c r="AL828" s="2" t="n">
        <v>9</v>
      </c>
      <c r="AM828" s="2" t="n">
        <v>2</v>
      </c>
      <c r="AN828" s="2" t="n">
        <v>22.22</v>
      </c>
      <c r="AO828" s="5" t="n">
        <v>58.19</v>
      </c>
      <c r="AP828" s="5" t="n">
        <v>59.74</v>
      </c>
      <c r="AQ828" s="5" t="n">
        <v>61.3</v>
      </c>
      <c r="AR828" s="5" t="n">
        <v>62.86</v>
      </c>
      <c r="AS828" s="5" t="n">
        <v>64.42</v>
      </c>
      <c r="AT828" s="5" t="n">
        <v>65.98</v>
      </c>
      <c r="AU828" s="5" t="n">
        <v>67.53</v>
      </c>
      <c r="AV828" s="5" t="s">
        <v>51</v>
      </c>
    </row>
    <row r="829" customFormat="false" ht="15" hidden="false" customHeight="false" outlineLevel="0" collapsed="false">
      <c r="A829" s="2" t="s">
        <v>193</v>
      </c>
      <c r="B829" s="2" t="n">
        <v>2023</v>
      </c>
      <c r="C829" s="2" t="s">
        <v>56</v>
      </c>
      <c r="D829" s="2" t="n">
        <v>0</v>
      </c>
      <c r="E829" s="2" t="n">
        <v>4</v>
      </c>
      <c r="F829" s="2" t="s">
        <v>50</v>
      </c>
      <c r="G829" s="3" t="n">
        <v>1</v>
      </c>
      <c r="H829" s="3" t="n">
        <v>0</v>
      </c>
      <c r="I829" s="3" t="n">
        <v>0</v>
      </c>
      <c r="J829" s="3" t="n">
        <v>0</v>
      </c>
      <c r="K829" s="3" t="n">
        <v>1</v>
      </c>
      <c r="L829" s="3" t="n">
        <v>0</v>
      </c>
      <c r="M829" s="3" t="n">
        <v>1</v>
      </c>
      <c r="N829" s="3" t="n">
        <v>0</v>
      </c>
      <c r="O829" s="3" t="n">
        <v>0</v>
      </c>
      <c r="P829" s="3" t="n">
        <v>0</v>
      </c>
      <c r="Q829" s="3" t="n">
        <v>1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1</v>
      </c>
      <c r="X829" s="3" t="n">
        <v>0</v>
      </c>
      <c r="Y829" s="3" t="n">
        <v>1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1</v>
      </c>
      <c r="AE829" s="3" t="n">
        <v>0</v>
      </c>
      <c r="AF829" s="3" t="n">
        <v>0</v>
      </c>
      <c r="AG829" s="3" t="n">
        <v>1</v>
      </c>
      <c r="AH829" s="3" t="n">
        <v>0</v>
      </c>
      <c r="AI829" s="3" t="n">
        <v>1</v>
      </c>
      <c r="AJ829" s="4" t="n">
        <f aca="false">SUM(G829:AI829)</f>
        <v>9</v>
      </c>
      <c r="AK829" s="4" t="n">
        <f aca="false">ROUND(SUMPRODUCT(G829:AI829,Gene_Weights!$B$2:$AD$2),3)</f>
        <v>-8.3</v>
      </c>
      <c r="AL829" s="2" t="n">
        <v>9</v>
      </c>
      <c r="AM829" s="2" t="n">
        <v>5</v>
      </c>
      <c r="AN829" s="2" t="n">
        <v>55.56</v>
      </c>
      <c r="AO829" s="5" t="n">
        <v>75.59</v>
      </c>
      <c r="AP829" s="5" t="n">
        <v>78.01</v>
      </c>
      <c r="AQ829" s="5" t="n">
        <v>80.42</v>
      </c>
      <c r="AR829" s="5" t="n">
        <v>82.83</v>
      </c>
      <c r="AS829" s="5" t="n">
        <v>85.24</v>
      </c>
      <c r="AT829" s="5" t="n">
        <v>87.66</v>
      </c>
      <c r="AU829" s="5" t="n">
        <v>90.07</v>
      </c>
      <c r="AV829" s="5" t="s">
        <v>51</v>
      </c>
    </row>
    <row r="830" customFormat="false" ht="15" hidden="false" customHeight="false" outlineLevel="0" collapsed="false">
      <c r="A830" s="2" t="s">
        <v>194</v>
      </c>
      <c r="B830" s="2" t="n">
        <v>2016</v>
      </c>
      <c r="C830" s="2" t="s">
        <v>49</v>
      </c>
      <c r="D830" s="2" t="n">
        <v>0</v>
      </c>
      <c r="E830" s="2" t="n">
        <v>32</v>
      </c>
      <c r="F830" s="2" t="s">
        <v>50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1</v>
      </c>
      <c r="L830" s="3" t="n">
        <v>0</v>
      </c>
      <c r="M830" s="3" t="n">
        <v>0</v>
      </c>
      <c r="N830" s="3" t="n">
        <v>1</v>
      </c>
      <c r="O830" s="3" t="n">
        <v>0</v>
      </c>
      <c r="P830" s="3" t="n">
        <v>0</v>
      </c>
      <c r="Q830" s="3" t="n">
        <v>1</v>
      </c>
      <c r="R830" s="3" t="n">
        <v>1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1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1</v>
      </c>
      <c r="AF830" s="3" t="n">
        <v>0</v>
      </c>
      <c r="AG830" s="3" t="n">
        <v>1</v>
      </c>
      <c r="AH830" s="3" t="n">
        <v>0</v>
      </c>
      <c r="AI830" s="3" t="n">
        <v>0</v>
      </c>
      <c r="AJ830" s="4" t="n">
        <f aca="false">SUM(G830:AI830)</f>
        <v>7</v>
      </c>
      <c r="AK830" s="4" t="n">
        <f aca="false">ROUND(SUMPRODUCT(G830:AI830,Gene_Weights!$B$2:$AD$2),3)</f>
        <v>-6.05</v>
      </c>
      <c r="AL830" s="2" t="n">
        <v>4</v>
      </c>
      <c r="AM830" s="2" t="n">
        <v>1</v>
      </c>
      <c r="AN830" s="2" t="n">
        <v>25</v>
      </c>
      <c r="AO830" s="5" t="n">
        <v>55.12</v>
      </c>
      <c r="AP830" s="5" t="n">
        <v>56.02</v>
      </c>
      <c r="AQ830" s="5" t="n">
        <v>56.92</v>
      </c>
      <c r="AR830" s="5" t="n">
        <v>57.82</v>
      </c>
      <c r="AS830" s="5" t="n">
        <v>58.72</v>
      </c>
      <c r="AT830" s="5" t="n">
        <v>59.62</v>
      </c>
      <c r="AU830" s="5" t="n">
        <v>60.52</v>
      </c>
      <c r="AV830" s="5" t="s">
        <v>51</v>
      </c>
    </row>
    <row r="831" customFormat="false" ht="15" hidden="false" customHeight="false" outlineLevel="0" collapsed="false">
      <c r="A831" s="2" t="s">
        <v>194</v>
      </c>
      <c r="B831" s="2" t="n">
        <v>2016</v>
      </c>
      <c r="C831" s="2" t="s">
        <v>52</v>
      </c>
      <c r="D831" s="2" t="n">
        <v>0</v>
      </c>
      <c r="E831" s="2" t="n">
        <v>2</v>
      </c>
      <c r="F831" s="2" t="s">
        <v>50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1</v>
      </c>
      <c r="L831" s="3" t="n">
        <v>0</v>
      </c>
      <c r="M831" s="3" t="n">
        <v>0</v>
      </c>
      <c r="N831" s="3" t="n">
        <v>1</v>
      </c>
      <c r="O831" s="3" t="n">
        <v>0</v>
      </c>
      <c r="P831" s="3" t="n">
        <v>0</v>
      </c>
      <c r="Q831" s="3" t="n">
        <v>1</v>
      </c>
      <c r="R831" s="3" t="n">
        <v>1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1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1</v>
      </c>
      <c r="AF831" s="3" t="n">
        <v>0</v>
      </c>
      <c r="AG831" s="3" t="n">
        <v>1</v>
      </c>
      <c r="AH831" s="3" t="n">
        <v>0</v>
      </c>
      <c r="AI831" s="3" t="n">
        <v>0</v>
      </c>
      <c r="AJ831" s="4" t="n">
        <f aca="false">SUM(G831:AI831)</f>
        <v>7</v>
      </c>
      <c r="AK831" s="4" t="n">
        <f aca="false">ROUND(SUMPRODUCT(G831:AI831,Gene_Weights!$B$2:$AD$2),3)</f>
        <v>-6.05</v>
      </c>
      <c r="AL831" s="2" t="n">
        <v>4</v>
      </c>
      <c r="AM831" s="2" t="n">
        <v>3</v>
      </c>
      <c r="AN831" s="2" t="n">
        <v>75</v>
      </c>
      <c r="AO831" s="5" t="n">
        <v>64.53</v>
      </c>
      <c r="AP831" s="5" t="n">
        <v>66.13</v>
      </c>
      <c r="AQ831" s="5" t="n">
        <v>67.73</v>
      </c>
      <c r="AR831" s="5" t="n">
        <v>69.33</v>
      </c>
      <c r="AS831" s="5" t="n">
        <v>70.93</v>
      </c>
      <c r="AT831" s="5" t="n">
        <v>72.53</v>
      </c>
      <c r="AU831" s="5" t="n">
        <v>74.13</v>
      </c>
      <c r="AV831" s="5" t="s">
        <v>51</v>
      </c>
    </row>
    <row r="832" customFormat="false" ht="15" hidden="false" customHeight="false" outlineLevel="0" collapsed="false">
      <c r="A832" s="2" t="s">
        <v>194</v>
      </c>
      <c r="B832" s="2" t="n">
        <v>2016</v>
      </c>
      <c r="C832" s="2" t="s">
        <v>53</v>
      </c>
      <c r="D832" s="2" t="n">
        <v>0</v>
      </c>
      <c r="E832" s="2" t="n">
        <v>16</v>
      </c>
      <c r="F832" s="2" t="s">
        <v>50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1</v>
      </c>
      <c r="L832" s="3" t="n">
        <v>0</v>
      </c>
      <c r="M832" s="3" t="n">
        <v>0</v>
      </c>
      <c r="N832" s="3" t="n">
        <v>1</v>
      </c>
      <c r="O832" s="3" t="n">
        <v>0</v>
      </c>
      <c r="P832" s="3" t="n">
        <v>0</v>
      </c>
      <c r="Q832" s="3" t="n">
        <v>1</v>
      </c>
      <c r="R832" s="3" t="n">
        <v>1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1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1</v>
      </c>
      <c r="AF832" s="3" t="n">
        <v>0</v>
      </c>
      <c r="AG832" s="3" t="n">
        <v>1</v>
      </c>
      <c r="AH832" s="3" t="n">
        <v>0</v>
      </c>
      <c r="AI832" s="3" t="n">
        <v>0</v>
      </c>
      <c r="AJ832" s="4" t="n">
        <f aca="false">SUM(G832:AI832)</f>
        <v>7</v>
      </c>
      <c r="AK832" s="4" t="n">
        <f aca="false">ROUND(SUMPRODUCT(G832:AI832,Gene_Weights!$B$2:$AD$2),3)</f>
        <v>-6.05</v>
      </c>
      <c r="AL832" s="2" t="n">
        <v>4</v>
      </c>
      <c r="AM832" s="2" t="n">
        <v>3</v>
      </c>
      <c r="AN832" s="2" t="n">
        <v>75</v>
      </c>
      <c r="AO832" s="5" t="n">
        <v>52.86</v>
      </c>
      <c r="AP832" s="5" t="n">
        <v>53.65</v>
      </c>
      <c r="AQ832" s="5" t="n">
        <v>54.45</v>
      </c>
      <c r="AR832" s="5" t="n">
        <v>55.24</v>
      </c>
      <c r="AS832" s="5" t="n">
        <v>56.03</v>
      </c>
      <c r="AT832" s="5" t="n">
        <v>56.83</v>
      </c>
      <c r="AU832" s="5" t="n">
        <v>57.62</v>
      </c>
      <c r="AV832" s="5" t="s">
        <v>51</v>
      </c>
    </row>
    <row r="833" customFormat="false" ht="15" hidden="false" customHeight="false" outlineLevel="0" collapsed="false">
      <c r="A833" s="2" t="s">
        <v>194</v>
      </c>
      <c r="B833" s="2" t="n">
        <v>2016</v>
      </c>
      <c r="C833" s="2" t="s">
        <v>54</v>
      </c>
      <c r="D833" s="2" t="n">
        <v>1</v>
      </c>
      <c r="E833" s="2" t="n">
        <v>32</v>
      </c>
      <c r="F833" s="2" t="s">
        <v>50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1</v>
      </c>
      <c r="L833" s="3" t="n">
        <v>0</v>
      </c>
      <c r="M833" s="3" t="n">
        <v>0</v>
      </c>
      <c r="N833" s="3" t="n">
        <v>1</v>
      </c>
      <c r="O833" s="3" t="n">
        <v>0</v>
      </c>
      <c r="P833" s="3" t="n">
        <v>0</v>
      </c>
      <c r="Q833" s="3" t="n">
        <v>1</v>
      </c>
      <c r="R833" s="3" t="n">
        <v>1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1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1</v>
      </c>
      <c r="AF833" s="3" t="n">
        <v>0</v>
      </c>
      <c r="AG833" s="3" t="n">
        <v>1</v>
      </c>
      <c r="AH833" s="3" t="n">
        <v>0</v>
      </c>
      <c r="AI833" s="3" t="n">
        <v>0</v>
      </c>
      <c r="AJ833" s="4" t="n">
        <f aca="false">SUM(G833:AI833)</f>
        <v>7</v>
      </c>
      <c r="AK833" s="4" t="n">
        <f aca="false">ROUND(SUMPRODUCT(G833:AI833,Gene_Weights!$B$2:$AD$2),3)</f>
        <v>-6.05</v>
      </c>
      <c r="AL833" s="2" t="n">
        <v>4</v>
      </c>
      <c r="AM833" s="2" t="n">
        <v>2</v>
      </c>
      <c r="AN833" s="2" t="n">
        <v>50</v>
      </c>
      <c r="AO833" s="5" t="n">
        <v>81.84</v>
      </c>
      <c r="AP833" s="5" t="n">
        <v>84.45</v>
      </c>
      <c r="AQ833" s="5" t="n">
        <v>87.06</v>
      </c>
      <c r="AR833" s="5" t="n">
        <v>89.67</v>
      </c>
      <c r="AS833" s="5" t="n">
        <v>92.27</v>
      </c>
      <c r="AT833" s="5" t="n">
        <v>94.88</v>
      </c>
      <c r="AU833" s="5" t="n">
        <v>97.49</v>
      </c>
      <c r="AV833" s="5" t="s">
        <v>51</v>
      </c>
    </row>
    <row r="834" customFormat="false" ht="15" hidden="false" customHeight="false" outlineLevel="0" collapsed="false">
      <c r="A834" s="2" t="s">
        <v>194</v>
      </c>
      <c r="B834" s="2" t="n">
        <v>2016</v>
      </c>
      <c r="C834" s="2" t="s">
        <v>55</v>
      </c>
      <c r="D834" s="2" t="n">
        <v>0</v>
      </c>
      <c r="E834" s="2" t="n">
        <v>4</v>
      </c>
      <c r="F834" s="2" t="s">
        <v>50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1</v>
      </c>
      <c r="L834" s="3" t="n">
        <v>0</v>
      </c>
      <c r="M834" s="3" t="n">
        <v>0</v>
      </c>
      <c r="N834" s="3" t="n">
        <v>1</v>
      </c>
      <c r="O834" s="3" t="n">
        <v>0</v>
      </c>
      <c r="P834" s="3" t="n">
        <v>0</v>
      </c>
      <c r="Q834" s="3" t="n">
        <v>1</v>
      </c>
      <c r="R834" s="3" t="n">
        <v>1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1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1</v>
      </c>
      <c r="AF834" s="3" t="n">
        <v>0</v>
      </c>
      <c r="AG834" s="3" t="n">
        <v>1</v>
      </c>
      <c r="AH834" s="3" t="n">
        <v>0</v>
      </c>
      <c r="AI834" s="3" t="n">
        <v>0</v>
      </c>
      <c r="AJ834" s="4" t="n">
        <f aca="false">SUM(G834:AI834)</f>
        <v>7</v>
      </c>
      <c r="AK834" s="4" t="n">
        <f aca="false">ROUND(SUMPRODUCT(G834:AI834,Gene_Weights!$B$2:$AD$2),3)</f>
        <v>-6.05</v>
      </c>
      <c r="AL834" s="2" t="n">
        <v>4</v>
      </c>
      <c r="AM834" s="2" t="n">
        <v>2</v>
      </c>
      <c r="AN834" s="2" t="n">
        <v>50</v>
      </c>
      <c r="AO834" s="5" t="n">
        <v>58.19</v>
      </c>
      <c r="AP834" s="5" t="n">
        <v>59.74</v>
      </c>
      <c r="AQ834" s="5" t="n">
        <v>61.3</v>
      </c>
      <c r="AR834" s="5" t="n">
        <v>62.86</v>
      </c>
      <c r="AS834" s="5" t="n">
        <v>64.42</v>
      </c>
      <c r="AT834" s="5" t="n">
        <v>65.98</v>
      </c>
      <c r="AU834" s="5" t="n">
        <v>67.53</v>
      </c>
      <c r="AV834" s="5" t="s">
        <v>51</v>
      </c>
    </row>
    <row r="835" customFormat="false" ht="15" hidden="false" customHeight="false" outlineLevel="0" collapsed="false">
      <c r="A835" s="2" t="s">
        <v>194</v>
      </c>
      <c r="B835" s="2" t="n">
        <v>2016</v>
      </c>
      <c r="C835" s="2" t="s">
        <v>56</v>
      </c>
      <c r="D835" s="2" t="n">
        <v>0</v>
      </c>
      <c r="E835" s="2" t="n">
        <v>2</v>
      </c>
      <c r="F835" s="2" t="s">
        <v>50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1</v>
      </c>
      <c r="L835" s="3" t="n">
        <v>0</v>
      </c>
      <c r="M835" s="3" t="n">
        <v>0</v>
      </c>
      <c r="N835" s="3" t="n">
        <v>1</v>
      </c>
      <c r="O835" s="3" t="n">
        <v>0</v>
      </c>
      <c r="P835" s="3" t="n">
        <v>0</v>
      </c>
      <c r="Q835" s="3" t="n">
        <v>1</v>
      </c>
      <c r="R835" s="3" t="n">
        <v>1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1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1</v>
      </c>
      <c r="AF835" s="3" t="n">
        <v>0</v>
      </c>
      <c r="AG835" s="3" t="n">
        <v>1</v>
      </c>
      <c r="AH835" s="3" t="n">
        <v>0</v>
      </c>
      <c r="AI835" s="3" t="n">
        <v>0</v>
      </c>
      <c r="AJ835" s="4" t="n">
        <f aca="false">SUM(G835:AI835)</f>
        <v>7</v>
      </c>
      <c r="AK835" s="4" t="n">
        <f aca="false">ROUND(SUMPRODUCT(G835:AI835,Gene_Weights!$B$2:$AD$2),3)</f>
        <v>-6.05</v>
      </c>
      <c r="AL835" s="2" t="n">
        <v>4</v>
      </c>
      <c r="AM835" s="2" t="n">
        <v>2</v>
      </c>
      <c r="AN835" s="2" t="n">
        <v>50</v>
      </c>
      <c r="AO835" s="5" t="n">
        <v>75.59</v>
      </c>
      <c r="AP835" s="5" t="n">
        <v>78.01</v>
      </c>
      <c r="AQ835" s="5" t="n">
        <v>80.42</v>
      </c>
      <c r="AR835" s="5" t="n">
        <v>82.83</v>
      </c>
      <c r="AS835" s="5" t="n">
        <v>85.24</v>
      </c>
      <c r="AT835" s="5" t="n">
        <v>87.66</v>
      </c>
      <c r="AU835" s="5" t="n">
        <v>90.07</v>
      </c>
      <c r="AV835" s="5" t="s">
        <v>51</v>
      </c>
    </row>
    <row r="836" customFormat="false" ht="15" hidden="false" customHeight="false" outlineLevel="0" collapsed="false">
      <c r="A836" s="2" t="s">
        <v>195</v>
      </c>
      <c r="B836" s="2" t="n">
        <v>2021</v>
      </c>
      <c r="C836" s="2" t="s">
        <v>49</v>
      </c>
      <c r="D836" s="2" t="n">
        <v>0</v>
      </c>
      <c r="E836" s="2" t="n">
        <v>16</v>
      </c>
      <c r="F836" s="2" t="s">
        <v>50</v>
      </c>
      <c r="G836" s="3" t="n">
        <v>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1</v>
      </c>
      <c r="O836" s="3" t="n">
        <v>0</v>
      </c>
      <c r="P836" s="3" t="n">
        <v>1</v>
      </c>
      <c r="Q836" s="3" t="n">
        <v>0</v>
      </c>
      <c r="R836" s="3" t="n">
        <v>0</v>
      </c>
      <c r="S836" s="3" t="n">
        <v>0</v>
      </c>
      <c r="T836" s="3" t="n">
        <v>1</v>
      </c>
      <c r="U836" s="3" t="n">
        <v>0</v>
      </c>
      <c r="V836" s="3" t="n">
        <v>0</v>
      </c>
      <c r="W836" s="3" t="n">
        <v>1</v>
      </c>
      <c r="X836" s="3" t="n">
        <v>0</v>
      </c>
      <c r="Y836" s="3" t="n">
        <v>1</v>
      </c>
      <c r="Z836" s="3" t="n">
        <v>1</v>
      </c>
      <c r="AA836" s="3" t="n">
        <v>0</v>
      </c>
      <c r="AB836" s="3" t="n">
        <v>1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1</v>
      </c>
      <c r="AJ836" s="4" t="n">
        <f aca="false">SUM(G836:AI836)</f>
        <v>10</v>
      </c>
      <c r="AK836" s="4" t="n">
        <f aca="false">ROUND(SUMPRODUCT(G836:AI836,Gene_Weights!$B$2:$AD$2),3)</f>
        <v>-5.73</v>
      </c>
      <c r="AL836" s="2" t="n">
        <v>5</v>
      </c>
      <c r="AM836" s="2" t="n">
        <v>0</v>
      </c>
      <c r="AN836" s="2" t="n">
        <v>0</v>
      </c>
      <c r="AO836" s="5" t="n">
        <v>55.12</v>
      </c>
      <c r="AP836" s="5" t="n">
        <v>56.02</v>
      </c>
      <c r="AQ836" s="5" t="n">
        <v>56.92</v>
      </c>
      <c r="AR836" s="5" t="n">
        <v>57.82</v>
      </c>
      <c r="AS836" s="5" t="n">
        <v>58.72</v>
      </c>
      <c r="AT836" s="5" t="n">
        <v>59.62</v>
      </c>
      <c r="AU836" s="5" t="n">
        <v>60.52</v>
      </c>
      <c r="AV836" s="5" t="s">
        <v>51</v>
      </c>
    </row>
    <row r="837" customFormat="false" ht="15" hidden="false" customHeight="false" outlineLevel="0" collapsed="false">
      <c r="A837" s="2" t="s">
        <v>195</v>
      </c>
      <c r="B837" s="2" t="n">
        <v>2021</v>
      </c>
      <c r="C837" s="2" t="s">
        <v>52</v>
      </c>
      <c r="D837" s="2" t="n">
        <v>1</v>
      </c>
      <c r="E837" s="2" t="n">
        <v>16</v>
      </c>
      <c r="F837" s="2" t="s">
        <v>50</v>
      </c>
      <c r="G837" s="3" t="n">
        <v>1</v>
      </c>
      <c r="H837" s="3" t="n">
        <v>1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1</v>
      </c>
      <c r="O837" s="3" t="n">
        <v>0</v>
      </c>
      <c r="P837" s="3" t="n">
        <v>1</v>
      </c>
      <c r="Q837" s="3" t="n">
        <v>0</v>
      </c>
      <c r="R837" s="3" t="n">
        <v>0</v>
      </c>
      <c r="S837" s="3" t="n">
        <v>0</v>
      </c>
      <c r="T837" s="3" t="n">
        <v>1</v>
      </c>
      <c r="U837" s="3" t="n">
        <v>0</v>
      </c>
      <c r="V837" s="3" t="n">
        <v>0</v>
      </c>
      <c r="W837" s="3" t="n">
        <v>1</v>
      </c>
      <c r="X837" s="3" t="n">
        <v>0</v>
      </c>
      <c r="Y837" s="3" t="n">
        <v>1</v>
      </c>
      <c r="Z837" s="3" t="n">
        <v>1</v>
      </c>
      <c r="AA837" s="3" t="n">
        <v>0</v>
      </c>
      <c r="AB837" s="3" t="n">
        <v>1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1</v>
      </c>
      <c r="AJ837" s="4" t="n">
        <f aca="false">SUM(G837:AI837)</f>
        <v>10</v>
      </c>
      <c r="AK837" s="4" t="n">
        <f aca="false">ROUND(SUMPRODUCT(G837:AI837,Gene_Weights!$B$2:$AD$2),3)</f>
        <v>-5.73</v>
      </c>
      <c r="AL837" s="2" t="n">
        <v>5</v>
      </c>
      <c r="AM837" s="2" t="n">
        <v>2</v>
      </c>
      <c r="AN837" s="2" t="n">
        <v>40</v>
      </c>
      <c r="AO837" s="5" t="n">
        <v>64.53</v>
      </c>
      <c r="AP837" s="5" t="n">
        <v>66.13</v>
      </c>
      <c r="AQ837" s="5" t="n">
        <v>67.73</v>
      </c>
      <c r="AR837" s="5" t="n">
        <v>69.33</v>
      </c>
      <c r="AS837" s="5" t="n">
        <v>70.93</v>
      </c>
      <c r="AT837" s="5" t="n">
        <v>72.53</v>
      </c>
      <c r="AU837" s="5" t="n">
        <v>74.13</v>
      </c>
      <c r="AV837" s="5" t="s">
        <v>51</v>
      </c>
    </row>
    <row r="838" customFormat="false" ht="15" hidden="false" customHeight="false" outlineLevel="0" collapsed="false">
      <c r="A838" s="2" t="s">
        <v>195</v>
      </c>
      <c r="B838" s="2" t="n">
        <v>2021</v>
      </c>
      <c r="C838" s="2" t="s">
        <v>53</v>
      </c>
      <c r="D838" s="2" t="n">
        <v>0</v>
      </c>
      <c r="E838" s="2" t="n">
        <v>2</v>
      </c>
      <c r="F838" s="2" t="s">
        <v>50</v>
      </c>
      <c r="G838" s="3" t="n">
        <v>1</v>
      </c>
      <c r="H838" s="3" t="n">
        <v>1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1</v>
      </c>
      <c r="O838" s="3" t="n">
        <v>0</v>
      </c>
      <c r="P838" s="3" t="n">
        <v>1</v>
      </c>
      <c r="Q838" s="3" t="n">
        <v>0</v>
      </c>
      <c r="R838" s="3" t="n">
        <v>0</v>
      </c>
      <c r="S838" s="3" t="n">
        <v>0</v>
      </c>
      <c r="T838" s="3" t="n">
        <v>1</v>
      </c>
      <c r="U838" s="3" t="n">
        <v>0</v>
      </c>
      <c r="V838" s="3" t="n">
        <v>0</v>
      </c>
      <c r="W838" s="3" t="n">
        <v>1</v>
      </c>
      <c r="X838" s="3" t="n">
        <v>0</v>
      </c>
      <c r="Y838" s="3" t="n">
        <v>1</v>
      </c>
      <c r="Z838" s="3" t="n">
        <v>1</v>
      </c>
      <c r="AA838" s="3" t="n">
        <v>0</v>
      </c>
      <c r="AB838" s="3" t="n">
        <v>1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1</v>
      </c>
      <c r="AJ838" s="4" t="n">
        <f aca="false">SUM(G838:AI838)</f>
        <v>10</v>
      </c>
      <c r="AK838" s="4" t="n">
        <f aca="false">ROUND(SUMPRODUCT(G838:AI838,Gene_Weights!$B$2:$AD$2),3)</f>
        <v>-5.73</v>
      </c>
      <c r="AL838" s="2" t="n">
        <v>5</v>
      </c>
      <c r="AM838" s="2" t="n">
        <v>3</v>
      </c>
      <c r="AN838" s="2" t="n">
        <v>60</v>
      </c>
      <c r="AO838" s="5" t="n">
        <v>52.86</v>
      </c>
      <c r="AP838" s="5" t="n">
        <v>53.65</v>
      </c>
      <c r="AQ838" s="5" t="n">
        <v>54.45</v>
      </c>
      <c r="AR838" s="5" t="n">
        <v>55.24</v>
      </c>
      <c r="AS838" s="5" t="n">
        <v>56.03</v>
      </c>
      <c r="AT838" s="5" t="n">
        <v>56.83</v>
      </c>
      <c r="AU838" s="5" t="n">
        <v>57.62</v>
      </c>
      <c r="AV838" s="5" t="s">
        <v>51</v>
      </c>
    </row>
    <row r="839" customFormat="false" ht="15" hidden="false" customHeight="false" outlineLevel="0" collapsed="false">
      <c r="A839" s="2" t="s">
        <v>195</v>
      </c>
      <c r="B839" s="2" t="n">
        <v>2021</v>
      </c>
      <c r="C839" s="2" t="s">
        <v>54</v>
      </c>
      <c r="D839" s="2" t="n">
        <v>1</v>
      </c>
      <c r="E839" s="2" t="n">
        <v>16</v>
      </c>
      <c r="F839" s="2" t="s">
        <v>50</v>
      </c>
      <c r="G839" s="3" t="n">
        <v>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1</v>
      </c>
      <c r="O839" s="3" t="n">
        <v>0</v>
      </c>
      <c r="P839" s="3" t="n">
        <v>1</v>
      </c>
      <c r="Q839" s="3" t="n">
        <v>0</v>
      </c>
      <c r="R839" s="3" t="n">
        <v>0</v>
      </c>
      <c r="S839" s="3" t="n">
        <v>0</v>
      </c>
      <c r="T839" s="3" t="n">
        <v>1</v>
      </c>
      <c r="U839" s="3" t="n">
        <v>0</v>
      </c>
      <c r="V839" s="3" t="n">
        <v>0</v>
      </c>
      <c r="W839" s="3" t="n">
        <v>1</v>
      </c>
      <c r="X839" s="3" t="n">
        <v>0</v>
      </c>
      <c r="Y839" s="3" t="n">
        <v>1</v>
      </c>
      <c r="Z839" s="3" t="n">
        <v>1</v>
      </c>
      <c r="AA839" s="3" t="n">
        <v>0</v>
      </c>
      <c r="AB839" s="3" t="n">
        <v>1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1</v>
      </c>
      <c r="AJ839" s="4" t="n">
        <f aca="false">SUM(G839:AI839)</f>
        <v>10</v>
      </c>
      <c r="AK839" s="4" t="n">
        <f aca="false">ROUND(SUMPRODUCT(G839:AI839,Gene_Weights!$B$2:$AD$2),3)</f>
        <v>-5.73</v>
      </c>
      <c r="AL839" s="2" t="n">
        <v>5</v>
      </c>
      <c r="AM839" s="2" t="n">
        <v>5</v>
      </c>
      <c r="AN839" s="2" t="n">
        <v>100</v>
      </c>
      <c r="AO839" s="5" t="n">
        <v>81.84</v>
      </c>
      <c r="AP839" s="5" t="n">
        <v>84.45</v>
      </c>
      <c r="AQ839" s="5" t="n">
        <v>87.06</v>
      </c>
      <c r="AR839" s="5" t="n">
        <v>89.67</v>
      </c>
      <c r="AS839" s="5" t="n">
        <v>92.27</v>
      </c>
      <c r="AT839" s="5" t="n">
        <v>94.88</v>
      </c>
      <c r="AU839" s="5" t="n">
        <v>97.49</v>
      </c>
      <c r="AV839" s="5" t="s">
        <v>51</v>
      </c>
    </row>
    <row r="840" customFormat="false" ht="15" hidden="false" customHeight="false" outlineLevel="0" collapsed="false">
      <c r="A840" s="2" t="s">
        <v>195</v>
      </c>
      <c r="B840" s="2" t="n">
        <v>2021</v>
      </c>
      <c r="C840" s="2" t="s">
        <v>55</v>
      </c>
      <c r="D840" s="2" t="n">
        <v>1</v>
      </c>
      <c r="E840" s="2" t="n">
        <v>32</v>
      </c>
      <c r="F840" s="2" t="s">
        <v>50</v>
      </c>
      <c r="G840" s="3" t="n">
        <v>1</v>
      </c>
      <c r="H840" s="3" t="n">
        <v>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1</v>
      </c>
      <c r="O840" s="3" t="n">
        <v>0</v>
      </c>
      <c r="P840" s="3" t="n">
        <v>1</v>
      </c>
      <c r="Q840" s="3" t="n">
        <v>0</v>
      </c>
      <c r="R840" s="3" t="n">
        <v>0</v>
      </c>
      <c r="S840" s="3" t="n">
        <v>0</v>
      </c>
      <c r="T840" s="3" t="n">
        <v>1</v>
      </c>
      <c r="U840" s="3" t="n">
        <v>0</v>
      </c>
      <c r="V840" s="3" t="n">
        <v>0</v>
      </c>
      <c r="W840" s="3" t="n">
        <v>1</v>
      </c>
      <c r="X840" s="3" t="n">
        <v>0</v>
      </c>
      <c r="Y840" s="3" t="n">
        <v>1</v>
      </c>
      <c r="Z840" s="3" t="n">
        <v>1</v>
      </c>
      <c r="AA840" s="3" t="n">
        <v>0</v>
      </c>
      <c r="AB840" s="3" t="n">
        <v>1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1</v>
      </c>
      <c r="AJ840" s="4" t="n">
        <f aca="false">SUM(G840:AI840)</f>
        <v>10</v>
      </c>
      <c r="AK840" s="4" t="n">
        <f aca="false">ROUND(SUMPRODUCT(G840:AI840,Gene_Weights!$B$2:$AD$2),3)</f>
        <v>-5.73</v>
      </c>
      <c r="AL840" s="2" t="n">
        <v>5</v>
      </c>
      <c r="AM840" s="2" t="n">
        <v>2</v>
      </c>
      <c r="AN840" s="2" t="n">
        <v>40</v>
      </c>
      <c r="AO840" s="5" t="n">
        <v>58.19</v>
      </c>
      <c r="AP840" s="5" t="n">
        <v>59.74</v>
      </c>
      <c r="AQ840" s="5" t="n">
        <v>61.3</v>
      </c>
      <c r="AR840" s="5" t="n">
        <v>62.86</v>
      </c>
      <c r="AS840" s="5" t="n">
        <v>64.42</v>
      </c>
      <c r="AT840" s="5" t="n">
        <v>65.98</v>
      </c>
      <c r="AU840" s="5" t="n">
        <v>67.53</v>
      </c>
      <c r="AV840" s="5" t="s">
        <v>51</v>
      </c>
    </row>
    <row r="841" customFormat="false" ht="15" hidden="false" customHeight="false" outlineLevel="0" collapsed="false">
      <c r="A841" s="2" t="s">
        <v>195</v>
      </c>
      <c r="B841" s="2" t="n">
        <v>2021</v>
      </c>
      <c r="C841" s="2" t="s">
        <v>56</v>
      </c>
      <c r="D841" s="2" t="n">
        <v>1</v>
      </c>
      <c r="E841" s="2" t="n">
        <v>2</v>
      </c>
      <c r="F841" s="2" t="s">
        <v>50</v>
      </c>
      <c r="G841" s="3" t="n">
        <v>1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1</v>
      </c>
      <c r="O841" s="3" t="n">
        <v>0</v>
      </c>
      <c r="P841" s="3" t="n">
        <v>1</v>
      </c>
      <c r="Q841" s="3" t="n">
        <v>0</v>
      </c>
      <c r="R841" s="3" t="n">
        <v>0</v>
      </c>
      <c r="S841" s="3" t="n">
        <v>0</v>
      </c>
      <c r="T841" s="3" t="n">
        <v>1</v>
      </c>
      <c r="U841" s="3" t="n">
        <v>0</v>
      </c>
      <c r="V841" s="3" t="n">
        <v>0</v>
      </c>
      <c r="W841" s="3" t="n">
        <v>1</v>
      </c>
      <c r="X841" s="3" t="n">
        <v>0</v>
      </c>
      <c r="Y841" s="3" t="n">
        <v>1</v>
      </c>
      <c r="Z841" s="3" t="n">
        <v>1</v>
      </c>
      <c r="AA841" s="3" t="n">
        <v>0</v>
      </c>
      <c r="AB841" s="3" t="n">
        <v>1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1</v>
      </c>
      <c r="AJ841" s="4" t="n">
        <f aca="false">SUM(G841:AI841)</f>
        <v>10</v>
      </c>
      <c r="AK841" s="4" t="n">
        <f aca="false">ROUND(SUMPRODUCT(G841:AI841,Gene_Weights!$B$2:$AD$2),3)</f>
        <v>-5.73</v>
      </c>
      <c r="AL841" s="2" t="n">
        <v>5</v>
      </c>
      <c r="AM841" s="2" t="n">
        <v>4</v>
      </c>
      <c r="AN841" s="2" t="n">
        <v>80</v>
      </c>
      <c r="AO841" s="5" t="n">
        <v>75.59</v>
      </c>
      <c r="AP841" s="5" t="n">
        <v>78.01</v>
      </c>
      <c r="AQ841" s="5" t="n">
        <v>80.42</v>
      </c>
      <c r="AR841" s="5" t="n">
        <v>82.83</v>
      </c>
      <c r="AS841" s="5" t="n">
        <v>85.24</v>
      </c>
      <c r="AT841" s="5" t="n">
        <v>87.66</v>
      </c>
      <c r="AU841" s="5" t="n">
        <v>90.07</v>
      </c>
      <c r="AV841" s="5" t="s">
        <v>51</v>
      </c>
    </row>
    <row r="842" customFormat="false" ht="15" hidden="false" customHeight="false" outlineLevel="0" collapsed="false">
      <c r="A842" s="2" t="s">
        <v>196</v>
      </c>
      <c r="B842" s="2" t="n">
        <v>2023</v>
      </c>
      <c r="C842" s="2" t="s">
        <v>49</v>
      </c>
      <c r="D842" s="2" t="n">
        <v>0</v>
      </c>
      <c r="E842" s="2" t="n">
        <v>32</v>
      </c>
      <c r="F842" s="2" t="s">
        <v>50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0</v>
      </c>
      <c r="L842" s="3" t="n">
        <v>1</v>
      </c>
      <c r="M842" s="3" t="n">
        <v>1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1</v>
      </c>
      <c r="U842" s="3" t="n">
        <v>1</v>
      </c>
      <c r="V842" s="3" t="n">
        <v>0</v>
      </c>
      <c r="W842" s="3" t="n">
        <v>1</v>
      </c>
      <c r="X842" s="3" t="n">
        <v>1</v>
      </c>
      <c r="Y842" s="3" t="n">
        <v>1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1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4" t="n">
        <f aca="false">SUM(G842:AI842)</f>
        <v>12</v>
      </c>
      <c r="AK842" s="4" t="n">
        <f aca="false">ROUND(SUMPRODUCT(G842:AI842,Gene_Weights!$B$2:$AD$2),3)</f>
        <v>-9.61</v>
      </c>
      <c r="AL842" s="2" t="n">
        <v>9</v>
      </c>
      <c r="AM842" s="2" t="n">
        <v>5</v>
      </c>
      <c r="AN842" s="2" t="n">
        <v>55.56</v>
      </c>
      <c r="AO842" s="5" t="n">
        <v>55.12</v>
      </c>
      <c r="AP842" s="5" t="n">
        <v>56.02</v>
      </c>
      <c r="AQ842" s="5" t="n">
        <v>56.92</v>
      </c>
      <c r="AR842" s="5" t="n">
        <v>57.82</v>
      </c>
      <c r="AS842" s="5" t="n">
        <v>58.72</v>
      </c>
      <c r="AT842" s="5" t="n">
        <v>59.62</v>
      </c>
      <c r="AU842" s="5" t="n">
        <v>60.52</v>
      </c>
      <c r="AV842" s="5" t="s">
        <v>51</v>
      </c>
    </row>
    <row r="843" customFormat="false" ht="15" hidden="false" customHeight="false" outlineLevel="0" collapsed="false">
      <c r="A843" s="2" t="s">
        <v>196</v>
      </c>
      <c r="B843" s="2" t="n">
        <v>2023</v>
      </c>
      <c r="C843" s="2" t="s">
        <v>52</v>
      </c>
      <c r="D843" s="2" t="n">
        <v>1</v>
      </c>
      <c r="E843" s="2" t="n">
        <v>32</v>
      </c>
      <c r="F843" s="2" t="s">
        <v>50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1</v>
      </c>
      <c r="M843" s="3" t="n">
        <v>1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1</v>
      </c>
      <c r="U843" s="3" t="n">
        <v>1</v>
      </c>
      <c r="V843" s="3" t="n">
        <v>0</v>
      </c>
      <c r="W843" s="3" t="n">
        <v>1</v>
      </c>
      <c r="X843" s="3" t="n">
        <v>1</v>
      </c>
      <c r="Y843" s="3" t="n">
        <v>1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1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4" t="n">
        <f aca="false">SUM(G843:AI843)</f>
        <v>12</v>
      </c>
      <c r="AK843" s="4" t="n">
        <f aca="false">ROUND(SUMPRODUCT(G843:AI843,Gene_Weights!$B$2:$AD$2),3)</f>
        <v>-9.61</v>
      </c>
      <c r="AL843" s="2" t="n">
        <v>9</v>
      </c>
      <c r="AM843" s="2" t="n">
        <v>7</v>
      </c>
      <c r="AN843" s="2" t="n">
        <v>77.78</v>
      </c>
      <c r="AO843" s="5" t="n">
        <v>64.53</v>
      </c>
      <c r="AP843" s="5" t="n">
        <v>66.13</v>
      </c>
      <c r="AQ843" s="5" t="n">
        <v>67.73</v>
      </c>
      <c r="AR843" s="5" t="n">
        <v>69.33</v>
      </c>
      <c r="AS843" s="5" t="n">
        <v>70.93</v>
      </c>
      <c r="AT843" s="5" t="n">
        <v>72.53</v>
      </c>
      <c r="AU843" s="5" t="n">
        <v>74.13</v>
      </c>
      <c r="AV843" s="5" t="s">
        <v>51</v>
      </c>
    </row>
    <row r="844" customFormat="false" ht="15" hidden="false" customHeight="false" outlineLevel="0" collapsed="false">
      <c r="A844" s="2" t="s">
        <v>196</v>
      </c>
      <c r="B844" s="2" t="n">
        <v>2023</v>
      </c>
      <c r="C844" s="2" t="s">
        <v>53</v>
      </c>
      <c r="D844" s="2" t="n">
        <v>1</v>
      </c>
      <c r="E844" s="2" t="n">
        <v>32</v>
      </c>
      <c r="F844" s="2" t="s">
        <v>50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0</v>
      </c>
      <c r="L844" s="3" t="n">
        <v>1</v>
      </c>
      <c r="M844" s="3" t="n">
        <v>1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1</v>
      </c>
      <c r="U844" s="3" t="n">
        <v>1</v>
      </c>
      <c r="V844" s="3" t="n">
        <v>0</v>
      </c>
      <c r="W844" s="3" t="n">
        <v>1</v>
      </c>
      <c r="X844" s="3" t="n">
        <v>1</v>
      </c>
      <c r="Y844" s="3" t="n">
        <v>1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1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4" t="n">
        <f aca="false">SUM(G844:AI844)</f>
        <v>12</v>
      </c>
      <c r="AK844" s="4" t="n">
        <f aca="false">ROUND(SUMPRODUCT(G844:AI844,Gene_Weights!$B$2:$AD$2),3)</f>
        <v>-9.61</v>
      </c>
      <c r="AL844" s="2" t="n">
        <v>9</v>
      </c>
      <c r="AM844" s="2" t="n">
        <v>5</v>
      </c>
      <c r="AN844" s="2" t="n">
        <v>55.56</v>
      </c>
      <c r="AO844" s="5" t="n">
        <v>52.86</v>
      </c>
      <c r="AP844" s="5" t="n">
        <v>53.65</v>
      </c>
      <c r="AQ844" s="5" t="n">
        <v>54.45</v>
      </c>
      <c r="AR844" s="5" t="n">
        <v>55.24</v>
      </c>
      <c r="AS844" s="5" t="n">
        <v>56.03</v>
      </c>
      <c r="AT844" s="5" t="n">
        <v>56.83</v>
      </c>
      <c r="AU844" s="5" t="n">
        <v>57.62</v>
      </c>
      <c r="AV844" s="5" t="s">
        <v>51</v>
      </c>
    </row>
    <row r="845" customFormat="false" ht="15" hidden="false" customHeight="false" outlineLevel="0" collapsed="false">
      <c r="A845" s="2" t="s">
        <v>196</v>
      </c>
      <c r="B845" s="2" t="n">
        <v>2023</v>
      </c>
      <c r="C845" s="2" t="s">
        <v>54</v>
      </c>
      <c r="D845" s="2" t="n">
        <v>1</v>
      </c>
      <c r="E845" s="2" t="n">
        <v>4</v>
      </c>
      <c r="F845" s="2" t="s">
        <v>50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0</v>
      </c>
      <c r="L845" s="3" t="n">
        <v>1</v>
      </c>
      <c r="M845" s="3" t="n">
        <v>1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1</v>
      </c>
      <c r="U845" s="3" t="n">
        <v>1</v>
      </c>
      <c r="V845" s="3" t="n">
        <v>0</v>
      </c>
      <c r="W845" s="3" t="n">
        <v>1</v>
      </c>
      <c r="X845" s="3" t="n">
        <v>1</v>
      </c>
      <c r="Y845" s="3" t="n">
        <v>1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1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4" t="n">
        <f aca="false">SUM(G845:AI845)</f>
        <v>12</v>
      </c>
      <c r="AK845" s="4" t="n">
        <f aca="false">ROUND(SUMPRODUCT(G845:AI845,Gene_Weights!$B$2:$AD$2),3)</f>
        <v>-9.61</v>
      </c>
      <c r="AL845" s="2" t="n">
        <v>9</v>
      </c>
      <c r="AM845" s="2" t="n">
        <v>7</v>
      </c>
      <c r="AN845" s="2" t="n">
        <v>77.78</v>
      </c>
      <c r="AO845" s="5" t="n">
        <v>81.84</v>
      </c>
      <c r="AP845" s="5" t="n">
        <v>84.45</v>
      </c>
      <c r="AQ845" s="5" t="n">
        <v>87.06</v>
      </c>
      <c r="AR845" s="5" t="n">
        <v>89.67</v>
      </c>
      <c r="AS845" s="5" t="n">
        <v>92.27</v>
      </c>
      <c r="AT845" s="5" t="n">
        <v>94.88</v>
      </c>
      <c r="AU845" s="5" t="n">
        <v>97.49</v>
      </c>
      <c r="AV845" s="5" t="s">
        <v>51</v>
      </c>
    </row>
    <row r="846" customFormat="false" ht="15" hidden="false" customHeight="false" outlineLevel="0" collapsed="false">
      <c r="A846" s="2" t="s">
        <v>196</v>
      </c>
      <c r="B846" s="2" t="n">
        <v>2023</v>
      </c>
      <c r="C846" s="2" t="s">
        <v>55</v>
      </c>
      <c r="D846" s="2" t="n">
        <v>0</v>
      </c>
      <c r="E846" s="2" t="n">
        <v>32</v>
      </c>
      <c r="F846" s="2" t="s">
        <v>50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0</v>
      </c>
      <c r="L846" s="3" t="n">
        <v>1</v>
      </c>
      <c r="M846" s="3" t="n">
        <v>1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1</v>
      </c>
      <c r="U846" s="3" t="n">
        <v>1</v>
      </c>
      <c r="V846" s="3" t="n">
        <v>0</v>
      </c>
      <c r="W846" s="3" t="n">
        <v>1</v>
      </c>
      <c r="X846" s="3" t="n">
        <v>1</v>
      </c>
      <c r="Y846" s="3" t="n">
        <v>1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1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4" t="n">
        <f aca="false">SUM(G846:AI846)</f>
        <v>12</v>
      </c>
      <c r="AK846" s="4" t="n">
        <f aca="false">ROUND(SUMPRODUCT(G846:AI846,Gene_Weights!$B$2:$AD$2),3)</f>
        <v>-9.61</v>
      </c>
      <c r="AL846" s="2" t="n">
        <v>9</v>
      </c>
      <c r="AM846" s="2" t="n">
        <v>2</v>
      </c>
      <c r="AN846" s="2" t="n">
        <v>22.22</v>
      </c>
      <c r="AO846" s="5" t="n">
        <v>58.19</v>
      </c>
      <c r="AP846" s="5" t="n">
        <v>59.74</v>
      </c>
      <c r="AQ846" s="5" t="n">
        <v>61.3</v>
      </c>
      <c r="AR846" s="5" t="n">
        <v>62.86</v>
      </c>
      <c r="AS846" s="5" t="n">
        <v>64.42</v>
      </c>
      <c r="AT846" s="5" t="n">
        <v>65.98</v>
      </c>
      <c r="AU846" s="5" t="n">
        <v>67.53</v>
      </c>
      <c r="AV846" s="5" t="s">
        <v>51</v>
      </c>
    </row>
    <row r="847" customFormat="false" ht="15" hidden="false" customHeight="false" outlineLevel="0" collapsed="false">
      <c r="A847" s="2" t="s">
        <v>196</v>
      </c>
      <c r="B847" s="2" t="n">
        <v>2023</v>
      </c>
      <c r="C847" s="2" t="s">
        <v>56</v>
      </c>
      <c r="D847" s="2" t="n">
        <v>1</v>
      </c>
      <c r="E847" s="2" t="n">
        <v>4</v>
      </c>
      <c r="F847" s="2" t="s">
        <v>50</v>
      </c>
      <c r="G847" s="3" t="n">
        <v>1</v>
      </c>
      <c r="H847" s="3" t="n">
        <v>1</v>
      </c>
      <c r="I847" s="3" t="n">
        <v>1</v>
      </c>
      <c r="J847" s="3" t="n">
        <v>1</v>
      </c>
      <c r="K847" s="3" t="n">
        <v>0</v>
      </c>
      <c r="L847" s="3" t="n">
        <v>1</v>
      </c>
      <c r="M847" s="3" t="n">
        <v>1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1</v>
      </c>
      <c r="U847" s="3" t="n">
        <v>1</v>
      </c>
      <c r="V847" s="3" t="n">
        <v>0</v>
      </c>
      <c r="W847" s="3" t="n">
        <v>1</v>
      </c>
      <c r="X847" s="3" t="n">
        <v>1</v>
      </c>
      <c r="Y847" s="3" t="n">
        <v>1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1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4" t="n">
        <f aca="false">SUM(G847:AI847)</f>
        <v>12</v>
      </c>
      <c r="AK847" s="4" t="n">
        <f aca="false">ROUND(SUMPRODUCT(G847:AI847,Gene_Weights!$B$2:$AD$2),3)</f>
        <v>-9.61</v>
      </c>
      <c r="AL847" s="2" t="n">
        <v>9</v>
      </c>
      <c r="AM847" s="2" t="n">
        <v>5</v>
      </c>
      <c r="AN847" s="2" t="n">
        <v>55.56</v>
      </c>
      <c r="AO847" s="5" t="n">
        <v>75.59</v>
      </c>
      <c r="AP847" s="5" t="n">
        <v>78.01</v>
      </c>
      <c r="AQ847" s="5" t="n">
        <v>80.42</v>
      </c>
      <c r="AR847" s="5" t="n">
        <v>82.83</v>
      </c>
      <c r="AS847" s="5" t="n">
        <v>85.24</v>
      </c>
      <c r="AT847" s="5" t="n">
        <v>87.66</v>
      </c>
      <c r="AU847" s="5" t="n">
        <v>90.07</v>
      </c>
      <c r="AV847" s="5" t="s">
        <v>51</v>
      </c>
    </row>
    <row r="848" customFormat="false" ht="15" hidden="false" customHeight="false" outlineLevel="0" collapsed="false">
      <c r="A848" s="2" t="s">
        <v>197</v>
      </c>
      <c r="B848" s="2" t="n">
        <v>2018</v>
      </c>
      <c r="C848" s="2" t="s">
        <v>49</v>
      </c>
      <c r="D848" s="2" t="n">
        <v>1</v>
      </c>
      <c r="E848" s="2" t="n">
        <v>32</v>
      </c>
      <c r="F848" s="2" t="s">
        <v>50</v>
      </c>
      <c r="G848" s="3" t="n">
        <v>0</v>
      </c>
      <c r="H848" s="3" t="n">
        <v>1</v>
      </c>
      <c r="I848" s="3" t="n">
        <v>1</v>
      </c>
      <c r="J848" s="3" t="n">
        <v>0</v>
      </c>
      <c r="K848" s="3" t="n">
        <v>1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1</v>
      </c>
      <c r="R848" s="3" t="n">
        <v>1</v>
      </c>
      <c r="S848" s="3" t="n">
        <v>0</v>
      </c>
      <c r="T848" s="3" t="n">
        <v>1</v>
      </c>
      <c r="U848" s="3" t="n">
        <v>1</v>
      </c>
      <c r="V848" s="3" t="n">
        <v>1</v>
      </c>
      <c r="W848" s="3" t="n">
        <v>0</v>
      </c>
      <c r="X848" s="3" t="n">
        <v>0</v>
      </c>
      <c r="Y848" s="3" t="n">
        <v>0</v>
      </c>
      <c r="Z848" s="3" t="n">
        <v>1</v>
      </c>
      <c r="AA848" s="3" t="n">
        <v>1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1</v>
      </c>
      <c r="AG848" s="3" t="n">
        <v>1</v>
      </c>
      <c r="AH848" s="3" t="n">
        <v>0</v>
      </c>
      <c r="AI848" s="3" t="n">
        <v>0</v>
      </c>
      <c r="AJ848" s="4" t="n">
        <f aca="false">SUM(G848:AI848)</f>
        <v>12</v>
      </c>
      <c r="AK848" s="4" t="n">
        <f aca="false">ROUND(SUMPRODUCT(G848:AI848,Gene_Weights!$B$2:$AD$2),3)</f>
        <v>-10.26</v>
      </c>
      <c r="AL848" s="2" t="n">
        <v>3</v>
      </c>
      <c r="AM848" s="2" t="n">
        <v>2</v>
      </c>
      <c r="AN848" s="2" t="n">
        <v>66.67</v>
      </c>
      <c r="AO848" s="5" t="n">
        <v>55.12</v>
      </c>
      <c r="AP848" s="5" t="n">
        <v>56.02</v>
      </c>
      <c r="AQ848" s="5" t="n">
        <v>56.92</v>
      </c>
      <c r="AR848" s="5" t="n">
        <v>57.82</v>
      </c>
      <c r="AS848" s="5" t="n">
        <v>58.72</v>
      </c>
      <c r="AT848" s="5" t="n">
        <v>59.62</v>
      </c>
      <c r="AU848" s="5" t="n">
        <v>60.52</v>
      </c>
      <c r="AV848" s="5" t="s">
        <v>51</v>
      </c>
    </row>
    <row r="849" customFormat="false" ht="15" hidden="false" customHeight="false" outlineLevel="0" collapsed="false">
      <c r="A849" s="2" t="s">
        <v>197</v>
      </c>
      <c r="B849" s="2" t="n">
        <v>2018</v>
      </c>
      <c r="C849" s="2" t="s">
        <v>52</v>
      </c>
      <c r="D849" s="2" t="n">
        <v>0</v>
      </c>
      <c r="E849" s="2" t="n">
        <v>4</v>
      </c>
      <c r="F849" s="2" t="s">
        <v>50</v>
      </c>
      <c r="G849" s="3" t="n">
        <v>0</v>
      </c>
      <c r="H849" s="3" t="n">
        <v>1</v>
      </c>
      <c r="I849" s="3" t="n">
        <v>1</v>
      </c>
      <c r="J849" s="3" t="n">
        <v>0</v>
      </c>
      <c r="K849" s="3" t="n">
        <v>1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1</v>
      </c>
      <c r="R849" s="3" t="n">
        <v>1</v>
      </c>
      <c r="S849" s="3" t="n">
        <v>0</v>
      </c>
      <c r="T849" s="3" t="n">
        <v>1</v>
      </c>
      <c r="U849" s="3" t="n">
        <v>1</v>
      </c>
      <c r="V849" s="3" t="n">
        <v>1</v>
      </c>
      <c r="W849" s="3" t="n">
        <v>0</v>
      </c>
      <c r="X849" s="3" t="n">
        <v>0</v>
      </c>
      <c r="Y849" s="3" t="n">
        <v>0</v>
      </c>
      <c r="Z849" s="3" t="n">
        <v>1</v>
      </c>
      <c r="AA849" s="3" t="n">
        <v>1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1</v>
      </c>
      <c r="AG849" s="3" t="n">
        <v>1</v>
      </c>
      <c r="AH849" s="3" t="n">
        <v>0</v>
      </c>
      <c r="AI849" s="3" t="n">
        <v>0</v>
      </c>
      <c r="AJ849" s="4" t="n">
        <f aca="false">SUM(G849:AI849)</f>
        <v>12</v>
      </c>
      <c r="AK849" s="4" t="n">
        <f aca="false">ROUND(SUMPRODUCT(G849:AI849,Gene_Weights!$B$2:$AD$2),3)</f>
        <v>-10.26</v>
      </c>
      <c r="AL849" s="2" t="n">
        <v>3</v>
      </c>
      <c r="AM849" s="2" t="n">
        <v>1</v>
      </c>
      <c r="AN849" s="2" t="n">
        <v>33.33</v>
      </c>
      <c r="AO849" s="5" t="n">
        <v>64.53</v>
      </c>
      <c r="AP849" s="5" t="n">
        <v>66.13</v>
      </c>
      <c r="AQ849" s="5" t="n">
        <v>67.73</v>
      </c>
      <c r="AR849" s="5" t="n">
        <v>69.33</v>
      </c>
      <c r="AS849" s="5" t="n">
        <v>70.93</v>
      </c>
      <c r="AT849" s="5" t="n">
        <v>72.53</v>
      </c>
      <c r="AU849" s="5" t="n">
        <v>74.13</v>
      </c>
      <c r="AV849" s="5" t="s">
        <v>51</v>
      </c>
    </row>
    <row r="850" customFormat="false" ht="15" hidden="false" customHeight="false" outlineLevel="0" collapsed="false">
      <c r="A850" s="2" t="s">
        <v>197</v>
      </c>
      <c r="B850" s="2" t="n">
        <v>2018</v>
      </c>
      <c r="C850" s="2" t="s">
        <v>53</v>
      </c>
      <c r="D850" s="2" t="n">
        <v>0</v>
      </c>
      <c r="E850" s="2" t="n">
        <v>16</v>
      </c>
      <c r="F850" s="2" t="s">
        <v>50</v>
      </c>
      <c r="G850" s="3" t="n">
        <v>0</v>
      </c>
      <c r="H850" s="3" t="n">
        <v>1</v>
      </c>
      <c r="I850" s="3" t="n">
        <v>1</v>
      </c>
      <c r="J850" s="3" t="n">
        <v>0</v>
      </c>
      <c r="K850" s="3" t="n">
        <v>1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1</v>
      </c>
      <c r="R850" s="3" t="n">
        <v>1</v>
      </c>
      <c r="S850" s="3" t="n">
        <v>0</v>
      </c>
      <c r="T850" s="3" t="n">
        <v>1</v>
      </c>
      <c r="U850" s="3" t="n">
        <v>1</v>
      </c>
      <c r="V850" s="3" t="n">
        <v>1</v>
      </c>
      <c r="W850" s="3" t="n">
        <v>0</v>
      </c>
      <c r="X850" s="3" t="n">
        <v>0</v>
      </c>
      <c r="Y850" s="3" t="n">
        <v>0</v>
      </c>
      <c r="Z850" s="3" t="n">
        <v>1</v>
      </c>
      <c r="AA850" s="3" t="n">
        <v>1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1</v>
      </c>
      <c r="AG850" s="3" t="n">
        <v>1</v>
      </c>
      <c r="AH850" s="3" t="n">
        <v>0</v>
      </c>
      <c r="AI850" s="3" t="n">
        <v>0</v>
      </c>
      <c r="AJ850" s="4" t="n">
        <f aca="false">SUM(G850:AI850)</f>
        <v>12</v>
      </c>
      <c r="AK850" s="4" t="n">
        <f aca="false">ROUND(SUMPRODUCT(G850:AI850,Gene_Weights!$B$2:$AD$2),3)</f>
        <v>-10.26</v>
      </c>
      <c r="AL850" s="2" t="n">
        <v>3</v>
      </c>
      <c r="AM850" s="2" t="n">
        <v>0</v>
      </c>
      <c r="AN850" s="2" t="n">
        <v>0</v>
      </c>
      <c r="AO850" s="5" t="n">
        <v>52.86</v>
      </c>
      <c r="AP850" s="5" t="n">
        <v>53.65</v>
      </c>
      <c r="AQ850" s="5" t="n">
        <v>54.45</v>
      </c>
      <c r="AR850" s="5" t="n">
        <v>55.24</v>
      </c>
      <c r="AS850" s="5" t="n">
        <v>56.03</v>
      </c>
      <c r="AT850" s="5" t="n">
        <v>56.83</v>
      </c>
      <c r="AU850" s="5" t="n">
        <v>57.62</v>
      </c>
      <c r="AV850" s="5" t="s">
        <v>51</v>
      </c>
    </row>
    <row r="851" customFormat="false" ht="15" hidden="false" customHeight="false" outlineLevel="0" collapsed="false">
      <c r="A851" s="2" t="s">
        <v>197</v>
      </c>
      <c r="B851" s="2" t="n">
        <v>2018</v>
      </c>
      <c r="C851" s="2" t="s">
        <v>54</v>
      </c>
      <c r="D851" s="2" t="n">
        <v>1</v>
      </c>
      <c r="E851" s="2" t="n">
        <v>16</v>
      </c>
      <c r="F851" s="2" t="s">
        <v>50</v>
      </c>
      <c r="G851" s="3" t="n">
        <v>0</v>
      </c>
      <c r="H851" s="3" t="n">
        <v>1</v>
      </c>
      <c r="I851" s="3" t="n">
        <v>1</v>
      </c>
      <c r="J851" s="3" t="n">
        <v>0</v>
      </c>
      <c r="K851" s="3" t="n">
        <v>1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1</v>
      </c>
      <c r="R851" s="3" t="n">
        <v>1</v>
      </c>
      <c r="S851" s="3" t="n">
        <v>0</v>
      </c>
      <c r="T851" s="3" t="n">
        <v>1</v>
      </c>
      <c r="U851" s="3" t="n">
        <v>1</v>
      </c>
      <c r="V851" s="3" t="n">
        <v>1</v>
      </c>
      <c r="W851" s="3" t="n">
        <v>0</v>
      </c>
      <c r="X851" s="3" t="n">
        <v>0</v>
      </c>
      <c r="Y851" s="3" t="n">
        <v>0</v>
      </c>
      <c r="Z851" s="3" t="n">
        <v>1</v>
      </c>
      <c r="AA851" s="3" t="n">
        <v>1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1</v>
      </c>
      <c r="AG851" s="3" t="n">
        <v>1</v>
      </c>
      <c r="AH851" s="3" t="n">
        <v>0</v>
      </c>
      <c r="AI851" s="3" t="n">
        <v>0</v>
      </c>
      <c r="AJ851" s="4" t="n">
        <f aca="false">SUM(G851:AI851)</f>
        <v>12</v>
      </c>
      <c r="AK851" s="4" t="n">
        <f aca="false">ROUND(SUMPRODUCT(G851:AI851,Gene_Weights!$B$2:$AD$2),3)</f>
        <v>-10.26</v>
      </c>
      <c r="AL851" s="2" t="n">
        <v>3</v>
      </c>
      <c r="AM851" s="2" t="n">
        <v>3</v>
      </c>
      <c r="AN851" s="2" t="n">
        <v>100</v>
      </c>
      <c r="AO851" s="5" t="n">
        <v>81.84</v>
      </c>
      <c r="AP851" s="5" t="n">
        <v>84.45</v>
      </c>
      <c r="AQ851" s="5" t="n">
        <v>87.06</v>
      </c>
      <c r="AR851" s="5" t="n">
        <v>89.67</v>
      </c>
      <c r="AS851" s="5" t="n">
        <v>92.27</v>
      </c>
      <c r="AT851" s="5" t="n">
        <v>94.88</v>
      </c>
      <c r="AU851" s="5" t="n">
        <v>97.49</v>
      </c>
      <c r="AV851" s="5" t="s">
        <v>51</v>
      </c>
    </row>
    <row r="852" customFormat="false" ht="15" hidden="false" customHeight="false" outlineLevel="0" collapsed="false">
      <c r="A852" s="2" t="s">
        <v>197</v>
      </c>
      <c r="B852" s="2" t="n">
        <v>2018</v>
      </c>
      <c r="C852" s="2" t="s">
        <v>55</v>
      </c>
      <c r="D852" s="2" t="n">
        <v>1</v>
      </c>
      <c r="E852" s="2" t="n">
        <v>2</v>
      </c>
      <c r="F852" s="2" t="s">
        <v>50</v>
      </c>
      <c r="G852" s="3" t="n">
        <v>0</v>
      </c>
      <c r="H852" s="3" t="n">
        <v>1</v>
      </c>
      <c r="I852" s="3" t="n">
        <v>1</v>
      </c>
      <c r="J852" s="3" t="n">
        <v>0</v>
      </c>
      <c r="K852" s="3" t="n">
        <v>1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1</v>
      </c>
      <c r="R852" s="3" t="n">
        <v>1</v>
      </c>
      <c r="S852" s="3" t="n">
        <v>0</v>
      </c>
      <c r="T852" s="3" t="n">
        <v>1</v>
      </c>
      <c r="U852" s="3" t="n">
        <v>1</v>
      </c>
      <c r="V852" s="3" t="n">
        <v>1</v>
      </c>
      <c r="W852" s="3" t="n">
        <v>0</v>
      </c>
      <c r="X852" s="3" t="n">
        <v>0</v>
      </c>
      <c r="Y852" s="3" t="n">
        <v>0</v>
      </c>
      <c r="Z852" s="3" t="n">
        <v>1</v>
      </c>
      <c r="AA852" s="3" t="n">
        <v>1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1</v>
      </c>
      <c r="AG852" s="3" t="n">
        <v>1</v>
      </c>
      <c r="AH852" s="3" t="n">
        <v>0</v>
      </c>
      <c r="AI852" s="3" t="n">
        <v>0</v>
      </c>
      <c r="AJ852" s="4" t="n">
        <f aca="false">SUM(G852:AI852)</f>
        <v>12</v>
      </c>
      <c r="AK852" s="4" t="n">
        <f aca="false">ROUND(SUMPRODUCT(G852:AI852,Gene_Weights!$B$2:$AD$2),3)</f>
        <v>-10.26</v>
      </c>
      <c r="AL852" s="2" t="n">
        <v>3</v>
      </c>
      <c r="AM852" s="2" t="n">
        <v>1</v>
      </c>
      <c r="AN852" s="2" t="n">
        <v>33.33</v>
      </c>
      <c r="AO852" s="5" t="n">
        <v>58.19</v>
      </c>
      <c r="AP852" s="5" t="n">
        <v>59.74</v>
      </c>
      <c r="AQ852" s="5" t="n">
        <v>61.3</v>
      </c>
      <c r="AR852" s="5" t="n">
        <v>62.86</v>
      </c>
      <c r="AS852" s="5" t="n">
        <v>64.42</v>
      </c>
      <c r="AT852" s="5" t="n">
        <v>65.98</v>
      </c>
      <c r="AU852" s="5" t="n">
        <v>67.53</v>
      </c>
      <c r="AV852" s="5" t="s">
        <v>51</v>
      </c>
    </row>
    <row r="853" customFormat="false" ht="15" hidden="false" customHeight="false" outlineLevel="0" collapsed="false">
      <c r="A853" s="2" t="s">
        <v>197</v>
      </c>
      <c r="B853" s="2" t="n">
        <v>2018</v>
      </c>
      <c r="C853" s="2" t="s">
        <v>56</v>
      </c>
      <c r="D853" s="2" t="n">
        <v>1</v>
      </c>
      <c r="E853" s="2" t="n">
        <v>2</v>
      </c>
      <c r="F853" s="2" t="s">
        <v>50</v>
      </c>
      <c r="G853" s="3" t="n">
        <v>0</v>
      </c>
      <c r="H853" s="3" t="n">
        <v>1</v>
      </c>
      <c r="I853" s="3" t="n">
        <v>1</v>
      </c>
      <c r="J853" s="3" t="n">
        <v>0</v>
      </c>
      <c r="K853" s="3" t="n">
        <v>1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1</v>
      </c>
      <c r="R853" s="3" t="n">
        <v>1</v>
      </c>
      <c r="S853" s="3" t="n">
        <v>0</v>
      </c>
      <c r="T853" s="3" t="n">
        <v>1</v>
      </c>
      <c r="U853" s="3" t="n">
        <v>1</v>
      </c>
      <c r="V853" s="3" t="n">
        <v>1</v>
      </c>
      <c r="W853" s="3" t="n">
        <v>0</v>
      </c>
      <c r="X853" s="3" t="n">
        <v>0</v>
      </c>
      <c r="Y853" s="3" t="n">
        <v>0</v>
      </c>
      <c r="Z853" s="3" t="n">
        <v>1</v>
      </c>
      <c r="AA853" s="3" t="n">
        <v>1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1</v>
      </c>
      <c r="AG853" s="3" t="n">
        <v>1</v>
      </c>
      <c r="AH853" s="3" t="n">
        <v>0</v>
      </c>
      <c r="AI853" s="3" t="n">
        <v>0</v>
      </c>
      <c r="AJ853" s="4" t="n">
        <f aca="false">SUM(G853:AI853)</f>
        <v>12</v>
      </c>
      <c r="AK853" s="4" t="n">
        <f aca="false">ROUND(SUMPRODUCT(G853:AI853,Gene_Weights!$B$2:$AD$2),3)</f>
        <v>-10.26</v>
      </c>
      <c r="AL853" s="2" t="n">
        <v>3</v>
      </c>
      <c r="AM853" s="2" t="n">
        <v>2</v>
      </c>
      <c r="AN853" s="2" t="n">
        <v>66.67</v>
      </c>
      <c r="AO853" s="5" t="n">
        <v>75.59</v>
      </c>
      <c r="AP853" s="5" t="n">
        <v>78.01</v>
      </c>
      <c r="AQ853" s="5" t="n">
        <v>80.42</v>
      </c>
      <c r="AR853" s="5" t="n">
        <v>82.83</v>
      </c>
      <c r="AS853" s="5" t="n">
        <v>85.24</v>
      </c>
      <c r="AT853" s="5" t="n">
        <v>87.66</v>
      </c>
      <c r="AU853" s="5" t="n">
        <v>90.07</v>
      </c>
      <c r="AV853" s="5" t="s">
        <v>51</v>
      </c>
    </row>
    <row r="854" customFormat="false" ht="15" hidden="false" customHeight="false" outlineLevel="0" collapsed="false">
      <c r="A854" s="2" t="s">
        <v>198</v>
      </c>
      <c r="B854" s="2" t="n">
        <v>2015</v>
      </c>
      <c r="C854" s="2" t="s">
        <v>49</v>
      </c>
      <c r="D854" s="2" t="n">
        <v>0</v>
      </c>
      <c r="E854" s="2" t="n">
        <v>16</v>
      </c>
      <c r="F854" s="2" t="s">
        <v>50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1</v>
      </c>
      <c r="Q854" s="3" t="n">
        <v>0</v>
      </c>
      <c r="R854" s="3" t="n">
        <v>1</v>
      </c>
      <c r="S854" s="3" t="n">
        <v>1</v>
      </c>
      <c r="T854" s="3" t="n">
        <v>1</v>
      </c>
      <c r="U854" s="3" t="n">
        <v>0</v>
      </c>
      <c r="V854" s="3" t="n">
        <v>1</v>
      </c>
      <c r="W854" s="3" t="n">
        <v>1</v>
      </c>
      <c r="X854" s="3" t="n">
        <v>1</v>
      </c>
      <c r="Y854" s="3" t="n">
        <v>1</v>
      </c>
      <c r="Z854" s="3" t="n">
        <v>0</v>
      </c>
      <c r="AA854" s="3" t="n">
        <v>0</v>
      </c>
      <c r="AB854" s="3" t="n">
        <v>0</v>
      </c>
      <c r="AC854" s="3" t="n">
        <v>1</v>
      </c>
      <c r="AD854" s="3" t="n">
        <v>0</v>
      </c>
      <c r="AE854" s="3" t="n">
        <v>0</v>
      </c>
      <c r="AF854" s="3" t="n">
        <v>1</v>
      </c>
      <c r="AG854" s="3" t="n">
        <v>0</v>
      </c>
      <c r="AH854" s="3" t="n">
        <v>0</v>
      </c>
      <c r="AI854" s="3" t="n">
        <v>0</v>
      </c>
      <c r="AJ854" s="4" t="n">
        <f aca="false">SUM(G854:AI854)</f>
        <v>14</v>
      </c>
      <c r="AK854" s="4" t="n">
        <f aca="false">ROUND(SUMPRODUCT(G854:AI854,Gene_Weights!$B$2:$AD$2),3)</f>
        <v>-9.62</v>
      </c>
      <c r="AL854" s="2" t="n">
        <v>3</v>
      </c>
      <c r="AM854" s="2" t="n">
        <v>2</v>
      </c>
      <c r="AN854" s="2" t="n">
        <v>66.67</v>
      </c>
      <c r="AO854" s="5" t="n">
        <v>55.12</v>
      </c>
      <c r="AP854" s="5" t="n">
        <v>56.02</v>
      </c>
      <c r="AQ854" s="5" t="n">
        <v>56.92</v>
      </c>
      <c r="AR854" s="5" t="n">
        <v>57.82</v>
      </c>
      <c r="AS854" s="5" t="n">
        <v>58.72</v>
      </c>
      <c r="AT854" s="5" t="n">
        <v>59.62</v>
      </c>
      <c r="AU854" s="5" t="n">
        <v>60.52</v>
      </c>
      <c r="AV854" s="5" t="s">
        <v>51</v>
      </c>
    </row>
    <row r="855" customFormat="false" ht="15" hidden="false" customHeight="false" outlineLevel="0" collapsed="false">
      <c r="A855" s="2" t="s">
        <v>198</v>
      </c>
      <c r="B855" s="2" t="n">
        <v>2015</v>
      </c>
      <c r="C855" s="2" t="s">
        <v>52</v>
      </c>
      <c r="D855" s="2" t="n">
        <v>1</v>
      </c>
      <c r="E855" s="2" t="n">
        <v>4</v>
      </c>
      <c r="F855" s="2" t="s">
        <v>50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1</v>
      </c>
      <c r="Q855" s="3" t="n">
        <v>0</v>
      </c>
      <c r="R855" s="3" t="n">
        <v>1</v>
      </c>
      <c r="S855" s="3" t="n">
        <v>1</v>
      </c>
      <c r="T855" s="3" t="n">
        <v>1</v>
      </c>
      <c r="U855" s="3" t="n">
        <v>0</v>
      </c>
      <c r="V855" s="3" t="n">
        <v>1</v>
      </c>
      <c r="W855" s="3" t="n">
        <v>1</v>
      </c>
      <c r="X855" s="3" t="n">
        <v>1</v>
      </c>
      <c r="Y855" s="3" t="n">
        <v>1</v>
      </c>
      <c r="Z855" s="3" t="n">
        <v>0</v>
      </c>
      <c r="AA855" s="3" t="n">
        <v>0</v>
      </c>
      <c r="AB855" s="3" t="n">
        <v>0</v>
      </c>
      <c r="AC855" s="3" t="n">
        <v>1</v>
      </c>
      <c r="AD855" s="3" t="n">
        <v>0</v>
      </c>
      <c r="AE855" s="3" t="n">
        <v>0</v>
      </c>
      <c r="AF855" s="3" t="n">
        <v>1</v>
      </c>
      <c r="AG855" s="3" t="n">
        <v>0</v>
      </c>
      <c r="AH855" s="3" t="n">
        <v>0</v>
      </c>
      <c r="AI855" s="3" t="n">
        <v>0</v>
      </c>
      <c r="AJ855" s="4" t="n">
        <f aca="false">SUM(G855:AI855)</f>
        <v>14</v>
      </c>
      <c r="AK855" s="4" t="n">
        <f aca="false">ROUND(SUMPRODUCT(G855:AI855,Gene_Weights!$B$2:$AD$2),3)</f>
        <v>-9.62</v>
      </c>
      <c r="AL855" s="2" t="n">
        <v>3</v>
      </c>
      <c r="AM855" s="2" t="n">
        <v>1</v>
      </c>
      <c r="AN855" s="2" t="n">
        <v>33.33</v>
      </c>
      <c r="AO855" s="5" t="n">
        <v>64.53</v>
      </c>
      <c r="AP855" s="5" t="n">
        <v>66.13</v>
      </c>
      <c r="AQ855" s="5" t="n">
        <v>67.73</v>
      </c>
      <c r="AR855" s="5" t="n">
        <v>69.33</v>
      </c>
      <c r="AS855" s="5" t="n">
        <v>70.93</v>
      </c>
      <c r="AT855" s="5" t="n">
        <v>72.53</v>
      </c>
      <c r="AU855" s="5" t="n">
        <v>74.13</v>
      </c>
      <c r="AV855" s="5" t="s">
        <v>51</v>
      </c>
    </row>
    <row r="856" customFormat="false" ht="15" hidden="false" customHeight="false" outlineLevel="0" collapsed="false">
      <c r="A856" s="2" t="s">
        <v>198</v>
      </c>
      <c r="B856" s="2" t="n">
        <v>2015</v>
      </c>
      <c r="C856" s="2" t="s">
        <v>53</v>
      </c>
      <c r="D856" s="2" t="n">
        <v>0</v>
      </c>
      <c r="E856" s="2" t="n">
        <v>32</v>
      </c>
      <c r="F856" s="2" t="s">
        <v>50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1</v>
      </c>
      <c r="Q856" s="3" t="n">
        <v>0</v>
      </c>
      <c r="R856" s="3" t="n">
        <v>1</v>
      </c>
      <c r="S856" s="3" t="n">
        <v>1</v>
      </c>
      <c r="T856" s="3" t="n">
        <v>1</v>
      </c>
      <c r="U856" s="3" t="n">
        <v>0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0</v>
      </c>
      <c r="AA856" s="3" t="n">
        <v>0</v>
      </c>
      <c r="AB856" s="3" t="n">
        <v>0</v>
      </c>
      <c r="AC856" s="3" t="n">
        <v>1</v>
      </c>
      <c r="AD856" s="3" t="n">
        <v>0</v>
      </c>
      <c r="AE856" s="3" t="n">
        <v>0</v>
      </c>
      <c r="AF856" s="3" t="n">
        <v>1</v>
      </c>
      <c r="AG856" s="3" t="n">
        <v>0</v>
      </c>
      <c r="AH856" s="3" t="n">
        <v>0</v>
      </c>
      <c r="AI856" s="3" t="n">
        <v>0</v>
      </c>
      <c r="AJ856" s="4" t="n">
        <f aca="false">SUM(G856:AI856)</f>
        <v>14</v>
      </c>
      <c r="AK856" s="4" t="n">
        <f aca="false">ROUND(SUMPRODUCT(G856:AI856,Gene_Weights!$B$2:$AD$2),3)</f>
        <v>-9.62</v>
      </c>
      <c r="AL856" s="2" t="n">
        <v>3</v>
      </c>
      <c r="AM856" s="2" t="n">
        <v>1</v>
      </c>
      <c r="AN856" s="2" t="n">
        <v>33.33</v>
      </c>
      <c r="AO856" s="5" t="n">
        <v>52.86</v>
      </c>
      <c r="AP856" s="5" t="n">
        <v>53.65</v>
      </c>
      <c r="AQ856" s="5" t="n">
        <v>54.45</v>
      </c>
      <c r="AR856" s="5" t="n">
        <v>55.24</v>
      </c>
      <c r="AS856" s="5" t="n">
        <v>56.03</v>
      </c>
      <c r="AT856" s="5" t="n">
        <v>56.83</v>
      </c>
      <c r="AU856" s="5" t="n">
        <v>57.62</v>
      </c>
      <c r="AV856" s="5" t="s">
        <v>51</v>
      </c>
    </row>
    <row r="857" customFormat="false" ht="15" hidden="false" customHeight="false" outlineLevel="0" collapsed="false">
      <c r="A857" s="2" t="s">
        <v>198</v>
      </c>
      <c r="B857" s="2" t="n">
        <v>2015</v>
      </c>
      <c r="C857" s="2" t="s">
        <v>54</v>
      </c>
      <c r="D857" s="2" t="n">
        <v>0</v>
      </c>
      <c r="E857" s="2" t="n">
        <v>4</v>
      </c>
      <c r="F857" s="2" t="s">
        <v>50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1</v>
      </c>
      <c r="Q857" s="3" t="n">
        <v>0</v>
      </c>
      <c r="R857" s="3" t="n">
        <v>1</v>
      </c>
      <c r="S857" s="3" t="n">
        <v>1</v>
      </c>
      <c r="T857" s="3" t="n">
        <v>1</v>
      </c>
      <c r="U857" s="3" t="n">
        <v>0</v>
      </c>
      <c r="V857" s="3" t="n">
        <v>1</v>
      </c>
      <c r="W857" s="3" t="n">
        <v>1</v>
      </c>
      <c r="X857" s="3" t="n">
        <v>1</v>
      </c>
      <c r="Y857" s="3" t="n">
        <v>1</v>
      </c>
      <c r="Z857" s="3" t="n">
        <v>0</v>
      </c>
      <c r="AA857" s="3" t="n">
        <v>0</v>
      </c>
      <c r="AB857" s="3" t="n">
        <v>0</v>
      </c>
      <c r="AC857" s="3" t="n">
        <v>1</v>
      </c>
      <c r="AD857" s="3" t="n">
        <v>0</v>
      </c>
      <c r="AE857" s="3" t="n">
        <v>0</v>
      </c>
      <c r="AF857" s="3" t="n">
        <v>1</v>
      </c>
      <c r="AG857" s="3" t="n">
        <v>0</v>
      </c>
      <c r="AH857" s="3" t="n">
        <v>0</v>
      </c>
      <c r="AI857" s="3" t="n">
        <v>0</v>
      </c>
      <c r="AJ857" s="4" t="n">
        <f aca="false">SUM(G857:AI857)</f>
        <v>14</v>
      </c>
      <c r="AK857" s="4" t="n">
        <f aca="false">ROUND(SUMPRODUCT(G857:AI857,Gene_Weights!$B$2:$AD$2),3)</f>
        <v>-9.62</v>
      </c>
      <c r="AL857" s="2" t="n">
        <v>3</v>
      </c>
      <c r="AM857" s="2" t="n">
        <v>1</v>
      </c>
      <c r="AN857" s="2" t="n">
        <v>33.33</v>
      </c>
      <c r="AO857" s="5" t="n">
        <v>81.84</v>
      </c>
      <c r="AP857" s="5" t="n">
        <v>84.45</v>
      </c>
      <c r="AQ857" s="5" t="n">
        <v>87.06</v>
      </c>
      <c r="AR857" s="5" t="n">
        <v>89.67</v>
      </c>
      <c r="AS857" s="5" t="n">
        <v>92.27</v>
      </c>
      <c r="AT857" s="5" t="n">
        <v>94.88</v>
      </c>
      <c r="AU857" s="5" t="n">
        <v>97.49</v>
      </c>
      <c r="AV857" s="5" t="s">
        <v>51</v>
      </c>
    </row>
    <row r="858" customFormat="false" ht="15" hidden="false" customHeight="false" outlineLevel="0" collapsed="false">
      <c r="A858" s="2" t="s">
        <v>198</v>
      </c>
      <c r="B858" s="2" t="n">
        <v>2015</v>
      </c>
      <c r="C858" s="2" t="s">
        <v>55</v>
      </c>
      <c r="D858" s="2" t="n">
        <v>1</v>
      </c>
      <c r="E858" s="2" t="n">
        <v>4</v>
      </c>
      <c r="F858" s="2" t="s">
        <v>50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1</v>
      </c>
      <c r="Q858" s="3" t="n">
        <v>0</v>
      </c>
      <c r="R858" s="3" t="n">
        <v>1</v>
      </c>
      <c r="S858" s="3" t="n">
        <v>1</v>
      </c>
      <c r="T858" s="3" t="n">
        <v>1</v>
      </c>
      <c r="U858" s="3" t="n">
        <v>0</v>
      </c>
      <c r="V858" s="3" t="n">
        <v>1</v>
      </c>
      <c r="W858" s="3" t="n">
        <v>1</v>
      </c>
      <c r="X858" s="3" t="n">
        <v>1</v>
      </c>
      <c r="Y858" s="3" t="n">
        <v>1</v>
      </c>
      <c r="Z858" s="3" t="n">
        <v>0</v>
      </c>
      <c r="AA858" s="3" t="n">
        <v>0</v>
      </c>
      <c r="AB858" s="3" t="n">
        <v>0</v>
      </c>
      <c r="AC858" s="3" t="n">
        <v>1</v>
      </c>
      <c r="AD858" s="3" t="n">
        <v>0</v>
      </c>
      <c r="AE858" s="3" t="n">
        <v>0</v>
      </c>
      <c r="AF858" s="3" t="n">
        <v>1</v>
      </c>
      <c r="AG858" s="3" t="n">
        <v>0</v>
      </c>
      <c r="AH858" s="3" t="n">
        <v>0</v>
      </c>
      <c r="AI858" s="3" t="n">
        <v>0</v>
      </c>
      <c r="AJ858" s="4" t="n">
        <f aca="false">SUM(G858:AI858)</f>
        <v>14</v>
      </c>
      <c r="AK858" s="4" t="n">
        <f aca="false">ROUND(SUMPRODUCT(G858:AI858,Gene_Weights!$B$2:$AD$2),3)</f>
        <v>-9.62</v>
      </c>
      <c r="AL858" s="2" t="n">
        <v>3</v>
      </c>
      <c r="AM858" s="2" t="n">
        <v>3</v>
      </c>
      <c r="AN858" s="2" t="n">
        <v>100</v>
      </c>
      <c r="AO858" s="5" t="n">
        <v>58.19</v>
      </c>
      <c r="AP858" s="5" t="n">
        <v>59.74</v>
      </c>
      <c r="AQ858" s="5" t="n">
        <v>61.3</v>
      </c>
      <c r="AR858" s="5" t="n">
        <v>62.86</v>
      </c>
      <c r="AS858" s="5" t="n">
        <v>64.42</v>
      </c>
      <c r="AT858" s="5" t="n">
        <v>65.98</v>
      </c>
      <c r="AU858" s="5" t="n">
        <v>67.53</v>
      </c>
      <c r="AV858" s="5" t="s">
        <v>51</v>
      </c>
    </row>
    <row r="859" customFormat="false" ht="15" hidden="false" customHeight="false" outlineLevel="0" collapsed="false">
      <c r="A859" s="2" t="s">
        <v>198</v>
      </c>
      <c r="B859" s="2" t="n">
        <v>2015</v>
      </c>
      <c r="C859" s="2" t="s">
        <v>56</v>
      </c>
      <c r="D859" s="2" t="n">
        <v>0</v>
      </c>
      <c r="E859" s="2" t="n">
        <v>2</v>
      </c>
      <c r="F859" s="2" t="s">
        <v>50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1</v>
      </c>
      <c r="Q859" s="3" t="n">
        <v>0</v>
      </c>
      <c r="R859" s="3" t="n">
        <v>1</v>
      </c>
      <c r="S859" s="3" t="n">
        <v>1</v>
      </c>
      <c r="T859" s="3" t="n">
        <v>1</v>
      </c>
      <c r="U859" s="3" t="n">
        <v>0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0</v>
      </c>
      <c r="AA859" s="3" t="n">
        <v>0</v>
      </c>
      <c r="AB859" s="3" t="n">
        <v>0</v>
      </c>
      <c r="AC859" s="3" t="n">
        <v>1</v>
      </c>
      <c r="AD859" s="3" t="n">
        <v>0</v>
      </c>
      <c r="AE859" s="3" t="n">
        <v>0</v>
      </c>
      <c r="AF859" s="3" t="n">
        <v>1</v>
      </c>
      <c r="AG859" s="3" t="n">
        <v>0</v>
      </c>
      <c r="AH859" s="3" t="n">
        <v>0</v>
      </c>
      <c r="AI859" s="3" t="n">
        <v>0</v>
      </c>
      <c r="AJ859" s="4" t="n">
        <f aca="false">SUM(G859:AI859)</f>
        <v>14</v>
      </c>
      <c r="AK859" s="4" t="n">
        <f aca="false">ROUND(SUMPRODUCT(G859:AI859,Gene_Weights!$B$2:$AD$2),3)</f>
        <v>-9.62</v>
      </c>
      <c r="AL859" s="2" t="n">
        <v>3</v>
      </c>
      <c r="AM859" s="2" t="n">
        <v>0</v>
      </c>
      <c r="AN859" s="2" t="n">
        <v>0</v>
      </c>
      <c r="AO859" s="5" t="n">
        <v>75.59</v>
      </c>
      <c r="AP859" s="5" t="n">
        <v>78.01</v>
      </c>
      <c r="AQ859" s="5" t="n">
        <v>80.42</v>
      </c>
      <c r="AR859" s="5" t="n">
        <v>82.83</v>
      </c>
      <c r="AS859" s="5" t="n">
        <v>85.24</v>
      </c>
      <c r="AT859" s="5" t="n">
        <v>87.66</v>
      </c>
      <c r="AU859" s="5" t="n">
        <v>90.07</v>
      </c>
      <c r="AV859" s="5" t="s">
        <v>51</v>
      </c>
    </row>
    <row r="860" customFormat="false" ht="15" hidden="false" customHeight="false" outlineLevel="0" collapsed="false">
      <c r="A860" s="2" t="s">
        <v>199</v>
      </c>
      <c r="B860" s="2" t="n">
        <v>2002</v>
      </c>
      <c r="C860" s="2" t="s">
        <v>49</v>
      </c>
      <c r="D860" s="2" t="n">
        <v>1</v>
      </c>
      <c r="E860" s="2" t="n">
        <v>2</v>
      </c>
      <c r="F860" s="2" t="s">
        <v>50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1</v>
      </c>
      <c r="L860" s="3" t="n">
        <v>1</v>
      </c>
      <c r="M860" s="3" t="n">
        <v>1</v>
      </c>
      <c r="N860" s="3" t="n">
        <v>0</v>
      </c>
      <c r="O860" s="3" t="n">
        <v>1</v>
      </c>
      <c r="P860" s="3" t="n">
        <v>0</v>
      </c>
      <c r="Q860" s="3" t="n">
        <v>1</v>
      </c>
      <c r="R860" s="3" t="n">
        <v>0</v>
      </c>
      <c r="S860" s="3" t="n">
        <v>1</v>
      </c>
      <c r="T860" s="3" t="n">
        <v>1</v>
      </c>
      <c r="U860" s="3" t="n">
        <v>0</v>
      </c>
      <c r="V860" s="3" t="n">
        <v>0</v>
      </c>
      <c r="W860" s="3" t="n">
        <v>1</v>
      </c>
      <c r="X860" s="3" t="n">
        <v>0</v>
      </c>
      <c r="Y860" s="3" t="n">
        <v>0</v>
      </c>
      <c r="Z860" s="3" t="n">
        <v>1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1</v>
      </c>
      <c r="AF860" s="3" t="n">
        <v>1</v>
      </c>
      <c r="AG860" s="3" t="n">
        <v>0</v>
      </c>
      <c r="AH860" s="3" t="n">
        <v>0</v>
      </c>
      <c r="AI860" s="3" t="n">
        <v>0</v>
      </c>
      <c r="AJ860" s="4" t="n">
        <f aca="false">SUM(G860:AI860)</f>
        <v>11</v>
      </c>
      <c r="AK860" s="4" t="n">
        <f aca="false">ROUND(SUMPRODUCT(G860:AI860,Gene_Weights!$B$2:$AD$2),3)</f>
        <v>-7.89</v>
      </c>
      <c r="AL860" s="2" t="n">
        <v>5</v>
      </c>
      <c r="AM860" s="2" t="n">
        <v>1</v>
      </c>
      <c r="AN860" s="2" t="n">
        <v>20</v>
      </c>
      <c r="AO860" s="5" t="n">
        <v>55.12</v>
      </c>
      <c r="AP860" s="5" t="n">
        <v>56.02</v>
      </c>
      <c r="AQ860" s="5" t="n">
        <v>56.92</v>
      </c>
      <c r="AR860" s="5" t="n">
        <v>57.82</v>
      </c>
      <c r="AS860" s="5" t="n">
        <v>58.72</v>
      </c>
      <c r="AT860" s="5" t="n">
        <v>59.62</v>
      </c>
      <c r="AU860" s="5" t="n">
        <v>60.52</v>
      </c>
      <c r="AV860" s="5" t="s">
        <v>51</v>
      </c>
    </row>
    <row r="861" customFormat="false" ht="15" hidden="false" customHeight="false" outlineLevel="0" collapsed="false">
      <c r="A861" s="2" t="s">
        <v>199</v>
      </c>
      <c r="B861" s="2" t="n">
        <v>2002</v>
      </c>
      <c r="C861" s="2" t="s">
        <v>52</v>
      </c>
      <c r="D861" s="2" t="n">
        <v>0</v>
      </c>
      <c r="E861" s="2" t="n">
        <v>32</v>
      </c>
      <c r="F861" s="2" t="s">
        <v>50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1</v>
      </c>
      <c r="L861" s="3" t="n">
        <v>1</v>
      </c>
      <c r="M861" s="3" t="n">
        <v>1</v>
      </c>
      <c r="N861" s="3" t="n">
        <v>0</v>
      </c>
      <c r="O861" s="3" t="n">
        <v>1</v>
      </c>
      <c r="P861" s="3" t="n">
        <v>0</v>
      </c>
      <c r="Q861" s="3" t="n">
        <v>1</v>
      </c>
      <c r="R861" s="3" t="n">
        <v>0</v>
      </c>
      <c r="S861" s="3" t="n">
        <v>1</v>
      </c>
      <c r="T861" s="3" t="n">
        <v>1</v>
      </c>
      <c r="U861" s="3" t="n">
        <v>0</v>
      </c>
      <c r="V861" s="3" t="n">
        <v>0</v>
      </c>
      <c r="W861" s="3" t="n">
        <v>1</v>
      </c>
      <c r="X861" s="3" t="n">
        <v>0</v>
      </c>
      <c r="Y861" s="3" t="n">
        <v>0</v>
      </c>
      <c r="Z861" s="3" t="n">
        <v>1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1</v>
      </c>
      <c r="AF861" s="3" t="n">
        <v>1</v>
      </c>
      <c r="AG861" s="3" t="n">
        <v>0</v>
      </c>
      <c r="AH861" s="3" t="n">
        <v>0</v>
      </c>
      <c r="AI861" s="3" t="n">
        <v>0</v>
      </c>
      <c r="AJ861" s="4" t="n">
        <f aca="false">SUM(G861:AI861)</f>
        <v>11</v>
      </c>
      <c r="AK861" s="4" t="n">
        <f aca="false">ROUND(SUMPRODUCT(G861:AI861,Gene_Weights!$B$2:$AD$2),3)</f>
        <v>-7.89</v>
      </c>
      <c r="AL861" s="2" t="n">
        <v>5</v>
      </c>
      <c r="AM861" s="2" t="n">
        <v>3</v>
      </c>
      <c r="AN861" s="2" t="n">
        <v>60</v>
      </c>
      <c r="AO861" s="5" t="n">
        <v>64.53</v>
      </c>
      <c r="AP861" s="5" t="n">
        <v>66.13</v>
      </c>
      <c r="AQ861" s="5" t="n">
        <v>67.73</v>
      </c>
      <c r="AR861" s="5" t="n">
        <v>69.33</v>
      </c>
      <c r="AS861" s="5" t="n">
        <v>70.93</v>
      </c>
      <c r="AT861" s="5" t="n">
        <v>72.53</v>
      </c>
      <c r="AU861" s="5" t="n">
        <v>74.13</v>
      </c>
      <c r="AV861" s="5" t="s">
        <v>51</v>
      </c>
    </row>
    <row r="862" customFormat="false" ht="15" hidden="false" customHeight="false" outlineLevel="0" collapsed="false">
      <c r="A862" s="2" t="s">
        <v>199</v>
      </c>
      <c r="B862" s="2" t="n">
        <v>2002</v>
      </c>
      <c r="C862" s="2" t="s">
        <v>53</v>
      </c>
      <c r="D862" s="2" t="n">
        <v>0</v>
      </c>
      <c r="E862" s="2" t="n">
        <v>4</v>
      </c>
      <c r="F862" s="2" t="s">
        <v>50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1</v>
      </c>
      <c r="L862" s="3" t="n">
        <v>1</v>
      </c>
      <c r="M862" s="3" t="n">
        <v>1</v>
      </c>
      <c r="N862" s="3" t="n">
        <v>0</v>
      </c>
      <c r="O862" s="3" t="n">
        <v>1</v>
      </c>
      <c r="P862" s="3" t="n">
        <v>0</v>
      </c>
      <c r="Q862" s="3" t="n">
        <v>1</v>
      </c>
      <c r="R862" s="3" t="n">
        <v>0</v>
      </c>
      <c r="S862" s="3" t="n">
        <v>1</v>
      </c>
      <c r="T862" s="3" t="n">
        <v>1</v>
      </c>
      <c r="U862" s="3" t="n">
        <v>0</v>
      </c>
      <c r="V862" s="3" t="n">
        <v>0</v>
      </c>
      <c r="W862" s="3" t="n">
        <v>1</v>
      </c>
      <c r="X862" s="3" t="n">
        <v>0</v>
      </c>
      <c r="Y862" s="3" t="n">
        <v>0</v>
      </c>
      <c r="Z862" s="3" t="n">
        <v>1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1</v>
      </c>
      <c r="AF862" s="3" t="n">
        <v>1</v>
      </c>
      <c r="AG862" s="3" t="n">
        <v>0</v>
      </c>
      <c r="AH862" s="3" t="n">
        <v>0</v>
      </c>
      <c r="AI862" s="3" t="n">
        <v>0</v>
      </c>
      <c r="AJ862" s="4" t="n">
        <f aca="false">SUM(G862:AI862)</f>
        <v>11</v>
      </c>
      <c r="AK862" s="4" t="n">
        <f aca="false">ROUND(SUMPRODUCT(G862:AI862,Gene_Weights!$B$2:$AD$2),3)</f>
        <v>-7.89</v>
      </c>
      <c r="AL862" s="2" t="n">
        <v>5</v>
      </c>
      <c r="AM862" s="2" t="n">
        <v>0</v>
      </c>
      <c r="AN862" s="2" t="n">
        <v>0</v>
      </c>
      <c r="AO862" s="5" t="n">
        <v>52.86</v>
      </c>
      <c r="AP862" s="5" t="n">
        <v>53.65</v>
      </c>
      <c r="AQ862" s="5" t="n">
        <v>54.45</v>
      </c>
      <c r="AR862" s="5" t="n">
        <v>55.24</v>
      </c>
      <c r="AS862" s="5" t="n">
        <v>56.03</v>
      </c>
      <c r="AT862" s="5" t="n">
        <v>56.83</v>
      </c>
      <c r="AU862" s="5" t="n">
        <v>57.62</v>
      </c>
      <c r="AV862" s="5" t="s">
        <v>51</v>
      </c>
    </row>
    <row r="863" customFormat="false" ht="15" hidden="false" customHeight="false" outlineLevel="0" collapsed="false">
      <c r="A863" s="2" t="s">
        <v>199</v>
      </c>
      <c r="B863" s="2" t="n">
        <v>2002</v>
      </c>
      <c r="C863" s="2" t="s">
        <v>54</v>
      </c>
      <c r="D863" s="2" t="n">
        <v>0</v>
      </c>
      <c r="E863" s="2" t="n">
        <v>2</v>
      </c>
      <c r="F863" s="2" t="s">
        <v>50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1</v>
      </c>
      <c r="L863" s="3" t="n">
        <v>1</v>
      </c>
      <c r="M863" s="3" t="n">
        <v>1</v>
      </c>
      <c r="N863" s="3" t="n">
        <v>0</v>
      </c>
      <c r="O863" s="3" t="n">
        <v>1</v>
      </c>
      <c r="P863" s="3" t="n">
        <v>0</v>
      </c>
      <c r="Q863" s="3" t="n">
        <v>1</v>
      </c>
      <c r="R863" s="3" t="n">
        <v>0</v>
      </c>
      <c r="S863" s="3" t="n">
        <v>1</v>
      </c>
      <c r="T863" s="3" t="n">
        <v>1</v>
      </c>
      <c r="U863" s="3" t="n">
        <v>0</v>
      </c>
      <c r="V863" s="3" t="n">
        <v>0</v>
      </c>
      <c r="W863" s="3" t="n">
        <v>1</v>
      </c>
      <c r="X863" s="3" t="n">
        <v>0</v>
      </c>
      <c r="Y863" s="3" t="n">
        <v>0</v>
      </c>
      <c r="Z863" s="3" t="n">
        <v>1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1</v>
      </c>
      <c r="AF863" s="3" t="n">
        <v>1</v>
      </c>
      <c r="AG863" s="3" t="n">
        <v>0</v>
      </c>
      <c r="AH863" s="3" t="n">
        <v>0</v>
      </c>
      <c r="AI863" s="3" t="n">
        <v>0</v>
      </c>
      <c r="AJ863" s="4" t="n">
        <f aca="false">SUM(G863:AI863)</f>
        <v>11</v>
      </c>
      <c r="AK863" s="4" t="n">
        <f aca="false">ROUND(SUMPRODUCT(G863:AI863,Gene_Weights!$B$2:$AD$2),3)</f>
        <v>-7.89</v>
      </c>
      <c r="AL863" s="2" t="n">
        <v>5</v>
      </c>
      <c r="AM863" s="2" t="n">
        <v>2</v>
      </c>
      <c r="AN863" s="2" t="n">
        <v>40</v>
      </c>
      <c r="AO863" s="5" t="n">
        <v>81.84</v>
      </c>
      <c r="AP863" s="5" t="n">
        <v>84.45</v>
      </c>
      <c r="AQ863" s="5" t="n">
        <v>87.06</v>
      </c>
      <c r="AR863" s="5" t="n">
        <v>89.67</v>
      </c>
      <c r="AS863" s="5" t="n">
        <v>92.27</v>
      </c>
      <c r="AT863" s="5" t="n">
        <v>94.88</v>
      </c>
      <c r="AU863" s="5" t="n">
        <v>97.49</v>
      </c>
      <c r="AV863" s="5" t="s">
        <v>51</v>
      </c>
    </row>
    <row r="864" customFormat="false" ht="15" hidden="false" customHeight="false" outlineLevel="0" collapsed="false">
      <c r="A864" s="2" t="s">
        <v>199</v>
      </c>
      <c r="B864" s="2" t="n">
        <v>2002</v>
      </c>
      <c r="C864" s="2" t="s">
        <v>55</v>
      </c>
      <c r="D864" s="2" t="n">
        <v>0</v>
      </c>
      <c r="E864" s="2" t="n">
        <v>16</v>
      </c>
      <c r="F864" s="2" t="s">
        <v>50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1</v>
      </c>
      <c r="L864" s="3" t="n">
        <v>1</v>
      </c>
      <c r="M864" s="3" t="n">
        <v>1</v>
      </c>
      <c r="N864" s="3" t="n">
        <v>0</v>
      </c>
      <c r="O864" s="3" t="n">
        <v>1</v>
      </c>
      <c r="P864" s="3" t="n">
        <v>0</v>
      </c>
      <c r="Q864" s="3" t="n">
        <v>1</v>
      </c>
      <c r="R864" s="3" t="n">
        <v>0</v>
      </c>
      <c r="S864" s="3" t="n">
        <v>1</v>
      </c>
      <c r="T864" s="3" t="n">
        <v>1</v>
      </c>
      <c r="U864" s="3" t="n">
        <v>0</v>
      </c>
      <c r="V864" s="3" t="n">
        <v>0</v>
      </c>
      <c r="W864" s="3" t="n">
        <v>1</v>
      </c>
      <c r="X864" s="3" t="n">
        <v>0</v>
      </c>
      <c r="Y864" s="3" t="n">
        <v>0</v>
      </c>
      <c r="Z864" s="3" t="n">
        <v>1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1</v>
      </c>
      <c r="AF864" s="3" t="n">
        <v>1</v>
      </c>
      <c r="AG864" s="3" t="n">
        <v>0</v>
      </c>
      <c r="AH864" s="3" t="n">
        <v>0</v>
      </c>
      <c r="AI864" s="3" t="n">
        <v>0</v>
      </c>
      <c r="AJ864" s="4" t="n">
        <f aca="false">SUM(G864:AI864)</f>
        <v>11</v>
      </c>
      <c r="AK864" s="4" t="n">
        <f aca="false">ROUND(SUMPRODUCT(G864:AI864,Gene_Weights!$B$2:$AD$2),3)</f>
        <v>-7.89</v>
      </c>
      <c r="AL864" s="2" t="n">
        <v>5</v>
      </c>
      <c r="AM864" s="2" t="n">
        <v>2</v>
      </c>
      <c r="AN864" s="2" t="n">
        <v>40</v>
      </c>
      <c r="AO864" s="5" t="n">
        <v>58.19</v>
      </c>
      <c r="AP864" s="5" t="n">
        <v>59.74</v>
      </c>
      <c r="AQ864" s="5" t="n">
        <v>61.3</v>
      </c>
      <c r="AR864" s="5" t="n">
        <v>62.86</v>
      </c>
      <c r="AS864" s="5" t="n">
        <v>64.42</v>
      </c>
      <c r="AT864" s="5" t="n">
        <v>65.98</v>
      </c>
      <c r="AU864" s="5" t="n">
        <v>67.53</v>
      </c>
      <c r="AV864" s="5" t="s">
        <v>51</v>
      </c>
    </row>
    <row r="865" customFormat="false" ht="15" hidden="false" customHeight="false" outlineLevel="0" collapsed="false">
      <c r="A865" s="2" t="s">
        <v>199</v>
      </c>
      <c r="B865" s="2" t="n">
        <v>2002</v>
      </c>
      <c r="C865" s="2" t="s">
        <v>56</v>
      </c>
      <c r="D865" s="2" t="n">
        <v>1</v>
      </c>
      <c r="E865" s="2" t="n">
        <v>16</v>
      </c>
      <c r="F865" s="2" t="s">
        <v>50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1</v>
      </c>
      <c r="L865" s="3" t="n">
        <v>1</v>
      </c>
      <c r="M865" s="3" t="n">
        <v>1</v>
      </c>
      <c r="N865" s="3" t="n">
        <v>0</v>
      </c>
      <c r="O865" s="3" t="n">
        <v>1</v>
      </c>
      <c r="P865" s="3" t="n">
        <v>0</v>
      </c>
      <c r="Q865" s="3" t="n">
        <v>1</v>
      </c>
      <c r="R865" s="3" t="n">
        <v>0</v>
      </c>
      <c r="S865" s="3" t="n">
        <v>1</v>
      </c>
      <c r="T865" s="3" t="n">
        <v>1</v>
      </c>
      <c r="U865" s="3" t="n">
        <v>0</v>
      </c>
      <c r="V865" s="3" t="n">
        <v>0</v>
      </c>
      <c r="W865" s="3" t="n">
        <v>1</v>
      </c>
      <c r="X865" s="3" t="n">
        <v>0</v>
      </c>
      <c r="Y865" s="3" t="n">
        <v>0</v>
      </c>
      <c r="Z865" s="3" t="n">
        <v>1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1</v>
      </c>
      <c r="AF865" s="3" t="n">
        <v>1</v>
      </c>
      <c r="AG865" s="3" t="n">
        <v>0</v>
      </c>
      <c r="AH865" s="3" t="n">
        <v>0</v>
      </c>
      <c r="AI865" s="3" t="n">
        <v>0</v>
      </c>
      <c r="AJ865" s="4" t="n">
        <f aca="false">SUM(G865:AI865)</f>
        <v>11</v>
      </c>
      <c r="AK865" s="4" t="n">
        <f aca="false">ROUND(SUMPRODUCT(G865:AI865,Gene_Weights!$B$2:$AD$2),3)</f>
        <v>-7.89</v>
      </c>
      <c r="AL865" s="2" t="n">
        <v>5</v>
      </c>
      <c r="AM865" s="2" t="n">
        <v>2</v>
      </c>
      <c r="AN865" s="2" t="n">
        <v>40</v>
      </c>
      <c r="AO865" s="5" t="n">
        <v>75.59</v>
      </c>
      <c r="AP865" s="5" t="n">
        <v>78.01</v>
      </c>
      <c r="AQ865" s="5" t="n">
        <v>80.42</v>
      </c>
      <c r="AR865" s="5" t="n">
        <v>82.83</v>
      </c>
      <c r="AS865" s="5" t="n">
        <v>85.24</v>
      </c>
      <c r="AT865" s="5" t="n">
        <v>87.66</v>
      </c>
      <c r="AU865" s="5" t="n">
        <v>90.07</v>
      </c>
      <c r="AV865" s="5" t="s">
        <v>51</v>
      </c>
    </row>
    <row r="866" customFormat="false" ht="15" hidden="false" customHeight="false" outlineLevel="0" collapsed="false">
      <c r="A866" s="2" t="s">
        <v>200</v>
      </c>
      <c r="B866" s="2" t="n">
        <v>2022</v>
      </c>
      <c r="C866" s="2" t="s">
        <v>49</v>
      </c>
      <c r="D866" s="2" t="n">
        <v>0</v>
      </c>
      <c r="E866" s="2" t="n">
        <v>4</v>
      </c>
      <c r="F866" s="2" t="s">
        <v>50</v>
      </c>
      <c r="G866" s="3" t="n">
        <v>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1</v>
      </c>
      <c r="O866" s="3" t="n">
        <v>0</v>
      </c>
      <c r="P866" s="3" t="n">
        <v>0</v>
      </c>
      <c r="Q866" s="3" t="n">
        <v>0</v>
      </c>
      <c r="R866" s="3" t="n">
        <v>1</v>
      </c>
      <c r="S866" s="3" t="n">
        <v>0</v>
      </c>
      <c r="T866" s="3" t="n">
        <v>0</v>
      </c>
      <c r="U866" s="3" t="n">
        <v>1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1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1</v>
      </c>
      <c r="AJ866" s="4" t="n">
        <f aca="false">SUM(G866:AI866)</f>
        <v>6</v>
      </c>
      <c r="AK866" s="4" t="n">
        <f aca="false">ROUND(SUMPRODUCT(G866:AI866,Gene_Weights!$B$2:$AD$2),3)</f>
        <v>-6.18</v>
      </c>
      <c r="AL866" s="2" t="n">
        <v>6</v>
      </c>
      <c r="AM866" s="2" t="n">
        <v>4</v>
      </c>
      <c r="AN866" s="2" t="n">
        <v>66.67</v>
      </c>
      <c r="AO866" s="5" t="n">
        <v>55.12</v>
      </c>
      <c r="AP866" s="5" t="n">
        <v>56.02</v>
      </c>
      <c r="AQ866" s="5" t="n">
        <v>56.92</v>
      </c>
      <c r="AR866" s="5" t="n">
        <v>57.82</v>
      </c>
      <c r="AS866" s="5" t="n">
        <v>58.72</v>
      </c>
      <c r="AT866" s="5" t="n">
        <v>59.62</v>
      </c>
      <c r="AU866" s="5" t="n">
        <v>60.52</v>
      </c>
      <c r="AV866" s="5" t="s">
        <v>51</v>
      </c>
    </row>
    <row r="867" customFormat="false" ht="15" hidden="false" customHeight="false" outlineLevel="0" collapsed="false">
      <c r="A867" s="2" t="s">
        <v>200</v>
      </c>
      <c r="B867" s="2" t="n">
        <v>2022</v>
      </c>
      <c r="C867" s="2" t="s">
        <v>52</v>
      </c>
      <c r="D867" s="2" t="n">
        <v>0</v>
      </c>
      <c r="E867" s="2" t="n">
        <v>2</v>
      </c>
      <c r="F867" s="2" t="s">
        <v>50</v>
      </c>
      <c r="G867" s="3" t="n">
        <v>1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</v>
      </c>
      <c r="O867" s="3" t="n">
        <v>0</v>
      </c>
      <c r="P867" s="3" t="n">
        <v>0</v>
      </c>
      <c r="Q867" s="3" t="n">
        <v>0</v>
      </c>
      <c r="R867" s="3" t="n">
        <v>1</v>
      </c>
      <c r="S867" s="3" t="n">
        <v>0</v>
      </c>
      <c r="T867" s="3" t="n">
        <v>0</v>
      </c>
      <c r="U867" s="3" t="n">
        <v>1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1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1</v>
      </c>
      <c r="AJ867" s="4" t="n">
        <f aca="false">SUM(G867:AI867)</f>
        <v>6</v>
      </c>
      <c r="AK867" s="4" t="n">
        <f aca="false">ROUND(SUMPRODUCT(G867:AI867,Gene_Weights!$B$2:$AD$2),3)</f>
        <v>-6.18</v>
      </c>
      <c r="AL867" s="2" t="n">
        <v>6</v>
      </c>
      <c r="AM867" s="2" t="n">
        <v>2</v>
      </c>
      <c r="AN867" s="2" t="n">
        <v>33.33</v>
      </c>
      <c r="AO867" s="5" t="n">
        <v>64.53</v>
      </c>
      <c r="AP867" s="5" t="n">
        <v>66.13</v>
      </c>
      <c r="AQ867" s="5" t="n">
        <v>67.73</v>
      </c>
      <c r="AR867" s="5" t="n">
        <v>69.33</v>
      </c>
      <c r="AS867" s="5" t="n">
        <v>70.93</v>
      </c>
      <c r="AT867" s="5" t="n">
        <v>72.53</v>
      </c>
      <c r="AU867" s="5" t="n">
        <v>74.13</v>
      </c>
      <c r="AV867" s="5" t="s">
        <v>51</v>
      </c>
    </row>
    <row r="868" customFormat="false" ht="15" hidden="false" customHeight="false" outlineLevel="0" collapsed="false">
      <c r="A868" s="2" t="s">
        <v>200</v>
      </c>
      <c r="B868" s="2" t="n">
        <v>2022</v>
      </c>
      <c r="C868" s="2" t="s">
        <v>53</v>
      </c>
      <c r="D868" s="2" t="n">
        <v>1</v>
      </c>
      <c r="E868" s="2" t="n">
        <v>32</v>
      </c>
      <c r="F868" s="2" t="s">
        <v>50</v>
      </c>
      <c r="G868" s="3" t="n">
        <v>1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</v>
      </c>
      <c r="O868" s="3" t="n">
        <v>0</v>
      </c>
      <c r="P868" s="3" t="n">
        <v>0</v>
      </c>
      <c r="Q868" s="3" t="n">
        <v>0</v>
      </c>
      <c r="R868" s="3" t="n">
        <v>1</v>
      </c>
      <c r="S868" s="3" t="n">
        <v>0</v>
      </c>
      <c r="T868" s="3" t="n">
        <v>0</v>
      </c>
      <c r="U868" s="3" t="n">
        <v>1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1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1</v>
      </c>
      <c r="AJ868" s="4" t="n">
        <f aca="false">SUM(G868:AI868)</f>
        <v>6</v>
      </c>
      <c r="AK868" s="4" t="n">
        <f aca="false">ROUND(SUMPRODUCT(G868:AI868,Gene_Weights!$B$2:$AD$2),3)</f>
        <v>-6.18</v>
      </c>
      <c r="AL868" s="2" t="n">
        <v>6</v>
      </c>
      <c r="AM868" s="2" t="n">
        <v>5</v>
      </c>
      <c r="AN868" s="2" t="n">
        <v>83.33</v>
      </c>
      <c r="AO868" s="5" t="n">
        <v>52.86</v>
      </c>
      <c r="AP868" s="5" t="n">
        <v>53.65</v>
      </c>
      <c r="AQ868" s="5" t="n">
        <v>54.45</v>
      </c>
      <c r="AR868" s="5" t="n">
        <v>55.24</v>
      </c>
      <c r="AS868" s="5" t="n">
        <v>56.03</v>
      </c>
      <c r="AT868" s="5" t="n">
        <v>56.83</v>
      </c>
      <c r="AU868" s="5" t="n">
        <v>57.62</v>
      </c>
      <c r="AV868" s="5" t="s">
        <v>51</v>
      </c>
    </row>
    <row r="869" customFormat="false" ht="15" hidden="false" customHeight="false" outlineLevel="0" collapsed="false">
      <c r="A869" s="2" t="s">
        <v>200</v>
      </c>
      <c r="B869" s="2" t="n">
        <v>2022</v>
      </c>
      <c r="C869" s="2" t="s">
        <v>54</v>
      </c>
      <c r="D869" s="2" t="n">
        <v>1</v>
      </c>
      <c r="E869" s="2" t="n">
        <v>32</v>
      </c>
      <c r="F869" s="2" t="s">
        <v>50</v>
      </c>
      <c r="G869" s="3" t="n">
        <v>1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</v>
      </c>
      <c r="O869" s="3" t="n">
        <v>0</v>
      </c>
      <c r="P869" s="3" t="n">
        <v>0</v>
      </c>
      <c r="Q869" s="3" t="n">
        <v>0</v>
      </c>
      <c r="R869" s="3" t="n">
        <v>1</v>
      </c>
      <c r="S869" s="3" t="n">
        <v>0</v>
      </c>
      <c r="T869" s="3" t="n">
        <v>0</v>
      </c>
      <c r="U869" s="3" t="n">
        <v>1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1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1</v>
      </c>
      <c r="AJ869" s="4" t="n">
        <f aca="false">SUM(G869:AI869)</f>
        <v>6</v>
      </c>
      <c r="AK869" s="4" t="n">
        <f aca="false">ROUND(SUMPRODUCT(G869:AI869,Gene_Weights!$B$2:$AD$2),3)</f>
        <v>-6.18</v>
      </c>
      <c r="AL869" s="2" t="n">
        <v>6</v>
      </c>
      <c r="AM869" s="2" t="n">
        <v>4</v>
      </c>
      <c r="AN869" s="2" t="n">
        <v>66.67</v>
      </c>
      <c r="AO869" s="5" t="n">
        <v>81.84</v>
      </c>
      <c r="AP869" s="5" t="n">
        <v>84.45</v>
      </c>
      <c r="AQ869" s="5" t="n">
        <v>87.06</v>
      </c>
      <c r="AR869" s="5" t="n">
        <v>89.67</v>
      </c>
      <c r="AS869" s="5" t="n">
        <v>92.27</v>
      </c>
      <c r="AT869" s="5" t="n">
        <v>94.88</v>
      </c>
      <c r="AU869" s="5" t="n">
        <v>97.49</v>
      </c>
      <c r="AV869" s="5" t="s">
        <v>51</v>
      </c>
    </row>
    <row r="870" customFormat="false" ht="15" hidden="false" customHeight="false" outlineLevel="0" collapsed="false">
      <c r="A870" s="2" t="s">
        <v>200</v>
      </c>
      <c r="B870" s="2" t="n">
        <v>2022</v>
      </c>
      <c r="C870" s="2" t="s">
        <v>55</v>
      </c>
      <c r="D870" s="2" t="n">
        <v>0</v>
      </c>
      <c r="E870" s="2" t="n">
        <v>16</v>
      </c>
      <c r="F870" s="2" t="s">
        <v>50</v>
      </c>
      <c r="G870" s="3" t="n">
        <v>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1</v>
      </c>
      <c r="O870" s="3" t="n">
        <v>0</v>
      </c>
      <c r="P870" s="3" t="n">
        <v>0</v>
      </c>
      <c r="Q870" s="3" t="n">
        <v>0</v>
      </c>
      <c r="R870" s="3" t="n">
        <v>1</v>
      </c>
      <c r="S870" s="3" t="n">
        <v>0</v>
      </c>
      <c r="T870" s="3" t="n">
        <v>0</v>
      </c>
      <c r="U870" s="3" t="n">
        <v>1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1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1</v>
      </c>
      <c r="AJ870" s="4" t="n">
        <f aca="false">SUM(G870:AI870)</f>
        <v>6</v>
      </c>
      <c r="AK870" s="4" t="n">
        <f aca="false">ROUND(SUMPRODUCT(G870:AI870,Gene_Weights!$B$2:$AD$2),3)</f>
        <v>-6.18</v>
      </c>
      <c r="AL870" s="2" t="n">
        <v>6</v>
      </c>
      <c r="AM870" s="2" t="n">
        <v>3</v>
      </c>
      <c r="AN870" s="2" t="n">
        <v>50</v>
      </c>
      <c r="AO870" s="5" t="n">
        <v>58.19</v>
      </c>
      <c r="AP870" s="5" t="n">
        <v>59.74</v>
      </c>
      <c r="AQ870" s="5" t="n">
        <v>61.3</v>
      </c>
      <c r="AR870" s="5" t="n">
        <v>62.86</v>
      </c>
      <c r="AS870" s="5" t="n">
        <v>64.42</v>
      </c>
      <c r="AT870" s="5" t="n">
        <v>65.98</v>
      </c>
      <c r="AU870" s="5" t="n">
        <v>67.53</v>
      </c>
      <c r="AV870" s="5" t="s">
        <v>51</v>
      </c>
    </row>
    <row r="871" customFormat="false" ht="15" hidden="false" customHeight="false" outlineLevel="0" collapsed="false">
      <c r="A871" s="2" t="s">
        <v>200</v>
      </c>
      <c r="B871" s="2" t="n">
        <v>2022</v>
      </c>
      <c r="C871" s="2" t="s">
        <v>56</v>
      </c>
      <c r="D871" s="2" t="n">
        <v>1</v>
      </c>
      <c r="E871" s="2" t="n">
        <v>4</v>
      </c>
      <c r="F871" s="2" t="s">
        <v>50</v>
      </c>
      <c r="G871" s="3" t="n">
        <v>1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1</v>
      </c>
      <c r="O871" s="3" t="n">
        <v>0</v>
      </c>
      <c r="P871" s="3" t="n">
        <v>0</v>
      </c>
      <c r="Q871" s="3" t="n">
        <v>0</v>
      </c>
      <c r="R871" s="3" t="n">
        <v>1</v>
      </c>
      <c r="S871" s="3" t="n">
        <v>0</v>
      </c>
      <c r="T871" s="3" t="n">
        <v>0</v>
      </c>
      <c r="U871" s="3" t="n">
        <v>1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1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1</v>
      </c>
      <c r="AJ871" s="4" t="n">
        <f aca="false">SUM(G871:AI871)</f>
        <v>6</v>
      </c>
      <c r="AK871" s="4" t="n">
        <f aca="false">ROUND(SUMPRODUCT(G871:AI871,Gene_Weights!$B$2:$AD$2),3)</f>
        <v>-6.18</v>
      </c>
      <c r="AL871" s="2" t="n">
        <v>6</v>
      </c>
      <c r="AM871" s="2" t="n">
        <v>5</v>
      </c>
      <c r="AN871" s="2" t="n">
        <v>83.33</v>
      </c>
      <c r="AO871" s="5" t="n">
        <v>75.59</v>
      </c>
      <c r="AP871" s="5" t="n">
        <v>78.01</v>
      </c>
      <c r="AQ871" s="5" t="n">
        <v>80.42</v>
      </c>
      <c r="AR871" s="5" t="n">
        <v>82.83</v>
      </c>
      <c r="AS871" s="5" t="n">
        <v>85.24</v>
      </c>
      <c r="AT871" s="5" t="n">
        <v>87.66</v>
      </c>
      <c r="AU871" s="5" t="n">
        <v>90.07</v>
      </c>
      <c r="AV871" s="5" t="s">
        <v>51</v>
      </c>
    </row>
    <row r="872" customFormat="false" ht="15" hidden="false" customHeight="false" outlineLevel="0" collapsed="false">
      <c r="A872" s="2" t="s">
        <v>201</v>
      </c>
      <c r="B872" s="2" t="n">
        <v>2000</v>
      </c>
      <c r="C872" s="2" t="s">
        <v>49</v>
      </c>
      <c r="D872" s="2" t="n">
        <v>0</v>
      </c>
      <c r="E872" s="2" t="n">
        <v>32</v>
      </c>
      <c r="F872" s="2" t="s">
        <v>50</v>
      </c>
      <c r="G872" s="3" t="n">
        <v>1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1</v>
      </c>
      <c r="M872" s="3" t="n">
        <v>0</v>
      </c>
      <c r="N872" s="3" t="n">
        <v>1</v>
      </c>
      <c r="O872" s="3" t="n">
        <v>0</v>
      </c>
      <c r="P872" s="3" t="n">
        <v>0</v>
      </c>
      <c r="Q872" s="3" t="n">
        <v>0</v>
      </c>
      <c r="R872" s="3" t="n">
        <v>1</v>
      </c>
      <c r="S872" s="3" t="n">
        <v>1</v>
      </c>
      <c r="T872" s="3" t="n">
        <v>1</v>
      </c>
      <c r="U872" s="3" t="n">
        <v>0</v>
      </c>
      <c r="V872" s="3" t="n">
        <v>0</v>
      </c>
      <c r="W872" s="3" t="n">
        <v>1</v>
      </c>
      <c r="X872" s="3" t="n">
        <v>1</v>
      </c>
      <c r="Y872" s="3" t="n">
        <v>1</v>
      </c>
      <c r="Z872" s="3" t="n">
        <v>0</v>
      </c>
      <c r="AA872" s="3" t="n">
        <v>1</v>
      </c>
      <c r="AB872" s="3" t="n">
        <v>1</v>
      </c>
      <c r="AC872" s="3" t="n">
        <v>0</v>
      </c>
      <c r="AD872" s="3" t="n">
        <v>1</v>
      </c>
      <c r="AE872" s="3" t="n">
        <v>1</v>
      </c>
      <c r="AF872" s="3" t="n">
        <v>0</v>
      </c>
      <c r="AG872" s="3" t="n">
        <v>0</v>
      </c>
      <c r="AH872" s="3" t="n">
        <v>1</v>
      </c>
      <c r="AI872" s="3" t="n">
        <v>1</v>
      </c>
      <c r="AJ872" s="4" t="n">
        <f aca="false">SUM(G872:AI872)</f>
        <v>15</v>
      </c>
      <c r="AK872" s="4" t="n">
        <f aca="false">ROUND(SUMPRODUCT(G872:AI872,Gene_Weights!$B$2:$AD$2),3)</f>
        <v>-10.53</v>
      </c>
      <c r="AL872" s="2" t="n">
        <v>8</v>
      </c>
      <c r="AM872" s="2" t="n">
        <v>2</v>
      </c>
      <c r="AN872" s="2" t="n">
        <v>25</v>
      </c>
      <c r="AO872" s="5" t="n">
        <v>55.12</v>
      </c>
      <c r="AP872" s="5" t="n">
        <v>56.02</v>
      </c>
      <c r="AQ872" s="5" t="n">
        <v>56.92</v>
      </c>
      <c r="AR872" s="5" t="n">
        <v>57.82</v>
      </c>
      <c r="AS872" s="5" t="n">
        <v>58.72</v>
      </c>
      <c r="AT872" s="5" t="n">
        <v>59.62</v>
      </c>
      <c r="AU872" s="5" t="n">
        <v>60.52</v>
      </c>
      <c r="AV872" s="5" t="s">
        <v>51</v>
      </c>
    </row>
    <row r="873" customFormat="false" ht="15" hidden="false" customHeight="false" outlineLevel="0" collapsed="false">
      <c r="A873" s="2" t="s">
        <v>201</v>
      </c>
      <c r="B873" s="2" t="n">
        <v>2000</v>
      </c>
      <c r="C873" s="2" t="s">
        <v>52</v>
      </c>
      <c r="D873" s="2" t="n">
        <v>0</v>
      </c>
      <c r="E873" s="2" t="n">
        <v>4</v>
      </c>
      <c r="F873" s="2" t="s">
        <v>50</v>
      </c>
      <c r="G873" s="3" t="n">
        <v>1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1</v>
      </c>
      <c r="M873" s="3" t="n">
        <v>0</v>
      </c>
      <c r="N873" s="3" t="n">
        <v>1</v>
      </c>
      <c r="O873" s="3" t="n">
        <v>0</v>
      </c>
      <c r="P873" s="3" t="n">
        <v>0</v>
      </c>
      <c r="Q873" s="3" t="n">
        <v>0</v>
      </c>
      <c r="R873" s="3" t="n">
        <v>1</v>
      </c>
      <c r="S873" s="3" t="n">
        <v>1</v>
      </c>
      <c r="T873" s="3" t="n">
        <v>1</v>
      </c>
      <c r="U873" s="3" t="n">
        <v>0</v>
      </c>
      <c r="V873" s="3" t="n">
        <v>0</v>
      </c>
      <c r="W873" s="3" t="n">
        <v>1</v>
      </c>
      <c r="X873" s="3" t="n">
        <v>1</v>
      </c>
      <c r="Y873" s="3" t="n">
        <v>1</v>
      </c>
      <c r="Z873" s="3" t="n">
        <v>0</v>
      </c>
      <c r="AA873" s="3" t="n">
        <v>1</v>
      </c>
      <c r="AB873" s="3" t="n">
        <v>1</v>
      </c>
      <c r="AC873" s="3" t="n">
        <v>0</v>
      </c>
      <c r="AD873" s="3" t="n">
        <v>1</v>
      </c>
      <c r="AE873" s="3" t="n">
        <v>1</v>
      </c>
      <c r="AF873" s="3" t="n">
        <v>0</v>
      </c>
      <c r="AG873" s="3" t="n">
        <v>0</v>
      </c>
      <c r="AH873" s="3" t="n">
        <v>1</v>
      </c>
      <c r="AI873" s="3" t="n">
        <v>1</v>
      </c>
      <c r="AJ873" s="4" t="n">
        <f aca="false">SUM(G873:AI873)</f>
        <v>15</v>
      </c>
      <c r="AK873" s="4" t="n">
        <f aca="false">ROUND(SUMPRODUCT(G873:AI873,Gene_Weights!$B$2:$AD$2),3)</f>
        <v>-10.53</v>
      </c>
      <c r="AL873" s="2" t="n">
        <v>8</v>
      </c>
      <c r="AM873" s="2" t="n">
        <v>2</v>
      </c>
      <c r="AN873" s="2" t="n">
        <v>25</v>
      </c>
      <c r="AO873" s="5" t="n">
        <v>64.53</v>
      </c>
      <c r="AP873" s="5" t="n">
        <v>66.13</v>
      </c>
      <c r="AQ873" s="5" t="n">
        <v>67.73</v>
      </c>
      <c r="AR873" s="5" t="n">
        <v>69.33</v>
      </c>
      <c r="AS873" s="5" t="n">
        <v>70.93</v>
      </c>
      <c r="AT873" s="5" t="n">
        <v>72.53</v>
      </c>
      <c r="AU873" s="5" t="n">
        <v>74.13</v>
      </c>
      <c r="AV873" s="5" t="s">
        <v>51</v>
      </c>
    </row>
    <row r="874" customFormat="false" ht="15" hidden="false" customHeight="false" outlineLevel="0" collapsed="false">
      <c r="A874" s="2" t="s">
        <v>201</v>
      </c>
      <c r="B874" s="2" t="n">
        <v>2000</v>
      </c>
      <c r="C874" s="2" t="s">
        <v>53</v>
      </c>
      <c r="D874" s="2" t="n">
        <v>0</v>
      </c>
      <c r="E874" s="2" t="n">
        <v>2</v>
      </c>
      <c r="F874" s="2" t="s">
        <v>50</v>
      </c>
      <c r="G874" s="3" t="n">
        <v>1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1</v>
      </c>
      <c r="M874" s="3" t="n">
        <v>0</v>
      </c>
      <c r="N874" s="3" t="n">
        <v>1</v>
      </c>
      <c r="O874" s="3" t="n">
        <v>0</v>
      </c>
      <c r="P874" s="3" t="n">
        <v>0</v>
      </c>
      <c r="Q874" s="3" t="n">
        <v>0</v>
      </c>
      <c r="R874" s="3" t="n">
        <v>1</v>
      </c>
      <c r="S874" s="3" t="n">
        <v>1</v>
      </c>
      <c r="T874" s="3" t="n">
        <v>1</v>
      </c>
      <c r="U874" s="3" t="n">
        <v>0</v>
      </c>
      <c r="V874" s="3" t="n">
        <v>0</v>
      </c>
      <c r="W874" s="3" t="n">
        <v>1</v>
      </c>
      <c r="X874" s="3" t="n">
        <v>1</v>
      </c>
      <c r="Y874" s="3" t="n">
        <v>1</v>
      </c>
      <c r="Z874" s="3" t="n">
        <v>0</v>
      </c>
      <c r="AA874" s="3" t="n">
        <v>1</v>
      </c>
      <c r="AB874" s="3" t="n">
        <v>1</v>
      </c>
      <c r="AC874" s="3" t="n">
        <v>0</v>
      </c>
      <c r="AD874" s="3" t="n">
        <v>1</v>
      </c>
      <c r="AE874" s="3" t="n">
        <v>1</v>
      </c>
      <c r="AF874" s="3" t="n">
        <v>0</v>
      </c>
      <c r="AG874" s="3" t="n">
        <v>0</v>
      </c>
      <c r="AH874" s="3" t="n">
        <v>1</v>
      </c>
      <c r="AI874" s="3" t="n">
        <v>1</v>
      </c>
      <c r="AJ874" s="4" t="n">
        <f aca="false">SUM(G874:AI874)</f>
        <v>15</v>
      </c>
      <c r="AK874" s="4" t="n">
        <f aca="false">ROUND(SUMPRODUCT(G874:AI874,Gene_Weights!$B$2:$AD$2),3)</f>
        <v>-10.53</v>
      </c>
      <c r="AL874" s="2" t="n">
        <v>8</v>
      </c>
      <c r="AM874" s="2" t="n">
        <v>1</v>
      </c>
      <c r="AN874" s="2" t="n">
        <v>12.5</v>
      </c>
      <c r="AO874" s="5" t="n">
        <v>52.86</v>
      </c>
      <c r="AP874" s="5" t="n">
        <v>53.65</v>
      </c>
      <c r="AQ874" s="5" t="n">
        <v>54.45</v>
      </c>
      <c r="AR874" s="5" t="n">
        <v>55.24</v>
      </c>
      <c r="AS874" s="5" t="n">
        <v>56.03</v>
      </c>
      <c r="AT874" s="5" t="n">
        <v>56.83</v>
      </c>
      <c r="AU874" s="5" t="n">
        <v>57.62</v>
      </c>
      <c r="AV874" s="5" t="s">
        <v>51</v>
      </c>
    </row>
    <row r="875" customFormat="false" ht="15" hidden="false" customHeight="false" outlineLevel="0" collapsed="false">
      <c r="A875" s="2" t="s">
        <v>201</v>
      </c>
      <c r="B875" s="2" t="n">
        <v>2000</v>
      </c>
      <c r="C875" s="2" t="s">
        <v>54</v>
      </c>
      <c r="D875" s="2" t="n">
        <v>0</v>
      </c>
      <c r="E875" s="2" t="n">
        <v>32</v>
      </c>
      <c r="F875" s="2" t="s">
        <v>50</v>
      </c>
      <c r="G875" s="3" t="n">
        <v>1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1</v>
      </c>
      <c r="M875" s="3" t="n">
        <v>0</v>
      </c>
      <c r="N875" s="3" t="n">
        <v>1</v>
      </c>
      <c r="O875" s="3" t="n">
        <v>0</v>
      </c>
      <c r="P875" s="3" t="n">
        <v>0</v>
      </c>
      <c r="Q875" s="3" t="n">
        <v>0</v>
      </c>
      <c r="R875" s="3" t="n">
        <v>1</v>
      </c>
      <c r="S875" s="3" t="n">
        <v>1</v>
      </c>
      <c r="T875" s="3" t="n">
        <v>1</v>
      </c>
      <c r="U875" s="3" t="n">
        <v>0</v>
      </c>
      <c r="V875" s="3" t="n">
        <v>0</v>
      </c>
      <c r="W875" s="3" t="n">
        <v>1</v>
      </c>
      <c r="X875" s="3" t="n">
        <v>1</v>
      </c>
      <c r="Y875" s="3" t="n">
        <v>1</v>
      </c>
      <c r="Z875" s="3" t="n">
        <v>0</v>
      </c>
      <c r="AA875" s="3" t="n">
        <v>1</v>
      </c>
      <c r="AB875" s="3" t="n">
        <v>1</v>
      </c>
      <c r="AC875" s="3" t="n">
        <v>0</v>
      </c>
      <c r="AD875" s="3" t="n">
        <v>1</v>
      </c>
      <c r="AE875" s="3" t="n">
        <v>1</v>
      </c>
      <c r="AF875" s="3" t="n">
        <v>0</v>
      </c>
      <c r="AG875" s="3" t="n">
        <v>0</v>
      </c>
      <c r="AH875" s="3" t="n">
        <v>1</v>
      </c>
      <c r="AI875" s="3" t="n">
        <v>1</v>
      </c>
      <c r="AJ875" s="4" t="n">
        <f aca="false">SUM(G875:AI875)</f>
        <v>15</v>
      </c>
      <c r="AK875" s="4" t="n">
        <f aca="false">ROUND(SUMPRODUCT(G875:AI875,Gene_Weights!$B$2:$AD$2),3)</f>
        <v>-10.53</v>
      </c>
      <c r="AL875" s="2" t="n">
        <v>8</v>
      </c>
      <c r="AM875" s="2" t="n">
        <v>1</v>
      </c>
      <c r="AN875" s="2" t="n">
        <v>12.5</v>
      </c>
      <c r="AO875" s="5" t="n">
        <v>81.84</v>
      </c>
      <c r="AP875" s="5" t="n">
        <v>84.45</v>
      </c>
      <c r="AQ875" s="5" t="n">
        <v>87.06</v>
      </c>
      <c r="AR875" s="5" t="n">
        <v>89.67</v>
      </c>
      <c r="AS875" s="5" t="n">
        <v>92.27</v>
      </c>
      <c r="AT875" s="5" t="n">
        <v>94.88</v>
      </c>
      <c r="AU875" s="5" t="n">
        <v>97.49</v>
      </c>
      <c r="AV875" s="5" t="s">
        <v>51</v>
      </c>
    </row>
    <row r="876" customFormat="false" ht="15" hidden="false" customHeight="false" outlineLevel="0" collapsed="false">
      <c r="A876" s="2" t="s">
        <v>201</v>
      </c>
      <c r="B876" s="2" t="n">
        <v>2000</v>
      </c>
      <c r="C876" s="2" t="s">
        <v>55</v>
      </c>
      <c r="D876" s="2" t="n">
        <v>0</v>
      </c>
      <c r="E876" s="2" t="n">
        <v>32</v>
      </c>
      <c r="F876" s="2" t="s">
        <v>50</v>
      </c>
      <c r="G876" s="3" t="n">
        <v>1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1</v>
      </c>
      <c r="M876" s="3" t="n">
        <v>0</v>
      </c>
      <c r="N876" s="3" t="n">
        <v>1</v>
      </c>
      <c r="O876" s="3" t="n">
        <v>0</v>
      </c>
      <c r="P876" s="3" t="n">
        <v>0</v>
      </c>
      <c r="Q876" s="3" t="n">
        <v>0</v>
      </c>
      <c r="R876" s="3" t="n">
        <v>1</v>
      </c>
      <c r="S876" s="3" t="n">
        <v>1</v>
      </c>
      <c r="T876" s="3" t="n">
        <v>1</v>
      </c>
      <c r="U876" s="3" t="n">
        <v>0</v>
      </c>
      <c r="V876" s="3" t="n">
        <v>0</v>
      </c>
      <c r="W876" s="3" t="n">
        <v>1</v>
      </c>
      <c r="X876" s="3" t="n">
        <v>1</v>
      </c>
      <c r="Y876" s="3" t="n">
        <v>1</v>
      </c>
      <c r="Z876" s="3" t="n">
        <v>0</v>
      </c>
      <c r="AA876" s="3" t="n">
        <v>1</v>
      </c>
      <c r="AB876" s="3" t="n">
        <v>1</v>
      </c>
      <c r="AC876" s="3" t="n">
        <v>0</v>
      </c>
      <c r="AD876" s="3" t="n">
        <v>1</v>
      </c>
      <c r="AE876" s="3" t="n">
        <v>1</v>
      </c>
      <c r="AF876" s="3" t="n">
        <v>0</v>
      </c>
      <c r="AG876" s="3" t="n">
        <v>0</v>
      </c>
      <c r="AH876" s="3" t="n">
        <v>1</v>
      </c>
      <c r="AI876" s="3" t="n">
        <v>1</v>
      </c>
      <c r="AJ876" s="4" t="n">
        <f aca="false">SUM(G876:AI876)</f>
        <v>15</v>
      </c>
      <c r="AK876" s="4" t="n">
        <f aca="false">ROUND(SUMPRODUCT(G876:AI876,Gene_Weights!$B$2:$AD$2),3)</f>
        <v>-10.53</v>
      </c>
      <c r="AL876" s="2" t="n">
        <v>8</v>
      </c>
      <c r="AM876" s="2" t="n">
        <v>0</v>
      </c>
      <c r="AN876" s="2" t="n">
        <v>0</v>
      </c>
      <c r="AO876" s="5" t="n">
        <v>58.19</v>
      </c>
      <c r="AP876" s="5" t="n">
        <v>59.74</v>
      </c>
      <c r="AQ876" s="5" t="n">
        <v>61.3</v>
      </c>
      <c r="AR876" s="5" t="n">
        <v>62.86</v>
      </c>
      <c r="AS876" s="5" t="n">
        <v>64.42</v>
      </c>
      <c r="AT876" s="5" t="n">
        <v>65.98</v>
      </c>
      <c r="AU876" s="5" t="n">
        <v>67.53</v>
      </c>
      <c r="AV876" s="5" t="s">
        <v>51</v>
      </c>
    </row>
    <row r="877" customFormat="false" ht="15" hidden="false" customHeight="false" outlineLevel="0" collapsed="false">
      <c r="A877" s="2" t="s">
        <v>201</v>
      </c>
      <c r="B877" s="2" t="n">
        <v>2000</v>
      </c>
      <c r="C877" s="2" t="s">
        <v>56</v>
      </c>
      <c r="D877" s="2" t="n">
        <v>0</v>
      </c>
      <c r="E877" s="2" t="n">
        <v>32</v>
      </c>
      <c r="F877" s="2" t="s">
        <v>50</v>
      </c>
      <c r="G877" s="3" t="n">
        <v>1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1</v>
      </c>
      <c r="M877" s="3" t="n">
        <v>0</v>
      </c>
      <c r="N877" s="3" t="n">
        <v>1</v>
      </c>
      <c r="O877" s="3" t="n">
        <v>0</v>
      </c>
      <c r="P877" s="3" t="n">
        <v>0</v>
      </c>
      <c r="Q877" s="3" t="n">
        <v>0</v>
      </c>
      <c r="R877" s="3" t="n">
        <v>1</v>
      </c>
      <c r="S877" s="3" t="n">
        <v>1</v>
      </c>
      <c r="T877" s="3" t="n">
        <v>1</v>
      </c>
      <c r="U877" s="3" t="n">
        <v>0</v>
      </c>
      <c r="V877" s="3" t="n">
        <v>0</v>
      </c>
      <c r="W877" s="3" t="n">
        <v>1</v>
      </c>
      <c r="X877" s="3" t="n">
        <v>1</v>
      </c>
      <c r="Y877" s="3" t="n">
        <v>1</v>
      </c>
      <c r="Z877" s="3" t="n">
        <v>0</v>
      </c>
      <c r="AA877" s="3" t="n">
        <v>1</v>
      </c>
      <c r="AB877" s="3" t="n">
        <v>1</v>
      </c>
      <c r="AC877" s="3" t="n">
        <v>0</v>
      </c>
      <c r="AD877" s="3" t="n">
        <v>1</v>
      </c>
      <c r="AE877" s="3" t="n">
        <v>1</v>
      </c>
      <c r="AF877" s="3" t="n">
        <v>0</v>
      </c>
      <c r="AG877" s="3" t="n">
        <v>0</v>
      </c>
      <c r="AH877" s="3" t="n">
        <v>1</v>
      </c>
      <c r="AI877" s="3" t="n">
        <v>1</v>
      </c>
      <c r="AJ877" s="4" t="n">
        <f aca="false">SUM(G877:AI877)</f>
        <v>15</v>
      </c>
      <c r="AK877" s="4" t="n">
        <f aca="false">ROUND(SUMPRODUCT(G877:AI877,Gene_Weights!$B$2:$AD$2),3)</f>
        <v>-10.53</v>
      </c>
      <c r="AL877" s="2" t="n">
        <v>8</v>
      </c>
      <c r="AM877" s="2" t="n">
        <v>2</v>
      </c>
      <c r="AN877" s="2" t="n">
        <v>25</v>
      </c>
      <c r="AO877" s="5" t="n">
        <v>75.59</v>
      </c>
      <c r="AP877" s="5" t="n">
        <v>78.01</v>
      </c>
      <c r="AQ877" s="5" t="n">
        <v>80.42</v>
      </c>
      <c r="AR877" s="5" t="n">
        <v>82.83</v>
      </c>
      <c r="AS877" s="5" t="n">
        <v>85.24</v>
      </c>
      <c r="AT877" s="5" t="n">
        <v>87.66</v>
      </c>
      <c r="AU877" s="5" t="n">
        <v>90.07</v>
      </c>
      <c r="AV877" s="5" t="s">
        <v>51</v>
      </c>
    </row>
    <row r="878" customFormat="false" ht="15" hidden="false" customHeight="false" outlineLevel="0" collapsed="false">
      <c r="A878" s="2" t="s">
        <v>202</v>
      </c>
      <c r="B878" s="2" t="n">
        <v>2019</v>
      </c>
      <c r="C878" s="2" t="s">
        <v>49</v>
      </c>
      <c r="D878" s="2" t="n">
        <v>1</v>
      </c>
      <c r="E878" s="2" t="n">
        <v>2</v>
      </c>
      <c r="F878" s="2" t="s">
        <v>50</v>
      </c>
      <c r="G878" s="3" t="n">
        <v>1</v>
      </c>
      <c r="H878" s="3" t="n">
        <v>0</v>
      </c>
      <c r="I878" s="3" t="n">
        <v>1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1</v>
      </c>
      <c r="Q878" s="3" t="n">
        <v>0</v>
      </c>
      <c r="R878" s="3" t="n">
        <v>1</v>
      </c>
      <c r="S878" s="3" t="n">
        <v>0</v>
      </c>
      <c r="T878" s="3" t="n">
        <v>1</v>
      </c>
      <c r="U878" s="3" t="n">
        <v>0</v>
      </c>
      <c r="V878" s="3" t="n">
        <v>1</v>
      </c>
      <c r="W878" s="3" t="n">
        <v>1</v>
      </c>
      <c r="X878" s="3" t="n">
        <v>0</v>
      </c>
      <c r="Y878" s="3" t="n">
        <v>1</v>
      </c>
      <c r="Z878" s="3" t="n">
        <v>0</v>
      </c>
      <c r="AA878" s="3" t="n">
        <v>1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4" t="n">
        <f aca="false">SUM(G878:AI878)</f>
        <v>9</v>
      </c>
      <c r="AK878" s="4" t="n">
        <f aca="false">ROUND(SUMPRODUCT(G878:AI878,Gene_Weights!$B$2:$AD$2),3)</f>
        <v>-6.75</v>
      </c>
      <c r="AL878" s="2" t="n">
        <v>7</v>
      </c>
      <c r="AM878" s="2" t="n">
        <v>4</v>
      </c>
      <c r="AN878" s="2" t="n">
        <v>57.14</v>
      </c>
      <c r="AO878" s="5" t="n">
        <v>55.12</v>
      </c>
      <c r="AP878" s="5" t="n">
        <v>56.02</v>
      </c>
      <c r="AQ878" s="5" t="n">
        <v>56.92</v>
      </c>
      <c r="AR878" s="5" t="n">
        <v>57.82</v>
      </c>
      <c r="AS878" s="5" t="n">
        <v>58.72</v>
      </c>
      <c r="AT878" s="5" t="n">
        <v>59.62</v>
      </c>
      <c r="AU878" s="5" t="n">
        <v>60.52</v>
      </c>
      <c r="AV878" s="5" t="s">
        <v>51</v>
      </c>
    </row>
    <row r="879" customFormat="false" ht="15" hidden="false" customHeight="false" outlineLevel="0" collapsed="false">
      <c r="A879" s="2" t="s">
        <v>202</v>
      </c>
      <c r="B879" s="2" t="n">
        <v>2019</v>
      </c>
      <c r="C879" s="2" t="s">
        <v>52</v>
      </c>
      <c r="D879" s="2" t="n">
        <v>0</v>
      </c>
      <c r="E879" s="2" t="n">
        <v>16</v>
      </c>
      <c r="F879" s="2" t="s">
        <v>50</v>
      </c>
      <c r="G879" s="3" t="n">
        <v>1</v>
      </c>
      <c r="H879" s="3" t="n">
        <v>0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1</v>
      </c>
      <c r="Q879" s="3" t="n">
        <v>0</v>
      </c>
      <c r="R879" s="3" t="n">
        <v>1</v>
      </c>
      <c r="S879" s="3" t="n">
        <v>0</v>
      </c>
      <c r="T879" s="3" t="n">
        <v>1</v>
      </c>
      <c r="U879" s="3" t="n">
        <v>0</v>
      </c>
      <c r="V879" s="3" t="n">
        <v>1</v>
      </c>
      <c r="W879" s="3" t="n">
        <v>1</v>
      </c>
      <c r="X879" s="3" t="n">
        <v>0</v>
      </c>
      <c r="Y879" s="3" t="n">
        <v>1</v>
      </c>
      <c r="Z879" s="3" t="n">
        <v>0</v>
      </c>
      <c r="AA879" s="3" t="n">
        <v>1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4" t="n">
        <f aca="false">SUM(G879:AI879)</f>
        <v>9</v>
      </c>
      <c r="AK879" s="4" t="n">
        <f aca="false">ROUND(SUMPRODUCT(G879:AI879,Gene_Weights!$B$2:$AD$2),3)</f>
        <v>-6.75</v>
      </c>
      <c r="AL879" s="2" t="n">
        <v>7</v>
      </c>
      <c r="AM879" s="2" t="n">
        <v>5</v>
      </c>
      <c r="AN879" s="2" t="n">
        <v>71.43</v>
      </c>
      <c r="AO879" s="5" t="n">
        <v>64.53</v>
      </c>
      <c r="AP879" s="5" t="n">
        <v>66.13</v>
      </c>
      <c r="AQ879" s="5" t="n">
        <v>67.73</v>
      </c>
      <c r="AR879" s="5" t="n">
        <v>69.33</v>
      </c>
      <c r="AS879" s="5" t="n">
        <v>70.93</v>
      </c>
      <c r="AT879" s="5" t="n">
        <v>72.53</v>
      </c>
      <c r="AU879" s="5" t="n">
        <v>74.13</v>
      </c>
      <c r="AV879" s="5" t="s">
        <v>51</v>
      </c>
    </row>
    <row r="880" customFormat="false" ht="15" hidden="false" customHeight="false" outlineLevel="0" collapsed="false">
      <c r="A880" s="2" t="s">
        <v>202</v>
      </c>
      <c r="B880" s="2" t="n">
        <v>2019</v>
      </c>
      <c r="C880" s="2" t="s">
        <v>53</v>
      </c>
      <c r="D880" s="2" t="n">
        <v>0</v>
      </c>
      <c r="E880" s="2" t="n">
        <v>2</v>
      </c>
      <c r="F880" s="2" t="s">
        <v>50</v>
      </c>
      <c r="G880" s="3" t="n">
        <v>1</v>
      </c>
      <c r="H880" s="3" t="n">
        <v>0</v>
      </c>
      <c r="I880" s="3" t="n">
        <v>1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1</v>
      </c>
      <c r="Q880" s="3" t="n">
        <v>0</v>
      </c>
      <c r="R880" s="3" t="n">
        <v>1</v>
      </c>
      <c r="S880" s="3" t="n">
        <v>0</v>
      </c>
      <c r="T880" s="3" t="n">
        <v>1</v>
      </c>
      <c r="U880" s="3" t="n">
        <v>0</v>
      </c>
      <c r="V880" s="3" t="n">
        <v>1</v>
      </c>
      <c r="W880" s="3" t="n">
        <v>1</v>
      </c>
      <c r="X880" s="3" t="n">
        <v>0</v>
      </c>
      <c r="Y880" s="3" t="n">
        <v>1</v>
      </c>
      <c r="Z880" s="3" t="n">
        <v>0</v>
      </c>
      <c r="AA880" s="3" t="n">
        <v>1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4" t="n">
        <f aca="false">SUM(G880:AI880)</f>
        <v>9</v>
      </c>
      <c r="AK880" s="4" t="n">
        <f aca="false">ROUND(SUMPRODUCT(G880:AI880,Gene_Weights!$B$2:$AD$2),3)</f>
        <v>-6.75</v>
      </c>
      <c r="AL880" s="2" t="n">
        <v>7</v>
      </c>
      <c r="AM880" s="2" t="n">
        <v>2</v>
      </c>
      <c r="AN880" s="2" t="n">
        <v>28.57</v>
      </c>
      <c r="AO880" s="5" t="n">
        <v>52.86</v>
      </c>
      <c r="AP880" s="5" t="n">
        <v>53.65</v>
      </c>
      <c r="AQ880" s="5" t="n">
        <v>54.45</v>
      </c>
      <c r="AR880" s="5" t="n">
        <v>55.24</v>
      </c>
      <c r="AS880" s="5" t="n">
        <v>56.03</v>
      </c>
      <c r="AT880" s="5" t="n">
        <v>56.83</v>
      </c>
      <c r="AU880" s="5" t="n">
        <v>57.62</v>
      </c>
      <c r="AV880" s="5" t="s">
        <v>51</v>
      </c>
    </row>
    <row r="881" customFormat="false" ht="15" hidden="false" customHeight="false" outlineLevel="0" collapsed="false">
      <c r="A881" s="2" t="s">
        <v>202</v>
      </c>
      <c r="B881" s="2" t="n">
        <v>2019</v>
      </c>
      <c r="C881" s="2" t="s">
        <v>54</v>
      </c>
      <c r="D881" s="2" t="n">
        <v>0</v>
      </c>
      <c r="E881" s="2" t="n">
        <v>32</v>
      </c>
      <c r="F881" s="2" t="s">
        <v>50</v>
      </c>
      <c r="G881" s="3" t="n">
        <v>1</v>
      </c>
      <c r="H881" s="3" t="n">
        <v>0</v>
      </c>
      <c r="I881" s="3" t="n">
        <v>1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1</v>
      </c>
      <c r="Q881" s="3" t="n">
        <v>0</v>
      </c>
      <c r="R881" s="3" t="n">
        <v>1</v>
      </c>
      <c r="S881" s="3" t="n">
        <v>0</v>
      </c>
      <c r="T881" s="3" t="n">
        <v>1</v>
      </c>
      <c r="U881" s="3" t="n">
        <v>0</v>
      </c>
      <c r="V881" s="3" t="n">
        <v>1</v>
      </c>
      <c r="W881" s="3" t="n">
        <v>1</v>
      </c>
      <c r="X881" s="3" t="n">
        <v>0</v>
      </c>
      <c r="Y881" s="3" t="n">
        <v>1</v>
      </c>
      <c r="Z881" s="3" t="n">
        <v>0</v>
      </c>
      <c r="AA881" s="3" t="n">
        <v>1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4" t="n">
        <f aca="false">SUM(G881:AI881)</f>
        <v>9</v>
      </c>
      <c r="AK881" s="4" t="n">
        <f aca="false">ROUND(SUMPRODUCT(G881:AI881,Gene_Weights!$B$2:$AD$2),3)</f>
        <v>-6.75</v>
      </c>
      <c r="AL881" s="2" t="n">
        <v>7</v>
      </c>
      <c r="AM881" s="2" t="n">
        <v>5</v>
      </c>
      <c r="AN881" s="2" t="n">
        <v>71.43</v>
      </c>
      <c r="AO881" s="5" t="n">
        <v>81.84</v>
      </c>
      <c r="AP881" s="5" t="n">
        <v>84.45</v>
      </c>
      <c r="AQ881" s="5" t="n">
        <v>87.06</v>
      </c>
      <c r="AR881" s="5" t="n">
        <v>89.67</v>
      </c>
      <c r="AS881" s="5" t="n">
        <v>92.27</v>
      </c>
      <c r="AT881" s="5" t="n">
        <v>94.88</v>
      </c>
      <c r="AU881" s="5" t="n">
        <v>97.49</v>
      </c>
      <c r="AV881" s="5" t="s">
        <v>51</v>
      </c>
    </row>
    <row r="882" customFormat="false" ht="15" hidden="false" customHeight="false" outlineLevel="0" collapsed="false">
      <c r="A882" s="2" t="s">
        <v>202</v>
      </c>
      <c r="B882" s="2" t="n">
        <v>2019</v>
      </c>
      <c r="C882" s="2" t="s">
        <v>55</v>
      </c>
      <c r="D882" s="2" t="n">
        <v>0</v>
      </c>
      <c r="E882" s="2" t="n">
        <v>32</v>
      </c>
      <c r="F882" s="2" t="s">
        <v>50</v>
      </c>
      <c r="G882" s="3" t="n">
        <v>1</v>
      </c>
      <c r="H882" s="3" t="n">
        <v>0</v>
      </c>
      <c r="I882" s="3" t="n">
        <v>1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1</v>
      </c>
      <c r="Q882" s="3" t="n">
        <v>0</v>
      </c>
      <c r="R882" s="3" t="n">
        <v>1</v>
      </c>
      <c r="S882" s="3" t="n">
        <v>0</v>
      </c>
      <c r="T882" s="3" t="n">
        <v>1</v>
      </c>
      <c r="U882" s="3" t="n">
        <v>0</v>
      </c>
      <c r="V882" s="3" t="n">
        <v>1</v>
      </c>
      <c r="W882" s="3" t="n">
        <v>1</v>
      </c>
      <c r="X882" s="3" t="n">
        <v>0</v>
      </c>
      <c r="Y882" s="3" t="n">
        <v>1</v>
      </c>
      <c r="Z882" s="3" t="n">
        <v>0</v>
      </c>
      <c r="AA882" s="3" t="n">
        <v>1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4" t="n">
        <f aca="false">SUM(G882:AI882)</f>
        <v>9</v>
      </c>
      <c r="AK882" s="4" t="n">
        <f aca="false">ROUND(SUMPRODUCT(G882:AI882,Gene_Weights!$B$2:$AD$2),3)</f>
        <v>-6.75</v>
      </c>
      <c r="AL882" s="2" t="n">
        <v>7</v>
      </c>
      <c r="AM882" s="2" t="n">
        <v>2</v>
      </c>
      <c r="AN882" s="2" t="n">
        <v>28.57</v>
      </c>
      <c r="AO882" s="5" t="n">
        <v>58.19</v>
      </c>
      <c r="AP882" s="5" t="n">
        <v>59.74</v>
      </c>
      <c r="AQ882" s="5" t="n">
        <v>61.3</v>
      </c>
      <c r="AR882" s="5" t="n">
        <v>62.86</v>
      </c>
      <c r="AS882" s="5" t="n">
        <v>64.42</v>
      </c>
      <c r="AT882" s="5" t="n">
        <v>65.98</v>
      </c>
      <c r="AU882" s="5" t="n">
        <v>67.53</v>
      </c>
      <c r="AV882" s="5" t="s">
        <v>51</v>
      </c>
    </row>
    <row r="883" customFormat="false" ht="15" hidden="false" customHeight="false" outlineLevel="0" collapsed="false">
      <c r="A883" s="2" t="s">
        <v>202</v>
      </c>
      <c r="B883" s="2" t="n">
        <v>2019</v>
      </c>
      <c r="C883" s="2" t="s">
        <v>56</v>
      </c>
      <c r="D883" s="2" t="n">
        <v>0</v>
      </c>
      <c r="E883" s="2" t="n">
        <v>4</v>
      </c>
      <c r="F883" s="2" t="s">
        <v>50</v>
      </c>
      <c r="G883" s="3" t="n">
        <v>1</v>
      </c>
      <c r="H883" s="3" t="n">
        <v>0</v>
      </c>
      <c r="I883" s="3" t="n">
        <v>1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1</v>
      </c>
      <c r="Q883" s="3" t="n">
        <v>0</v>
      </c>
      <c r="R883" s="3" t="n">
        <v>1</v>
      </c>
      <c r="S883" s="3" t="n">
        <v>0</v>
      </c>
      <c r="T883" s="3" t="n">
        <v>1</v>
      </c>
      <c r="U883" s="3" t="n">
        <v>0</v>
      </c>
      <c r="V883" s="3" t="n">
        <v>1</v>
      </c>
      <c r="W883" s="3" t="n">
        <v>1</v>
      </c>
      <c r="X883" s="3" t="n">
        <v>0</v>
      </c>
      <c r="Y883" s="3" t="n">
        <v>1</v>
      </c>
      <c r="Z883" s="3" t="n">
        <v>0</v>
      </c>
      <c r="AA883" s="3" t="n">
        <v>1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4" t="n">
        <f aca="false">SUM(G883:AI883)</f>
        <v>9</v>
      </c>
      <c r="AK883" s="4" t="n">
        <f aca="false">ROUND(SUMPRODUCT(G883:AI883,Gene_Weights!$B$2:$AD$2),3)</f>
        <v>-6.75</v>
      </c>
      <c r="AL883" s="2" t="n">
        <v>7</v>
      </c>
      <c r="AM883" s="2" t="n">
        <v>3</v>
      </c>
      <c r="AN883" s="2" t="n">
        <v>42.86</v>
      </c>
      <c r="AO883" s="5" t="n">
        <v>75.59</v>
      </c>
      <c r="AP883" s="5" t="n">
        <v>78.01</v>
      </c>
      <c r="AQ883" s="5" t="n">
        <v>80.42</v>
      </c>
      <c r="AR883" s="5" t="n">
        <v>82.83</v>
      </c>
      <c r="AS883" s="5" t="n">
        <v>85.24</v>
      </c>
      <c r="AT883" s="5" t="n">
        <v>87.66</v>
      </c>
      <c r="AU883" s="5" t="n">
        <v>90.07</v>
      </c>
      <c r="AV883" s="5" t="s">
        <v>51</v>
      </c>
    </row>
    <row r="884" customFormat="false" ht="15" hidden="false" customHeight="false" outlineLevel="0" collapsed="false">
      <c r="A884" s="2" t="s">
        <v>203</v>
      </c>
      <c r="B884" s="2" t="n">
        <v>2009</v>
      </c>
      <c r="C884" s="2" t="s">
        <v>49</v>
      </c>
      <c r="D884" s="2" t="n">
        <v>0</v>
      </c>
      <c r="E884" s="2" t="n">
        <v>32</v>
      </c>
      <c r="F884" s="2" t="s">
        <v>50</v>
      </c>
      <c r="G884" s="3" t="n">
        <v>0</v>
      </c>
      <c r="H884" s="3" t="n">
        <v>0</v>
      </c>
      <c r="I884" s="3" t="n">
        <v>0</v>
      </c>
      <c r="J884" s="3" t="n">
        <v>1</v>
      </c>
      <c r="K884" s="3" t="n">
        <v>0</v>
      </c>
      <c r="L884" s="3" t="n">
        <v>0</v>
      </c>
      <c r="M884" s="3" t="n">
        <v>1</v>
      </c>
      <c r="N884" s="3" t="n">
        <v>1</v>
      </c>
      <c r="O884" s="3" t="n">
        <v>0</v>
      </c>
      <c r="P884" s="3" t="n">
        <v>1</v>
      </c>
      <c r="Q884" s="3" t="n">
        <v>1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1</v>
      </c>
      <c r="W884" s="3" t="n">
        <v>1</v>
      </c>
      <c r="X884" s="3" t="n">
        <v>1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1</v>
      </c>
      <c r="AH884" s="3" t="n">
        <v>0</v>
      </c>
      <c r="AI884" s="3" t="n">
        <v>0</v>
      </c>
      <c r="AJ884" s="4" t="n">
        <f aca="false">SUM(G884:AI884)</f>
        <v>9</v>
      </c>
      <c r="AK884" s="4" t="n">
        <f aca="false">ROUND(SUMPRODUCT(G884:AI884,Gene_Weights!$B$2:$AD$2),3)</f>
        <v>-6.94</v>
      </c>
      <c r="AL884" s="2" t="n">
        <v>12</v>
      </c>
      <c r="AM884" s="2" t="n">
        <v>4</v>
      </c>
      <c r="AN884" s="2" t="n">
        <v>33.33</v>
      </c>
      <c r="AO884" s="5" t="n">
        <v>55.12</v>
      </c>
      <c r="AP884" s="5" t="n">
        <v>56.02</v>
      </c>
      <c r="AQ884" s="5" t="n">
        <v>56.92</v>
      </c>
      <c r="AR884" s="5" t="n">
        <v>57.82</v>
      </c>
      <c r="AS884" s="5" t="n">
        <v>58.72</v>
      </c>
      <c r="AT884" s="5" t="n">
        <v>59.62</v>
      </c>
      <c r="AU884" s="5" t="n">
        <v>60.52</v>
      </c>
      <c r="AV884" s="5" t="s">
        <v>51</v>
      </c>
    </row>
    <row r="885" customFormat="false" ht="15" hidden="false" customHeight="false" outlineLevel="0" collapsed="false">
      <c r="A885" s="2" t="s">
        <v>203</v>
      </c>
      <c r="B885" s="2" t="n">
        <v>2009</v>
      </c>
      <c r="C885" s="2" t="s">
        <v>52</v>
      </c>
      <c r="D885" s="2" t="n">
        <v>1</v>
      </c>
      <c r="E885" s="2" t="n">
        <v>4</v>
      </c>
      <c r="F885" s="2" t="s">
        <v>50</v>
      </c>
      <c r="G885" s="3" t="n">
        <v>0</v>
      </c>
      <c r="H885" s="3" t="n">
        <v>0</v>
      </c>
      <c r="I885" s="3" t="n">
        <v>0</v>
      </c>
      <c r="J885" s="3" t="n">
        <v>1</v>
      </c>
      <c r="K885" s="3" t="n">
        <v>0</v>
      </c>
      <c r="L885" s="3" t="n">
        <v>0</v>
      </c>
      <c r="M885" s="3" t="n">
        <v>1</v>
      </c>
      <c r="N885" s="3" t="n">
        <v>1</v>
      </c>
      <c r="O885" s="3" t="n">
        <v>0</v>
      </c>
      <c r="P885" s="3" t="n">
        <v>1</v>
      </c>
      <c r="Q885" s="3" t="n">
        <v>1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1</v>
      </c>
      <c r="W885" s="3" t="n">
        <v>1</v>
      </c>
      <c r="X885" s="3" t="n">
        <v>1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1</v>
      </c>
      <c r="AH885" s="3" t="n">
        <v>0</v>
      </c>
      <c r="AI885" s="3" t="n">
        <v>0</v>
      </c>
      <c r="AJ885" s="4" t="n">
        <f aca="false">SUM(G885:AI885)</f>
        <v>9</v>
      </c>
      <c r="AK885" s="4" t="n">
        <f aca="false">ROUND(SUMPRODUCT(G885:AI885,Gene_Weights!$B$2:$AD$2),3)</f>
        <v>-6.94</v>
      </c>
      <c r="AL885" s="2" t="n">
        <v>12</v>
      </c>
      <c r="AM885" s="2" t="n">
        <v>3</v>
      </c>
      <c r="AN885" s="2" t="n">
        <v>25</v>
      </c>
      <c r="AO885" s="5" t="n">
        <v>64.53</v>
      </c>
      <c r="AP885" s="5" t="n">
        <v>66.13</v>
      </c>
      <c r="AQ885" s="5" t="n">
        <v>67.73</v>
      </c>
      <c r="AR885" s="5" t="n">
        <v>69.33</v>
      </c>
      <c r="AS885" s="5" t="n">
        <v>70.93</v>
      </c>
      <c r="AT885" s="5" t="n">
        <v>72.53</v>
      </c>
      <c r="AU885" s="5" t="n">
        <v>74.13</v>
      </c>
      <c r="AV885" s="5" t="s">
        <v>51</v>
      </c>
    </row>
    <row r="886" customFormat="false" ht="15" hidden="false" customHeight="false" outlineLevel="0" collapsed="false">
      <c r="A886" s="2" t="s">
        <v>203</v>
      </c>
      <c r="B886" s="2" t="n">
        <v>2009</v>
      </c>
      <c r="C886" s="2" t="s">
        <v>53</v>
      </c>
      <c r="D886" s="2" t="n">
        <v>1</v>
      </c>
      <c r="E886" s="2" t="n">
        <v>2</v>
      </c>
      <c r="F886" s="2" t="s">
        <v>50</v>
      </c>
      <c r="G886" s="3" t="n">
        <v>0</v>
      </c>
      <c r="H886" s="3" t="n">
        <v>0</v>
      </c>
      <c r="I886" s="3" t="n">
        <v>0</v>
      </c>
      <c r="J886" s="3" t="n">
        <v>1</v>
      </c>
      <c r="K886" s="3" t="n">
        <v>0</v>
      </c>
      <c r="L886" s="3" t="n">
        <v>0</v>
      </c>
      <c r="M886" s="3" t="n">
        <v>1</v>
      </c>
      <c r="N886" s="3" t="n">
        <v>1</v>
      </c>
      <c r="O886" s="3" t="n">
        <v>0</v>
      </c>
      <c r="P886" s="3" t="n">
        <v>1</v>
      </c>
      <c r="Q886" s="3" t="n">
        <v>1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1</v>
      </c>
      <c r="W886" s="3" t="n">
        <v>1</v>
      </c>
      <c r="X886" s="3" t="n">
        <v>1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1</v>
      </c>
      <c r="AH886" s="3" t="n">
        <v>0</v>
      </c>
      <c r="AI886" s="3" t="n">
        <v>0</v>
      </c>
      <c r="AJ886" s="4" t="n">
        <f aca="false">SUM(G886:AI886)</f>
        <v>9</v>
      </c>
      <c r="AK886" s="4" t="n">
        <f aca="false">ROUND(SUMPRODUCT(G886:AI886,Gene_Weights!$B$2:$AD$2),3)</f>
        <v>-6.94</v>
      </c>
      <c r="AL886" s="2" t="n">
        <v>12</v>
      </c>
      <c r="AM886" s="2" t="n">
        <v>9</v>
      </c>
      <c r="AN886" s="2" t="n">
        <v>75</v>
      </c>
      <c r="AO886" s="5" t="n">
        <v>52.86</v>
      </c>
      <c r="AP886" s="5" t="n">
        <v>53.65</v>
      </c>
      <c r="AQ886" s="5" t="n">
        <v>54.45</v>
      </c>
      <c r="AR886" s="5" t="n">
        <v>55.24</v>
      </c>
      <c r="AS886" s="5" t="n">
        <v>56.03</v>
      </c>
      <c r="AT886" s="5" t="n">
        <v>56.83</v>
      </c>
      <c r="AU886" s="5" t="n">
        <v>57.62</v>
      </c>
      <c r="AV886" s="5" t="s">
        <v>51</v>
      </c>
    </row>
    <row r="887" customFormat="false" ht="15" hidden="false" customHeight="false" outlineLevel="0" collapsed="false">
      <c r="A887" s="2" t="s">
        <v>203</v>
      </c>
      <c r="B887" s="2" t="n">
        <v>2009</v>
      </c>
      <c r="C887" s="2" t="s">
        <v>54</v>
      </c>
      <c r="D887" s="2" t="n">
        <v>0</v>
      </c>
      <c r="E887" s="2" t="n">
        <v>2</v>
      </c>
      <c r="F887" s="2" t="s">
        <v>50</v>
      </c>
      <c r="G887" s="3" t="n">
        <v>0</v>
      </c>
      <c r="H887" s="3" t="n">
        <v>0</v>
      </c>
      <c r="I887" s="3" t="n">
        <v>0</v>
      </c>
      <c r="J887" s="3" t="n">
        <v>1</v>
      </c>
      <c r="K887" s="3" t="n">
        <v>0</v>
      </c>
      <c r="L887" s="3" t="n">
        <v>0</v>
      </c>
      <c r="M887" s="3" t="n">
        <v>1</v>
      </c>
      <c r="N887" s="3" t="n">
        <v>1</v>
      </c>
      <c r="O887" s="3" t="n">
        <v>0</v>
      </c>
      <c r="P887" s="3" t="n">
        <v>1</v>
      </c>
      <c r="Q887" s="3" t="n">
        <v>1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1</v>
      </c>
      <c r="W887" s="3" t="n">
        <v>1</v>
      </c>
      <c r="X887" s="3" t="n">
        <v>1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1</v>
      </c>
      <c r="AH887" s="3" t="n">
        <v>0</v>
      </c>
      <c r="AI887" s="3" t="n">
        <v>0</v>
      </c>
      <c r="AJ887" s="4" t="n">
        <f aca="false">SUM(G887:AI887)</f>
        <v>9</v>
      </c>
      <c r="AK887" s="4" t="n">
        <f aca="false">ROUND(SUMPRODUCT(G887:AI887,Gene_Weights!$B$2:$AD$2),3)</f>
        <v>-6.94</v>
      </c>
      <c r="AL887" s="2" t="n">
        <v>12</v>
      </c>
      <c r="AM887" s="2" t="n">
        <v>8</v>
      </c>
      <c r="AN887" s="2" t="n">
        <v>66.67</v>
      </c>
      <c r="AO887" s="5" t="n">
        <v>81.84</v>
      </c>
      <c r="AP887" s="5" t="n">
        <v>84.45</v>
      </c>
      <c r="AQ887" s="5" t="n">
        <v>87.06</v>
      </c>
      <c r="AR887" s="5" t="n">
        <v>89.67</v>
      </c>
      <c r="AS887" s="5" t="n">
        <v>92.27</v>
      </c>
      <c r="AT887" s="5" t="n">
        <v>94.88</v>
      </c>
      <c r="AU887" s="5" t="n">
        <v>97.49</v>
      </c>
      <c r="AV887" s="5" t="s">
        <v>51</v>
      </c>
    </row>
    <row r="888" customFormat="false" ht="15" hidden="false" customHeight="false" outlineLevel="0" collapsed="false">
      <c r="A888" s="2" t="s">
        <v>203</v>
      </c>
      <c r="B888" s="2" t="n">
        <v>2009</v>
      </c>
      <c r="C888" s="2" t="s">
        <v>55</v>
      </c>
      <c r="D888" s="2" t="n">
        <v>0</v>
      </c>
      <c r="E888" s="2" t="n">
        <v>16</v>
      </c>
      <c r="F888" s="2" t="s">
        <v>50</v>
      </c>
      <c r="G888" s="3" t="n">
        <v>0</v>
      </c>
      <c r="H888" s="3" t="n">
        <v>0</v>
      </c>
      <c r="I888" s="3" t="n">
        <v>0</v>
      </c>
      <c r="J888" s="3" t="n">
        <v>1</v>
      </c>
      <c r="K888" s="3" t="n">
        <v>0</v>
      </c>
      <c r="L888" s="3" t="n">
        <v>0</v>
      </c>
      <c r="M888" s="3" t="n">
        <v>1</v>
      </c>
      <c r="N888" s="3" t="n">
        <v>1</v>
      </c>
      <c r="O888" s="3" t="n">
        <v>0</v>
      </c>
      <c r="P888" s="3" t="n">
        <v>1</v>
      </c>
      <c r="Q888" s="3" t="n">
        <v>1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1</v>
      </c>
      <c r="W888" s="3" t="n">
        <v>1</v>
      </c>
      <c r="X888" s="3" t="n">
        <v>1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1</v>
      </c>
      <c r="AH888" s="3" t="n">
        <v>0</v>
      </c>
      <c r="AI888" s="3" t="n">
        <v>0</v>
      </c>
      <c r="AJ888" s="4" t="n">
        <f aca="false">SUM(G888:AI888)</f>
        <v>9</v>
      </c>
      <c r="AK888" s="4" t="n">
        <f aca="false">ROUND(SUMPRODUCT(G888:AI888,Gene_Weights!$B$2:$AD$2),3)</f>
        <v>-6.94</v>
      </c>
      <c r="AL888" s="2" t="n">
        <v>12</v>
      </c>
      <c r="AM888" s="2" t="n">
        <v>2</v>
      </c>
      <c r="AN888" s="2" t="n">
        <v>16.67</v>
      </c>
      <c r="AO888" s="5" t="n">
        <v>58.19</v>
      </c>
      <c r="AP888" s="5" t="n">
        <v>59.74</v>
      </c>
      <c r="AQ888" s="5" t="n">
        <v>61.3</v>
      </c>
      <c r="AR888" s="5" t="n">
        <v>62.86</v>
      </c>
      <c r="AS888" s="5" t="n">
        <v>64.42</v>
      </c>
      <c r="AT888" s="5" t="n">
        <v>65.98</v>
      </c>
      <c r="AU888" s="5" t="n">
        <v>67.53</v>
      </c>
      <c r="AV888" s="5" t="s">
        <v>51</v>
      </c>
    </row>
    <row r="889" customFormat="false" ht="15" hidden="false" customHeight="false" outlineLevel="0" collapsed="false">
      <c r="A889" s="2" t="s">
        <v>203</v>
      </c>
      <c r="B889" s="2" t="n">
        <v>2009</v>
      </c>
      <c r="C889" s="2" t="s">
        <v>56</v>
      </c>
      <c r="D889" s="2" t="n">
        <v>0</v>
      </c>
      <c r="E889" s="2" t="n">
        <v>2</v>
      </c>
      <c r="F889" s="2" t="s">
        <v>50</v>
      </c>
      <c r="G889" s="3" t="n">
        <v>0</v>
      </c>
      <c r="H889" s="3" t="n">
        <v>0</v>
      </c>
      <c r="I889" s="3" t="n">
        <v>0</v>
      </c>
      <c r="J889" s="3" t="n">
        <v>1</v>
      </c>
      <c r="K889" s="3" t="n">
        <v>0</v>
      </c>
      <c r="L889" s="3" t="n">
        <v>0</v>
      </c>
      <c r="M889" s="3" t="n">
        <v>1</v>
      </c>
      <c r="N889" s="3" t="n">
        <v>1</v>
      </c>
      <c r="O889" s="3" t="n">
        <v>0</v>
      </c>
      <c r="P889" s="3" t="n">
        <v>1</v>
      </c>
      <c r="Q889" s="3" t="n">
        <v>1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1</v>
      </c>
      <c r="W889" s="3" t="n">
        <v>1</v>
      </c>
      <c r="X889" s="3" t="n">
        <v>1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1</v>
      </c>
      <c r="AH889" s="3" t="n">
        <v>0</v>
      </c>
      <c r="AI889" s="3" t="n">
        <v>0</v>
      </c>
      <c r="AJ889" s="4" t="n">
        <f aca="false">SUM(G889:AI889)</f>
        <v>9</v>
      </c>
      <c r="AK889" s="4" t="n">
        <f aca="false">ROUND(SUMPRODUCT(G889:AI889,Gene_Weights!$B$2:$AD$2),3)</f>
        <v>-6.94</v>
      </c>
      <c r="AL889" s="2" t="n">
        <v>12</v>
      </c>
      <c r="AM889" s="2" t="n">
        <v>4</v>
      </c>
      <c r="AN889" s="2" t="n">
        <v>33.33</v>
      </c>
      <c r="AO889" s="5" t="n">
        <v>75.59</v>
      </c>
      <c r="AP889" s="5" t="n">
        <v>78.01</v>
      </c>
      <c r="AQ889" s="5" t="n">
        <v>80.42</v>
      </c>
      <c r="AR889" s="5" t="n">
        <v>82.83</v>
      </c>
      <c r="AS889" s="5" t="n">
        <v>85.24</v>
      </c>
      <c r="AT889" s="5" t="n">
        <v>87.66</v>
      </c>
      <c r="AU889" s="5" t="n">
        <v>90.07</v>
      </c>
      <c r="AV889" s="5" t="s">
        <v>51</v>
      </c>
    </row>
    <row r="890" customFormat="false" ht="15" hidden="false" customHeight="false" outlineLevel="0" collapsed="false">
      <c r="A890" s="2" t="s">
        <v>204</v>
      </c>
      <c r="B890" s="2" t="n">
        <v>2024</v>
      </c>
      <c r="C890" s="2" t="s">
        <v>49</v>
      </c>
      <c r="D890" s="2" t="n">
        <v>1</v>
      </c>
      <c r="E890" s="2" t="n">
        <v>2</v>
      </c>
      <c r="F890" s="2" t="s">
        <v>50</v>
      </c>
      <c r="G890" s="3" t="n">
        <v>0</v>
      </c>
      <c r="H890" s="3" t="n">
        <v>0</v>
      </c>
      <c r="I890" s="3" t="n">
        <v>0</v>
      </c>
      <c r="J890" s="3" t="n">
        <v>1</v>
      </c>
      <c r="K890" s="3" t="n">
        <v>1</v>
      </c>
      <c r="L890" s="3" t="n">
        <v>0</v>
      </c>
      <c r="M890" s="3" t="n">
        <v>0</v>
      </c>
      <c r="N890" s="3" t="n">
        <v>1</v>
      </c>
      <c r="O890" s="3" t="n">
        <v>1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1</v>
      </c>
      <c r="W890" s="3" t="n">
        <v>1</v>
      </c>
      <c r="X890" s="3" t="n">
        <v>0</v>
      </c>
      <c r="Y890" s="3" t="n">
        <v>1</v>
      </c>
      <c r="Z890" s="3" t="n">
        <v>0</v>
      </c>
      <c r="AA890" s="3" t="n">
        <v>1</v>
      </c>
      <c r="AB890" s="3" t="n">
        <v>1</v>
      </c>
      <c r="AC890" s="3" t="n">
        <v>1</v>
      </c>
      <c r="AD890" s="3" t="n">
        <v>0</v>
      </c>
      <c r="AE890" s="3" t="n">
        <v>0</v>
      </c>
      <c r="AF890" s="3" t="n">
        <v>1</v>
      </c>
      <c r="AG890" s="3" t="n">
        <v>1</v>
      </c>
      <c r="AH890" s="3" t="n">
        <v>0</v>
      </c>
      <c r="AI890" s="3" t="n">
        <v>1</v>
      </c>
      <c r="AJ890" s="4" t="n">
        <f aca="false">SUM(G890:AI890)</f>
        <v>13</v>
      </c>
      <c r="AK890" s="4" t="n">
        <f aca="false">ROUND(SUMPRODUCT(G890:AI890,Gene_Weights!$B$2:$AD$2),3)</f>
        <v>-9.21</v>
      </c>
      <c r="AL890" s="2" t="n">
        <v>7</v>
      </c>
      <c r="AM890" s="2" t="n">
        <v>6</v>
      </c>
      <c r="AN890" s="2" t="n">
        <v>85.71</v>
      </c>
      <c r="AO890" s="5" t="n">
        <v>55.12</v>
      </c>
      <c r="AP890" s="5" t="n">
        <v>56.02</v>
      </c>
      <c r="AQ890" s="5" t="n">
        <v>56.92</v>
      </c>
      <c r="AR890" s="5" t="n">
        <v>57.82</v>
      </c>
      <c r="AS890" s="5" t="n">
        <v>58.72</v>
      </c>
      <c r="AT890" s="5" t="n">
        <v>59.62</v>
      </c>
      <c r="AU890" s="5" t="n">
        <v>60.52</v>
      </c>
      <c r="AV890" s="5" t="s">
        <v>51</v>
      </c>
    </row>
    <row r="891" customFormat="false" ht="15" hidden="false" customHeight="false" outlineLevel="0" collapsed="false">
      <c r="A891" s="2" t="s">
        <v>204</v>
      </c>
      <c r="B891" s="2" t="n">
        <v>2024</v>
      </c>
      <c r="C891" s="2" t="s">
        <v>52</v>
      </c>
      <c r="D891" s="2" t="n">
        <v>1</v>
      </c>
      <c r="E891" s="2" t="n">
        <v>32</v>
      </c>
      <c r="F891" s="2" t="s">
        <v>50</v>
      </c>
      <c r="G891" s="3" t="n">
        <v>0</v>
      </c>
      <c r="H891" s="3" t="n">
        <v>0</v>
      </c>
      <c r="I891" s="3" t="n">
        <v>0</v>
      </c>
      <c r="J891" s="3" t="n">
        <v>1</v>
      </c>
      <c r="K891" s="3" t="n">
        <v>1</v>
      </c>
      <c r="L891" s="3" t="n">
        <v>0</v>
      </c>
      <c r="M891" s="3" t="n">
        <v>0</v>
      </c>
      <c r="N891" s="3" t="n">
        <v>1</v>
      </c>
      <c r="O891" s="3" t="n">
        <v>1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1</v>
      </c>
      <c r="W891" s="3" t="n">
        <v>1</v>
      </c>
      <c r="X891" s="3" t="n">
        <v>0</v>
      </c>
      <c r="Y891" s="3" t="n">
        <v>1</v>
      </c>
      <c r="Z891" s="3" t="n">
        <v>0</v>
      </c>
      <c r="AA891" s="3" t="n">
        <v>1</v>
      </c>
      <c r="AB891" s="3" t="n">
        <v>1</v>
      </c>
      <c r="AC891" s="3" t="n">
        <v>1</v>
      </c>
      <c r="AD891" s="3" t="n">
        <v>0</v>
      </c>
      <c r="AE891" s="3" t="n">
        <v>0</v>
      </c>
      <c r="AF891" s="3" t="n">
        <v>1</v>
      </c>
      <c r="AG891" s="3" t="n">
        <v>1</v>
      </c>
      <c r="AH891" s="3" t="n">
        <v>0</v>
      </c>
      <c r="AI891" s="3" t="n">
        <v>1</v>
      </c>
      <c r="AJ891" s="4" t="n">
        <f aca="false">SUM(G891:AI891)</f>
        <v>13</v>
      </c>
      <c r="AK891" s="4" t="n">
        <f aca="false">ROUND(SUMPRODUCT(G891:AI891,Gene_Weights!$B$2:$AD$2),3)</f>
        <v>-9.21</v>
      </c>
      <c r="AL891" s="2" t="n">
        <v>7</v>
      </c>
      <c r="AM891" s="2" t="n">
        <v>7</v>
      </c>
      <c r="AN891" s="2" t="n">
        <v>100</v>
      </c>
      <c r="AO891" s="5" t="n">
        <v>64.53</v>
      </c>
      <c r="AP891" s="5" t="n">
        <v>66.13</v>
      </c>
      <c r="AQ891" s="5" t="n">
        <v>67.73</v>
      </c>
      <c r="AR891" s="5" t="n">
        <v>69.33</v>
      </c>
      <c r="AS891" s="5" t="n">
        <v>70.93</v>
      </c>
      <c r="AT891" s="5" t="n">
        <v>72.53</v>
      </c>
      <c r="AU891" s="5" t="n">
        <v>74.13</v>
      </c>
      <c r="AV891" s="5" t="s">
        <v>51</v>
      </c>
    </row>
    <row r="892" customFormat="false" ht="15" hidden="false" customHeight="false" outlineLevel="0" collapsed="false">
      <c r="A892" s="2" t="s">
        <v>204</v>
      </c>
      <c r="B892" s="2" t="n">
        <v>2024</v>
      </c>
      <c r="C892" s="2" t="s">
        <v>53</v>
      </c>
      <c r="D892" s="2" t="n">
        <v>1</v>
      </c>
      <c r="E892" s="2" t="n">
        <v>2</v>
      </c>
      <c r="F892" s="2" t="s">
        <v>50</v>
      </c>
      <c r="G892" s="3" t="n">
        <v>0</v>
      </c>
      <c r="H892" s="3" t="n">
        <v>0</v>
      </c>
      <c r="I892" s="3" t="n">
        <v>0</v>
      </c>
      <c r="J892" s="3" t="n">
        <v>1</v>
      </c>
      <c r="K892" s="3" t="n">
        <v>1</v>
      </c>
      <c r="L892" s="3" t="n">
        <v>0</v>
      </c>
      <c r="M892" s="3" t="n">
        <v>0</v>
      </c>
      <c r="N892" s="3" t="n">
        <v>1</v>
      </c>
      <c r="O892" s="3" t="n">
        <v>1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1</v>
      </c>
      <c r="W892" s="3" t="n">
        <v>1</v>
      </c>
      <c r="X892" s="3" t="n">
        <v>0</v>
      </c>
      <c r="Y892" s="3" t="n">
        <v>1</v>
      </c>
      <c r="Z892" s="3" t="n">
        <v>0</v>
      </c>
      <c r="AA892" s="3" t="n">
        <v>1</v>
      </c>
      <c r="AB892" s="3" t="n">
        <v>1</v>
      </c>
      <c r="AC892" s="3" t="n">
        <v>1</v>
      </c>
      <c r="AD892" s="3" t="n">
        <v>0</v>
      </c>
      <c r="AE892" s="3" t="n">
        <v>0</v>
      </c>
      <c r="AF892" s="3" t="n">
        <v>1</v>
      </c>
      <c r="AG892" s="3" t="n">
        <v>1</v>
      </c>
      <c r="AH892" s="3" t="n">
        <v>0</v>
      </c>
      <c r="AI892" s="3" t="n">
        <v>1</v>
      </c>
      <c r="AJ892" s="4" t="n">
        <f aca="false">SUM(G892:AI892)</f>
        <v>13</v>
      </c>
      <c r="AK892" s="4" t="n">
        <f aca="false">ROUND(SUMPRODUCT(G892:AI892,Gene_Weights!$B$2:$AD$2),3)</f>
        <v>-9.21</v>
      </c>
      <c r="AL892" s="2" t="n">
        <v>7</v>
      </c>
      <c r="AM892" s="2" t="n">
        <v>5</v>
      </c>
      <c r="AN892" s="2" t="n">
        <v>71.43</v>
      </c>
      <c r="AO892" s="5" t="n">
        <v>52.86</v>
      </c>
      <c r="AP892" s="5" t="n">
        <v>53.65</v>
      </c>
      <c r="AQ892" s="5" t="n">
        <v>54.45</v>
      </c>
      <c r="AR892" s="5" t="n">
        <v>55.24</v>
      </c>
      <c r="AS892" s="5" t="n">
        <v>56.03</v>
      </c>
      <c r="AT892" s="5" t="n">
        <v>56.83</v>
      </c>
      <c r="AU892" s="5" t="n">
        <v>57.62</v>
      </c>
      <c r="AV892" s="5" t="s">
        <v>51</v>
      </c>
    </row>
    <row r="893" customFormat="false" ht="15" hidden="false" customHeight="false" outlineLevel="0" collapsed="false">
      <c r="A893" s="2" t="s">
        <v>204</v>
      </c>
      <c r="B893" s="2" t="n">
        <v>2024</v>
      </c>
      <c r="C893" s="2" t="s">
        <v>54</v>
      </c>
      <c r="D893" s="2" t="n">
        <v>1</v>
      </c>
      <c r="E893" s="2" t="n">
        <v>16</v>
      </c>
      <c r="F893" s="2" t="s">
        <v>50</v>
      </c>
      <c r="G893" s="3" t="n">
        <v>0</v>
      </c>
      <c r="H893" s="3" t="n">
        <v>0</v>
      </c>
      <c r="I893" s="3" t="n">
        <v>0</v>
      </c>
      <c r="J893" s="3" t="n">
        <v>1</v>
      </c>
      <c r="K893" s="3" t="n">
        <v>1</v>
      </c>
      <c r="L893" s="3" t="n">
        <v>0</v>
      </c>
      <c r="M893" s="3" t="n">
        <v>0</v>
      </c>
      <c r="N893" s="3" t="n">
        <v>1</v>
      </c>
      <c r="O893" s="3" t="n">
        <v>1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1</v>
      </c>
      <c r="W893" s="3" t="n">
        <v>1</v>
      </c>
      <c r="X893" s="3" t="n">
        <v>0</v>
      </c>
      <c r="Y893" s="3" t="n">
        <v>1</v>
      </c>
      <c r="Z893" s="3" t="n">
        <v>0</v>
      </c>
      <c r="AA893" s="3" t="n">
        <v>1</v>
      </c>
      <c r="AB893" s="3" t="n">
        <v>1</v>
      </c>
      <c r="AC893" s="3" t="n">
        <v>1</v>
      </c>
      <c r="AD893" s="3" t="n">
        <v>0</v>
      </c>
      <c r="AE893" s="3" t="n">
        <v>0</v>
      </c>
      <c r="AF893" s="3" t="n">
        <v>1</v>
      </c>
      <c r="AG893" s="3" t="n">
        <v>1</v>
      </c>
      <c r="AH893" s="3" t="n">
        <v>0</v>
      </c>
      <c r="AI893" s="3" t="n">
        <v>1</v>
      </c>
      <c r="AJ893" s="4" t="n">
        <f aca="false">SUM(G893:AI893)</f>
        <v>13</v>
      </c>
      <c r="AK893" s="4" t="n">
        <f aca="false">ROUND(SUMPRODUCT(G893:AI893,Gene_Weights!$B$2:$AD$2),3)</f>
        <v>-9.21</v>
      </c>
      <c r="AL893" s="2" t="n">
        <v>7</v>
      </c>
      <c r="AM893" s="2" t="n">
        <v>6</v>
      </c>
      <c r="AN893" s="2" t="n">
        <v>85.71</v>
      </c>
      <c r="AO893" s="5" t="n">
        <v>81.84</v>
      </c>
      <c r="AP893" s="5" t="n">
        <v>84.45</v>
      </c>
      <c r="AQ893" s="5" t="n">
        <v>87.06</v>
      </c>
      <c r="AR893" s="5" t="n">
        <v>89.67</v>
      </c>
      <c r="AS893" s="5" t="n">
        <v>92.27</v>
      </c>
      <c r="AT893" s="5" t="n">
        <v>94.88</v>
      </c>
      <c r="AU893" s="5" t="n">
        <v>97.49</v>
      </c>
      <c r="AV893" s="5" t="s">
        <v>51</v>
      </c>
    </row>
    <row r="894" customFormat="false" ht="15" hidden="false" customHeight="false" outlineLevel="0" collapsed="false">
      <c r="A894" s="2" t="s">
        <v>204</v>
      </c>
      <c r="B894" s="2" t="n">
        <v>2024</v>
      </c>
      <c r="C894" s="2" t="s">
        <v>55</v>
      </c>
      <c r="D894" s="2" t="n">
        <v>1</v>
      </c>
      <c r="E894" s="2" t="n">
        <v>4</v>
      </c>
      <c r="F894" s="2" t="s">
        <v>50</v>
      </c>
      <c r="G894" s="3" t="n">
        <v>0</v>
      </c>
      <c r="H894" s="3" t="n">
        <v>0</v>
      </c>
      <c r="I894" s="3" t="n">
        <v>0</v>
      </c>
      <c r="J894" s="3" t="n">
        <v>1</v>
      </c>
      <c r="K894" s="3" t="n">
        <v>1</v>
      </c>
      <c r="L894" s="3" t="n">
        <v>0</v>
      </c>
      <c r="M894" s="3" t="n">
        <v>0</v>
      </c>
      <c r="N894" s="3" t="n">
        <v>1</v>
      </c>
      <c r="O894" s="3" t="n">
        <v>1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1</v>
      </c>
      <c r="W894" s="3" t="n">
        <v>1</v>
      </c>
      <c r="X894" s="3" t="n">
        <v>0</v>
      </c>
      <c r="Y894" s="3" t="n">
        <v>1</v>
      </c>
      <c r="Z894" s="3" t="n">
        <v>0</v>
      </c>
      <c r="AA894" s="3" t="n">
        <v>1</v>
      </c>
      <c r="AB894" s="3" t="n">
        <v>1</v>
      </c>
      <c r="AC894" s="3" t="n">
        <v>1</v>
      </c>
      <c r="AD894" s="3" t="n">
        <v>0</v>
      </c>
      <c r="AE894" s="3" t="n">
        <v>0</v>
      </c>
      <c r="AF894" s="3" t="n">
        <v>1</v>
      </c>
      <c r="AG894" s="3" t="n">
        <v>1</v>
      </c>
      <c r="AH894" s="3" t="n">
        <v>0</v>
      </c>
      <c r="AI894" s="3" t="n">
        <v>1</v>
      </c>
      <c r="AJ894" s="4" t="n">
        <f aca="false">SUM(G894:AI894)</f>
        <v>13</v>
      </c>
      <c r="AK894" s="4" t="n">
        <f aca="false">ROUND(SUMPRODUCT(G894:AI894,Gene_Weights!$B$2:$AD$2),3)</f>
        <v>-9.21</v>
      </c>
      <c r="AL894" s="2" t="n">
        <v>7</v>
      </c>
      <c r="AM894" s="2" t="n">
        <v>5</v>
      </c>
      <c r="AN894" s="2" t="n">
        <v>71.43</v>
      </c>
      <c r="AO894" s="5" t="n">
        <v>58.19</v>
      </c>
      <c r="AP894" s="5" t="n">
        <v>59.74</v>
      </c>
      <c r="AQ894" s="5" t="n">
        <v>61.3</v>
      </c>
      <c r="AR894" s="5" t="n">
        <v>62.86</v>
      </c>
      <c r="AS894" s="5" t="n">
        <v>64.42</v>
      </c>
      <c r="AT894" s="5" t="n">
        <v>65.98</v>
      </c>
      <c r="AU894" s="5" t="n">
        <v>67.53</v>
      </c>
      <c r="AV894" s="5" t="s">
        <v>51</v>
      </c>
    </row>
    <row r="895" customFormat="false" ht="15" hidden="false" customHeight="false" outlineLevel="0" collapsed="false">
      <c r="A895" s="2" t="s">
        <v>204</v>
      </c>
      <c r="B895" s="2" t="n">
        <v>2024</v>
      </c>
      <c r="C895" s="2" t="s">
        <v>56</v>
      </c>
      <c r="D895" s="2" t="n">
        <v>1</v>
      </c>
      <c r="E895" s="2" t="n">
        <v>2</v>
      </c>
      <c r="F895" s="2" t="s">
        <v>50</v>
      </c>
      <c r="G895" s="3" t="n">
        <v>0</v>
      </c>
      <c r="H895" s="3" t="n">
        <v>0</v>
      </c>
      <c r="I895" s="3" t="n">
        <v>0</v>
      </c>
      <c r="J895" s="3" t="n">
        <v>1</v>
      </c>
      <c r="K895" s="3" t="n">
        <v>1</v>
      </c>
      <c r="L895" s="3" t="n">
        <v>0</v>
      </c>
      <c r="M895" s="3" t="n">
        <v>0</v>
      </c>
      <c r="N895" s="3" t="n">
        <v>1</v>
      </c>
      <c r="O895" s="3" t="n">
        <v>1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1</v>
      </c>
      <c r="W895" s="3" t="n">
        <v>1</v>
      </c>
      <c r="X895" s="3" t="n">
        <v>0</v>
      </c>
      <c r="Y895" s="3" t="n">
        <v>1</v>
      </c>
      <c r="Z895" s="3" t="n">
        <v>0</v>
      </c>
      <c r="AA895" s="3" t="n">
        <v>1</v>
      </c>
      <c r="AB895" s="3" t="n">
        <v>1</v>
      </c>
      <c r="AC895" s="3" t="n">
        <v>1</v>
      </c>
      <c r="AD895" s="3" t="n">
        <v>0</v>
      </c>
      <c r="AE895" s="3" t="n">
        <v>0</v>
      </c>
      <c r="AF895" s="3" t="n">
        <v>1</v>
      </c>
      <c r="AG895" s="3" t="n">
        <v>1</v>
      </c>
      <c r="AH895" s="3" t="n">
        <v>0</v>
      </c>
      <c r="AI895" s="3" t="n">
        <v>1</v>
      </c>
      <c r="AJ895" s="4" t="n">
        <f aca="false">SUM(G895:AI895)</f>
        <v>13</v>
      </c>
      <c r="AK895" s="4" t="n">
        <f aca="false">ROUND(SUMPRODUCT(G895:AI895,Gene_Weights!$B$2:$AD$2),3)</f>
        <v>-9.21</v>
      </c>
      <c r="AL895" s="2" t="n">
        <v>7</v>
      </c>
      <c r="AM895" s="2" t="n">
        <v>5</v>
      </c>
      <c r="AN895" s="2" t="n">
        <v>71.43</v>
      </c>
      <c r="AO895" s="5" t="n">
        <v>75.59</v>
      </c>
      <c r="AP895" s="5" t="n">
        <v>78.01</v>
      </c>
      <c r="AQ895" s="5" t="n">
        <v>80.42</v>
      </c>
      <c r="AR895" s="5" t="n">
        <v>82.83</v>
      </c>
      <c r="AS895" s="5" t="n">
        <v>85.24</v>
      </c>
      <c r="AT895" s="5" t="n">
        <v>87.66</v>
      </c>
      <c r="AU895" s="5" t="n">
        <v>90.07</v>
      </c>
      <c r="AV895" s="5" t="s">
        <v>51</v>
      </c>
    </row>
    <row r="896" customFormat="false" ht="15" hidden="false" customHeight="false" outlineLevel="0" collapsed="false">
      <c r="A896" s="2" t="s">
        <v>205</v>
      </c>
      <c r="B896" s="2" t="n">
        <v>2022</v>
      </c>
      <c r="C896" s="2" t="s">
        <v>49</v>
      </c>
      <c r="D896" s="2" t="n">
        <v>1</v>
      </c>
      <c r="E896" s="2" t="n">
        <v>32</v>
      </c>
      <c r="F896" s="2" t="s">
        <v>50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1</v>
      </c>
      <c r="M896" s="3" t="n">
        <v>0</v>
      </c>
      <c r="N896" s="3" t="n">
        <v>1</v>
      </c>
      <c r="O896" s="3" t="n">
        <v>0</v>
      </c>
      <c r="P896" s="3" t="n">
        <v>1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1</v>
      </c>
      <c r="X896" s="3" t="n">
        <v>0</v>
      </c>
      <c r="Y896" s="3" t="n">
        <v>1</v>
      </c>
      <c r="Z896" s="3" t="n">
        <v>0</v>
      </c>
      <c r="AA896" s="3" t="n">
        <v>1</v>
      </c>
      <c r="AB896" s="3" t="n">
        <v>1</v>
      </c>
      <c r="AC896" s="3" t="n">
        <v>0</v>
      </c>
      <c r="AD896" s="3" t="n">
        <v>0</v>
      </c>
      <c r="AE896" s="3" t="n">
        <v>1</v>
      </c>
      <c r="AF896" s="3" t="n">
        <v>0</v>
      </c>
      <c r="AG896" s="3" t="n">
        <v>0</v>
      </c>
      <c r="AH896" s="3" t="n">
        <v>1</v>
      </c>
      <c r="AI896" s="3" t="n">
        <v>1</v>
      </c>
      <c r="AJ896" s="4" t="n">
        <f aca="false">SUM(G896:AI896)</f>
        <v>10</v>
      </c>
      <c r="AK896" s="4" t="n">
        <f aca="false">ROUND(SUMPRODUCT(G896:AI896,Gene_Weights!$B$2:$AD$2),3)</f>
        <v>-6.74</v>
      </c>
      <c r="AL896" s="2" t="n">
        <v>6</v>
      </c>
      <c r="AM896" s="2" t="n">
        <v>4</v>
      </c>
      <c r="AN896" s="2" t="n">
        <v>66.67</v>
      </c>
      <c r="AO896" s="5" t="n">
        <v>55.12</v>
      </c>
      <c r="AP896" s="5" t="n">
        <v>56.02</v>
      </c>
      <c r="AQ896" s="5" t="n">
        <v>56.92</v>
      </c>
      <c r="AR896" s="5" t="n">
        <v>57.82</v>
      </c>
      <c r="AS896" s="5" t="n">
        <v>58.72</v>
      </c>
      <c r="AT896" s="5" t="n">
        <v>59.62</v>
      </c>
      <c r="AU896" s="5" t="n">
        <v>60.52</v>
      </c>
      <c r="AV896" s="5" t="s">
        <v>51</v>
      </c>
    </row>
    <row r="897" customFormat="false" ht="15" hidden="false" customHeight="false" outlineLevel="0" collapsed="false">
      <c r="A897" s="2" t="s">
        <v>205</v>
      </c>
      <c r="B897" s="2" t="n">
        <v>2022</v>
      </c>
      <c r="C897" s="2" t="s">
        <v>52</v>
      </c>
      <c r="D897" s="2" t="n">
        <v>1</v>
      </c>
      <c r="E897" s="2" t="n">
        <v>4</v>
      </c>
      <c r="F897" s="2" t="s">
        <v>50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1</v>
      </c>
      <c r="M897" s="3" t="n">
        <v>0</v>
      </c>
      <c r="N897" s="3" t="n">
        <v>1</v>
      </c>
      <c r="O897" s="3" t="n">
        <v>0</v>
      </c>
      <c r="P897" s="3" t="n">
        <v>1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1</v>
      </c>
      <c r="X897" s="3" t="n">
        <v>0</v>
      </c>
      <c r="Y897" s="3" t="n">
        <v>1</v>
      </c>
      <c r="Z897" s="3" t="n">
        <v>0</v>
      </c>
      <c r="AA897" s="3" t="n">
        <v>1</v>
      </c>
      <c r="AB897" s="3" t="n">
        <v>1</v>
      </c>
      <c r="AC897" s="3" t="n">
        <v>0</v>
      </c>
      <c r="AD897" s="3" t="n">
        <v>0</v>
      </c>
      <c r="AE897" s="3" t="n">
        <v>1</v>
      </c>
      <c r="AF897" s="3" t="n">
        <v>0</v>
      </c>
      <c r="AG897" s="3" t="n">
        <v>0</v>
      </c>
      <c r="AH897" s="3" t="n">
        <v>1</v>
      </c>
      <c r="AI897" s="3" t="n">
        <v>1</v>
      </c>
      <c r="AJ897" s="4" t="n">
        <f aca="false">SUM(G897:AI897)</f>
        <v>10</v>
      </c>
      <c r="AK897" s="4" t="n">
        <f aca="false">ROUND(SUMPRODUCT(G897:AI897,Gene_Weights!$B$2:$AD$2),3)</f>
        <v>-6.74</v>
      </c>
      <c r="AL897" s="2" t="n">
        <v>6</v>
      </c>
      <c r="AM897" s="2" t="n">
        <v>2</v>
      </c>
      <c r="AN897" s="2" t="n">
        <v>33.33</v>
      </c>
      <c r="AO897" s="5" t="n">
        <v>64.53</v>
      </c>
      <c r="AP897" s="5" t="n">
        <v>66.13</v>
      </c>
      <c r="AQ897" s="5" t="n">
        <v>67.73</v>
      </c>
      <c r="AR897" s="5" t="n">
        <v>69.33</v>
      </c>
      <c r="AS897" s="5" t="n">
        <v>70.93</v>
      </c>
      <c r="AT897" s="5" t="n">
        <v>72.53</v>
      </c>
      <c r="AU897" s="5" t="n">
        <v>74.13</v>
      </c>
      <c r="AV897" s="5" t="s">
        <v>51</v>
      </c>
    </row>
    <row r="898" customFormat="false" ht="15" hidden="false" customHeight="false" outlineLevel="0" collapsed="false">
      <c r="A898" s="2" t="s">
        <v>205</v>
      </c>
      <c r="B898" s="2" t="n">
        <v>2022</v>
      </c>
      <c r="C898" s="2" t="s">
        <v>53</v>
      </c>
      <c r="D898" s="2" t="n">
        <v>1</v>
      </c>
      <c r="E898" s="2" t="n">
        <v>4</v>
      </c>
      <c r="F898" s="2" t="s">
        <v>50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1</v>
      </c>
      <c r="M898" s="3" t="n">
        <v>0</v>
      </c>
      <c r="N898" s="3" t="n">
        <v>1</v>
      </c>
      <c r="O898" s="3" t="n">
        <v>0</v>
      </c>
      <c r="P898" s="3" t="n">
        <v>1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1</v>
      </c>
      <c r="X898" s="3" t="n">
        <v>0</v>
      </c>
      <c r="Y898" s="3" t="n">
        <v>1</v>
      </c>
      <c r="Z898" s="3" t="n">
        <v>0</v>
      </c>
      <c r="AA898" s="3" t="n">
        <v>1</v>
      </c>
      <c r="AB898" s="3" t="n">
        <v>1</v>
      </c>
      <c r="AC898" s="3" t="n">
        <v>0</v>
      </c>
      <c r="AD898" s="3" t="n">
        <v>0</v>
      </c>
      <c r="AE898" s="3" t="n">
        <v>1</v>
      </c>
      <c r="AF898" s="3" t="n">
        <v>0</v>
      </c>
      <c r="AG898" s="3" t="n">
        <v>0</v>
      </c>
      <c r="AH898" s="3" t="n">
        <v>1</v>
      </c>
      <c r="AI898" s="3" t="n">
        <v>1</v>
      </c>
      <c r="AJ898" s="4" t="n">
        <f aca="false">SUM(G898:AI898)</f>
        <v>10</v>
      </c>
      <c r="AK898" s="4" t="n">
        <f aca="false">ROUND(SUMPRODUCT(G898:AI898,Gene_Weights!$B$2:$AD$2),3)</f>
        <v>-6.74</v>
      </c>
      <c r="AL898" s="2" t="n">
        <v>6</v>
      </c>
      <c r="AM898" s="2" t="n">
        <v>5</v>
      </c>
      <c r="AN898" s="2" t="n">
        <v>83.33</v>
      </c>
      <c r="AO898" s="5" t="n">
        <v>52.86</v>
      </c>
      <c r="AP898" s="5" t="n">
        <v>53.65</v>
      </c>
      <c r="AQ898" s="5" t="n">
        <v>54.45</v>
      </c>
      <c r="AR898" s="5" t="n">
        <v>55.24</v>
      </c>
      <c r="AS898" s="5" t="n">
        <v>56.03</v>
      </c>
      <c r="AT898" s="5" t="n">
        <v>56.83</v>
      </c>
      <c r="AU898" s="5" t="n">
        <v>57.62</v>
      </c>
      <c r="AV898" s="5" t="s">
        <v>51</v>
      </c>
    </row>
    <row r="899" customFormat="false" ht="15" hidden="false" customHeight="false" outlineLevel="0" collapsed="false">
      <c r="A899" s="2" t="s">
        <v>205</v>
      </c>
      <c r="B899" s="2" t="n">
        <v>2022</v>
      </c>
      <c r="C899" s="2" t="s">
        <v>54</v>
      </c>
      <c r="D899" s="2" t="n">
        <v>1</v>
      </c>
      <c r="E899" s="2" t="n">
        <v>32</v>
      </c>
      <c r="F899" s="2" t="s">
        <v>50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n">
        <v>0</v>
      </c>
      <c r="N899" s="3" t="n">
        <v>1</v>
      </c>
      <c r="O899" s="3" t="n">
        <v>0</v>
      </c>
      <c r="P899" s="3" t="n">
        <v>1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</v>
      </c>
      <c r="X899" s="3" t="n">
        <v>0</v>
      </c>
      <c r="Y899" s="3" t="n">
        <v>1</v>
      </c>
      <c r="Z899" s="3" t="n">
        <v>0</v>
      </c>
      <c r="AA899" s="3" t="n">
        <v>1</v>
      </c>
      <c r="AB899" s="3" t="n">
        <v>1</v>
      </c>
      <c r="AC899" s="3" t="n">
        <v>0</v>
      </c>
      <c r="AD899" s="3" t="n">
        <v>0</v>
      </c>
      <c r="AE899" s="3" t="n">
        <v>1</v>
      </c>
      <c r="AF899" s="3" t="n">
        <v>0</v>
      </c>
      <c r="AG899" s="3" t="n">
        <v>0</v>
      </c>
      <c r="AH899" s="3" t="n">
        <v>1</v>
      </c>
      <c r="AI899" s="3" t="n">
        <v>1</v>
      </c>
      <c r="AJ899" s="4" t="n">
        <f aca="false">SUM(G899:AI899)</f>
        <v>10</v>
      </c>
      <c r="AK899" s="4" t="n">
        <f aca="false">ROUND(SUMPRODUCT(G899:AI899,Gene_Weights!$B$2:$AD$2),3)</f>
        <v>-6.74</v>
      </c>
      <c r="AL899" s="2" t="n">
        <v>6</v>
      </c>
      <c r="AM899" s="2" t="n">
        <v>4</v>
      </c>
      <c r="AN899" s="2" t="n">
        <v>66.67</v>
      </c>
      <c r="AO899" s="5" t="n">
        <v>81.84</v>
      </c>
      <c r="AP899" s="5" t="n">
        <v>84.45</v>
      </c>
      <c r="AQ899" s="5" t="n">
        <v>87.06</v>
      </c>
      <c r="AR899" s="5" t="n">
        <v>89.67</v>
      </c>
      <c r="AS899" s="5" t="n">
        <v>92.27</v>
      </c>
      <c r="AT899" s="5" t="n">
        <v>94.88</v>
      </c>
      <c r="AU899" s="5" t="n">
        <v>97.49</v>
      </c>
      <c r="AV899" s="5" t="s">
        <v>51</v>
      </c>
    </row>
    <row r="900" customFormat="false" ht="15" hidden="false" customHeight="false" outlineLevel="0" collapsed="false">
      <c r="A900" s="2" t="s">
        <v>205</v>
      </c>
      <c r="B900" s="2" t="n">
        <v>2022</v>
      </c>
      <c r="C900" s="2" t="s">
        <v>55</v>
      </c>
      <c r="D900" s="2" t="n">
        <v>1</v>
      </c>
      <c r="E900" s="2" t="n">
        <v>32</v>
      </c>
      <c r="F900" s="2" t="s">
        <v>50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1</v>
      </c>
      <c r="M900" s="3" t="n">
        <v>0</v>
      </c>
      <c r="N900" s="3" t="n">
        <v>1</v>
      </c>
      <c r="O900" s="3" t="n">
        <v>0</v>
      </c>
      <c r="P900" s="3" t="n">
        <v>1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1</v>
      </c>
      <c r="X900" s="3" t="n">
        <v>0</v>
      </c>
      <c r="Y900" s="3" t="n">
        <v>1</v>
      </c>
      <c r="Z900" s="3" t="n">
        <v>0</v>
      </c>
      <c r="AA900" s="3" t="n">
        <v>1</v>
      </c>
      <c r="AB900" s="3" t="n">
        <v>1</v>
      </c>
      <c r="AC900" s="3" t="n">
        <v>0</v>
      </c>
      <c r="AD900" s="3" t="n">
        <v>0</v>
      </c>
      <c r="AE900" s="3" t="n">
        <v>1</v>
      </c>
      <c r="AF900" s="3" t="n">
        <v>0</v>
      </c>
      <c r="AG900" s="3" t="n">
        <v>0</v>
      </c>
      <c r="AH900" s="3" t="n">
        <v>1</v>
      </c>
      <c r="AI900" s="3" t="n">
        <v>1</v>
      </c>
      <c r="AJ900" s="4" t="n">
        <f aca="false">SUM(G900:AI900)</f>
        <v>10</v>
      </c>
      <c r="AK900" s="4" t="n">
        <f aca="false">ROUND(SUMPRODUCT(G900:AI900,Gene_Weights!$B$2:$AD$2),3)</f>
        <v>-6.74</v>
      </c>
      <c r="AL900" s="2" t="n">
        <v>6</v>
      </c>
      <c r="AM900" s="2" t="n">
        <v>3</v>
      </c>
      <c r="AN900" s="2" t="n">
        <v>50</v>
      </c>
      <c r="AO900" s="5" t="n">
        <v>58.19</v>
      </c>
      <c r="AP900" s="5" t="n">
        <v>59.74</v>
      </c>
      <c r="AQ900" s="5" t="n">
        <v>61.3</v>
      </c>
      <c r="AR900" s="5" t="n">
        <v>62.86</v>
      </c>
      <c r="AS900" s="5" t="n">
        <v>64.42</v>
      </c>
      <c r="AT900" s="5" t="n">
        <v>65.98</v>
      </c>
      <c r="AU900" s="5" t="n">
        <v>67.53</v>
      </c>
      <c r="AV900" s="5" t="s">
        <v>51</v>
      </c>
    </row>
    <row r="901" customFormat="false" ht="15" hidden="false" customHeight="false" outlineLevel="0" collapsed="false">
      <c r="A901" s="2" t="s">
        <v>205</v>
      </c>
      <c r="B901" s="2" t="n">
        <v>2022</v>
      </c>
      <c r="C901" s="2" t="s">
        <v>56</v>
      </c>
      <c r="D901" s="2" t="n">
        <v>0</v>
      </c>
      <c r="E901" s="2" t="n">
        <v>4</v>
      </c>
      <c r="F901" s="2" t="s">
        <v>50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n">
        <v>0</v>
      </c>
      <c r="N901" s="3" t="n">
        <v>1</v>
      </c>
      <c r="O901" s="3" t="n">
        <v>0</v>
      </c>
      <c r="P901" s="3" t="n">
        <v>1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1</v>
      </c>
      <c r="X901" s="3" t="n">
        <v>0</v>
      </c>
      <c r="Y901" s="3" t="n">
        <v>1</v>
      </c>
      <c r="Z901" s="3" t="n">
        <v>0</v>
      </c>
      <c r="AA901" s="3" t="n">
        <v>1</v>
      </c>
      <c r="AB901" s="3" t="n">
        <v>1</v>
      </c>
      <c r="AC901" s="3" t="n">
        <v>0</v>
      </c>
      <c r="AD901" s="3" t="n">
        <v>0</v>
      </c>
      <c r="AE901" s="3" t="n">
        <v>1</v>
      </c>
      <c r="AF901" s="3" t="n">
        <v>0</v>
      </c>
      <c r="AG901" s="3" t="n">
        <v>0</v>
      </c>
      <c r="AH901" s="3" t="n">
        <v>1</v>
      </c>
      <c r="AI901" s="3" t="n">
        <v>1</v>
      </c>
      <c r="AJ901" s="4" t="n">
        <f aca="false">SUM(G901:AI901)</f>
        <v>10</v>
      </c>
      <c r="AK901" s="4" t="n">
        <f aca="false">ROUND(SUMPRODUCT(G901:AI901,Gene_Weights!$B$2:$AD$2),3)</f>
        <v>-6.74</v>
      </c>
      <c r="AL901" s="2" t="n">
        <v>6</v>
      </c>
      <c r="AM901" s="2" t="n">
        <v>5</v>
      </c>
      <c r="AN901" s="2" t="n">
        <v>83.33</v>
      </c>
      <c r="AO901" s="5" t="n">
        <v>75.59</v>
      </c>
      <c r="AP901" s="5" t="n">
        <v>78.01</v>
      </c>
      <c r="AQ901" s="5" t="n">
        <v>80.42</v>
      </c>
      <c r="AR901" s="5" t="n">
        <v>82.83</v>
      </c>
      <c r="AS901" s="5" t="n">
        <v>85.24</v>
      </c>
      <c r="AT901" s="5" t="n">
        <v>87.66</v>
      </c>
      <c r="AU901" s="5" t="n">
        <v>90.07</v>
      </c>
      <c r="AV901" s="5" t="s">
        <v>51</v>
      </c>
    </row>
  </sheetData>
  <autoFilter ref="A1:AV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17"/>
    <col collapsed="false" customWidth="true" hidden="false" outlineLevel="0" max="5" min="5" style="0" width="24"/>
  </cols>
  <sheetData>
    <row r="1" customFormat="false" ht="23.85" hidden="false" customHeight="false" outlineLevel="0" collapsed="false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</row>
    <row r="2" customFormat="false" ht="15" hidden="false" customHeight="false" outlineLevel="0" collapsed="false">
      <c r="A2" s="2" t="s">
        <v>25</v>
      </c>
      <c r="B2" s="2" t="n">
        <v>0.18981738</v>
      </c>
      <c r="C2" s="2" t="n">
        <v>-0.0056755235</v>
      </c>
      <c r="D2" s="2" t="s">
        <v>211</v>
      </c>
      <c r="E2" s="2" t="n">
        <v>-0.57</v>
      </c>
    </row>
    <row r="3" customFormat="false" ht="15" hidden="false" customHeight="false" outlineLevel="0" collapsed="false">
      <c r="A3" s="2" t="s">
        <v>16</v>
      </c>
      <c r="B3" s="2" t="n">
        <v>0.15249422</v>
      </c>
      <c r="C3" s="2" t="n">
        <v>-0.01616789</v>
      </c>
      <c r="D3" s="2" t="s">
        <v>211</v>
      </c>
      <c r="E3" s="2" t="n">
        <v>-1.62</v>
      </c>
    </row>
    <row r="4" customFormat="false" ht="15" hidden="false" customHeight="false" outlineLevel="0" collapsed="false">
      <c r="A4" s="2" t="s">
        <v>27</v>
      </c>
      <c r="B4" s="2" t="n">
        <v>0.13955773</v>
      </c>
      <c r="C4" s="2" t="n">
        <v>0.00041912132</v>
      </c>
      <c r="D4" s="2" t="s">
        <v>212</v>
      </c>
      <c r="E4" s="2" t="n">
        <v>0.04</v>
      </c>
    </row>
    <row r="5" customFormat="false" ht="15" hidden="false" customHeight="false" outlineLevel="0" collapsed="false">
      <c r="A5" s="2" t="s">
        <v>8</v>
      </c>
      <c r="B5" s="2" t="n">
        <v>0.13366787</v>
      </c>
      <c r="C5" s="2" t="n">
        <v>-0.004199085</v>
      </c>
      <c r="D5" s="2" t="s">
        <v>211</v>
      </c>
      <c r="E5" s="2" t="n">
        <v>-0.42</v>
      </c>
    </row>
    <row r="6" customFormat="false" ht="15" hidden="false" customHeight="false" outlineLevel="0" collapsed="false">
      <c r="A6" s="2" t="s">
        <v>7</v>
      </c>
      <c r="B6" s="2" t="n">
        <v>0.13140087</v>
      </c>
      <c r="C6" s="2" t="n">
        <v>9.022445E-005</v>
      </c>
      <c r="D6" s="2" t="s">
        <v>212</v>
      </c>
      <c r="E6" s="2" t="n">
        <v>0.01</v>
      </c>
    </row>
    <row r="7" customFormat="false" ht="15" hidden="false" customHeight="false" outlineLevel="0" collapsed="false">
      <c r="A7" s="2" t="s">
        <v>17</v>
      </c>
      <c r="B7" s="2" t="n">
        <v>0.12836738</v>
      </c>
      <c r="C7" s="2" t="n">
        <v>-0.019114444</v>
      </c>
      <c r="D7" s="2" t="s">
        <v>211</v>
      </c>
      <c r="E7" s="2" t="n">
        <v>-1.91</v>
      </c>
    </row>
    <row r="8" customFormat="false" ht="15" hidden="false" customHeight="false" outlineLevel="0" collapsed="false">
      <c r="A8" s="2" t="s">
        <v>33</v>
      </c>
      <c r="B8" s="2" t="n">
        <v>0.1145775</v>
      </c>
      <c r="C8" s="2" t="n">
        <v>-0.006756413</v>
      </c>
      <c r="D8" s="2" t="s">
        <v>211</v>
      </c>
      <c r="E8" s="2" t="n">
        <v>-0.68</v>
      </c>
    </row>
    <row r="9" customFormat="false" ht="15" hidden="false" customHeight="false" outlineLevel="0" collapsed="false">
      <c r="A9" s="2" t="s">
        <v>21</v>
      </c>
      <c r="B9" s="2" t="n">
        <v>0.107005656</v>
      </c>
      <c r="C9" s="2" t="n">
        <v>-0.0066320063</v>
      </c>
      <c r="D9" s="2" t="s">
        <v>211</v>
      </c>
      <c r="E9" s="2" t="n">
        <v>-0.66</v>
      </c>
    </row>
    <row r="10" customFormat="false" ht="15" hidden="false" customHeight="false" outlineLevel="0" collapsed="false">
      <c r="A10" s="2" t="s">
        <v>20</v>
      </c>
      <c r="B10" s="2" t="n">
        <v>0.10507982</v>
      </c>
      <c r="C10" s="2" t="n">
        <v>-0.015650086</v>
      </c>
      <c r="D10" s="2" t="s">
        <v>211</v>
      </c>
      <c r="E10" s="2" t="n">
        <v>-1.57</v>
      </c>
    </row>
    <row r="11" customFormat="false" ht="15" hidden="false" customHeight="false" outlineLevel="0" collapsed="false">
      <c r="A11" s="2" t="s">
        <v>19</v>
      </c>
      <c r="B11" s="2" t="n">
        <v>0.0869976</v>
      </c>
      <c r="C11" s="2" t="n">
        <v>-0.009630229</v>
      </c>
      <c r="D11" s="2" t="s">
        <v>211</v>
      </c>
      <c r="E11" s="2" t="n">
        <v>-0.96</v>
      </c>
    </row>
    <row r="12" customFormat="false" ht="15" hidden="false" customHeight="false" outlineLevel="0" collapsed="false">
      <c r="A12" s="2" t="s">
        <v>29</v>
      </c>
      <c r="B12" s="2" t="n">
        <v>0.08329257</v>
      </c>
      <c r="C12" s="2" t="n">
        <v>-0.0034428812</v>
      </c>
      <c r="D12" s="2" t="s">
        <v>211</v>
      </c>
      <c r="E12" s="2" t="n">
        <v>-0.34</v>
      </c>
    </row>
    <row r="13" customFormat="false" ht="15" hidden="false" customHeight="false" outlineLevel="0" collapsed="false">
      <c r="A13" s="2" t="s">
        <v>22</v>
      </c>
      <c r="B13" s="2" t="n">
        <v>0.077636026</v>
      </c>
      <c r="C13" s="2" t="n">
        <v>-0.0054069012</v>
      </c>
      <c r="D13" s="2" t="s">
        <v>211</v>
      </c>
      <c r="E13" s="2" t="n">
        <v>-0.54</v>
      </c>
    </row>
    <row r="14" customFormat="false" ht="15" hidden="false" customHeight="false" outlineLevel="0" collapsed="false">
      <c r="A14" s="2" t="s">
        <v>11</v>
      </c>
      <c r="B14" s="2" t="n">
        <v>0.07307213</v>
      </c>
      <c r="C14" s="2" t="n">
        <v>-0.015562235</v>
      </c>
      <c r="D14" s="2" t="s">
        <v>211</v>
      </c>
      <c r="E14" s="2" t="n">
        <v>-1.56</v>
      </c>
    </row>
    <row r="15" customFormat="false" ht="15" hidden="false" customHeight="false" outlineLevel="0" collapsed="false">
      <c r="A15" s="2" t="s">
        <v>23</v>
      </c>
      <c r="B15" s="2" t="n">
        <v>0.07269968</v>
      </c>
      <c r="C15" s="2" t="n">
        <v>-0.0064306566</v>
      </c>
      <c r="D15" s="2" t="s">
        <v>211</v>
      </c>
      <c r="E15" s="2" t="n">
        <v>-0.64</v>
      </c>
    </row>
    <row r="16" customFormat="false" ht="15" hidden="false" customHeight="false" outlineLevel="0" collapsed="false">
      <c r="A16" s="2" t="s">
        <v>28</v>
      </c>
      <c r="B16" s="2" t="n">
        <v>0.071304</v>
      </c>
      <c r="C16" s="2" t="n">
        <v>-0.01273624</v>
      </c>
      <c r="D16" s="2" t="s">
        <v>211</v>
      </c>
      <c r="E16" s="2" t="n">
        <v>-1.27</v>
      </c>
    </row>
    <row r="17" customFormat="false" ht="15" hidden="false" customHeight="false" outlineLevel="0" collapsed="false">
      <c r="A17" s="2" t="s">
        <v>34</v>
      </c>
      <c r="B17" s="2" t="n">
        <v>0.069615714</v>
      </c>
      <c r="C17" s="2" t="n">
        <v>-0.017814942</v>
      </c>
      <c r="D17" s="2" t="s">
        <v>211</v>
      </c>
      <c r="E17" s="2" t="n">
        <v>-1.78</v>
      </c>
    </row>
    <row r="18" customFormat="false" ht="15" hidden="false" customHeight="false" outlineLevel="0" collapsed="false">
      <c r="A18" s="2" t="s">
        <v>31</v>
      </c>
      <c r="B18" s="2" t="n">
        <v>0.06898008</v>
      </c>
      <c r="C18" s="2" t="n">
        <v>-0.0026454658</v>
      </c>
      <c r="D18" s="2" t="s">
        <v>211</v>
      </c>
      <c r="E18" s="2" t="n">
        <v>-0.26</v>
      </c>
    </row>
    <row r="19" customFormat="false" ht="15" hidden="false" customHeight="false" outlineLevel="0" collapsed="false">
      <c r="A19" s="2" t="s">
        <v>30</v>
      </c>
      <c r="B19" s="2" t="n">
        <v>0.06880565</v>
      </c>
      <c r="C19" s="2" t="n">
        <v>0.00024799976</v>
      </c>
      <c r="D19" s="2" t="s">
        <v>212</v>
      </c>
      <c r="E19" s="2" t="n">
        <v>0.02</v>
      </c>
    </row>
    <row r="20" customFormat="false" ht="15" hidden="false" customHeight="false" outlineLevel="0" collapsed="false">
      <c r="A20" s="2" t="s">
        <v>9</v>
      </c>
      <c r="B20" s="2" t="n">
        <v>0.06532488</v>
      </c>
      <c r="C20" s="2" t="n">
        <v>-0.0125819305</v>
      </c>
      <c r="D20" s="2" t="s">
        <v>211</v>
      </c>
      <c r="E20" s="2" t="n">
        <v>-1.26</v>
      </c>
    </row>
    <row r="21" customFormat="false" ht="15" hidden="false" customHeight="false" outlineLevel="0" collapsed="false">
      <c r="A21" s="2" t="s">
        <v>26</v>
      </c>
      <c r="B21" s="2" t="n">
        <v>0.06438913</v>
      </c>
      <c r="C21" s="2" t="n">
        <v>-0.0060817827</v>
      </c>
      <c r="D21" s="2" t="s">
        <v>211</v>
      </c>
      <c r="E21" s="2" t="n">
        <v>-0.61</v>
      </c>
    </row>
    <row r="22" customFormat="false" ht="15" hidden="false" customHeight="false" outlineLevel="0" collapsed="false">
      <c r="A22" s="2" t="s">
        <v>13</v>
      </c>
      <c r="B22" s="2" t="n">
        <v>0.059353027</v>
      </c>
      <c r="C22" s="2" t="n">
        <v>-0.0027769299</v>
      </c>
      <c r="D22" s="2" t="s">
        <v>211</v>
      </c>
      <c r="E22" s="2" t="n">
        <v>-0.28</v>
      </c>
    </row>
    <row r="23" customFormat="false" ht="15" hidden="false" customHeight="false" outlineLevel="0" collapsed="false">
      <c r="A23" s="2" t="s">
        <v>32</v>
      </c>
      <c r="B23" s="2" t="n">
        <v>0.057533093</v>
      </c>
      <c r="C23" s="2" t="n">
        <v>-0.0042037843</v>
      </c>
      <c r="D23" s="2" t="s">
        <v>211</v>
      </c>
      <c r="E23" s="2" t="n">
        <v>-0.42</v>
      </c>
    </row>
    <row r="24" customFormat="false" ht="15" hidden="false" customHeight="false" outlineLevel="0" collapsed="false">
      <c r="A24" s="2" t="s">
        <v>6</v>
      </c>
      <c r="B24" s="2" t="n">
        <v>0.05106758</v>
      </c>
      <c r="C24" s="2" t="n">
        <v>-0.0030325227</v>
      </c>
      <c r="D24" s="2" t="s">
        <v>211</v>
      </c>
      <c r="E24" s="2" t="n">
        <v>-0.3</v>
      </c>
    </row>
    <row r="25" customFormat="false" ht="15" hidden="false" customHeight="false" outlineLevel="0" collapsed="false">
      <c r="A25" s="2" t="s">
        <v>24</v>
      </c>
      <c r="B25" s="2" t="n">
        <v>0.049241222</v>
      </c>
      <c r="C25" s="2" t="n">
        <v>-0.009313391</v>
      </c>
      <c r="D25" s="2" t="s">
        <v>211</v>
      </c>
      <c r="E25" s="2" t="n">
        <v>-0.93</v>
      </c>
    </row>
    <row r="26" customFormat="false" ht="15" hidden="false" customHeight="false" outlineLevel="0" collapsed="false">
      <c r="A26" s="2" t="s">
        <v>10</v>
      </c>
      <c r="B26" s="2" t="n">
        <v>0.047833726</v>
      </c>
      <c r="C26" s="2" t="n">
        <v>-0.012724413</v>
      </c>
      <c r="D26" s="2" t="s">
        <v>211</v>
      </c>
      <c r="E26" s="2" t="n">
        <v>-1.27</v>
      </c>
    </row>
    <row r="27" customFormat="false" ht="15" hidden="false" customHeight="false" outlineLevel="0" collapsed="false">
      <c r="A27" s="2" t="s">
        <v>18</v>
      </c>
      <c r="B27" s="2" t="n">
        <v>0.04591712</v>
      </c>
      <c r="C27" s="2" t="n">
        <v>-0.0006383259</v>
      </c>
      <c r="D27" s="2" t="s">
        <v>211</v>
      </c>
      <c r="E27" s="2" t="n">
        <v>-0.06</v>
      </c>
    </row>
    <row r="28" customFormat="false" ht="15" hidden="false" customHeight="false" outlineLevel="0" collapsed="false">
      <c r="A28" s="2" t="s">
        <v>12</v>
      </c>
      <c r="B28" s="2" t="n">
        <v>0.04581451</v>
      </c>
      <c r="C28" s="2" t="n">
        <v>-0.011045962</v>
      </c>
      <c r="D28" s="2" t="s">
        <v>211</v>
      </c>
      <c r="E28" s="2" t="n">
        <v>-1.1</v>
      </c>
    </row>
    <row r="29" customFormat="false" ht="15" hidden="false" customHeight="false" outlineLevel="0" collapsed="false">
      <c r="A29" s="2" t="s">
        <v>14</v>
      </c>
      <c r="B29" s="2" t="n">
        <v>0.0401764</v>
      </c>
      <c r="C29" s="2" t="n">
        <v>0.00029700663</v>
      </c>
      <c r="D29" s="2" t="s">
        <v>212</v>
      </c>
      <c r="E29" s="2" t="n">
        <v>0.03</v>
      </c>
    </row>
    <row r="30" customFormat="false" ht="15" hidden="false" customHeight="false" outlineLevel="0" collapsed="false">
      <c r="A30" s="2" t="s">
        <v>15</v>
      </c>
      <c r="B30" s="2" t="n">
        <v>0.03914668</v>
      </c>
      <c r="C30" s="2" t="n">
        <v>-0.0042299726</v>
      </c>
      <c r="D30" s="2" t="s">
        <v>211</v>
      </c>
      <c r="E30" s="2" t="n">
        <v>-0.42</v>
      </c>
    </row>
  </sheetData>
  <autoFilter ref="A1:E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6" t="s">
        <v>206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</row>
    <row r="2" customFormat="false" ht="15" hidden="false" customHeight="false" outlineLevel="0" collapsed="false">
      <c r="A2" s="2" t="s">
        <v>210</v>
      </c>
      <c r="B2" s="2" t="n">
        <f aca="false">INDEX(Gene_Impact_Scores!$E$2:$E$30,MATCH(B$1,Gene_Impact_Scores!$A$2:$A$30,0))</f>
        <v>-0.3</v>
      </c>
      <c r="C2" s="2" t="n">
        <f aca="false">INDEX(Gene_Impact_Scores!$E$2:$E$30,MATCH(C$1,Gene_Impact_Scores!$A$2:$A$30,0))</f>
        <v>0.01</v>
      </c>
      <c r="D2" s="2" t="n">
        <f aca="false">INDEX(Gene_Impact_Scores!$E$2:$E$30,MATCH(D$1,Gene_Impact_Scores!$A$2:$A$30,0))</f>
        <v>-0.42</v>
      </c>
      <c r="E2" s="2" t="n">
        <f aca="false">INDEX(Gene_Impact_Scores!$E$2:$E$30,MATCH(E$1,Gene_Impact_Scores!$A$2:$A$30,0))</f>
        <v>-1.26</v>
      </c>
      <c r="F2" s="2" t="n">
        <f aca="false">INDEX(Gene_Impact_Scores!$E$2:$E$30,MATCH(F$1,Gene_Impact_Scores!$A$2:$A$30,0))</f>
        <v>-1.27</v>
      </c>
      <c r="G2" s="2" t="n">
        <f aca="false">INDEX(Gene_Impact_Scores!$E$2:$E$30,MATCH(G$1,Gene_Impact_Scores!$A$2:$A$30,0))</f>
        <v>-1.56</v>
      </c>
      <c r="H2" s="2" t="n">
        <f aca="false">INDEX(Gene_Impact_Scores!$E$2:$E$30,MATCH(H$1,Gene_Impact_Scores!$A$2:$A$30,0))</f>
        <v>-1.1</v>
      </c>
      <c r="I2" s="2" t="n">
        <f aca="false">INDEX(Gene_Impact_Scores!$E$2:$E$30,MATCH(I$1,Gene_Impact_Scores!$A$2:$A$30,0))</f>
        <v>-0.28</v>
      </c>
      <c r="J2" s="2" t="n">
        <f aca="false">INDEX(Gene_Impact_Scores!$E$2:$E$30,MATCH(J$1,Gene_Impact_Scores!$A$2:$A$30,0))</f>
        <v>0.03</v>
      </c>
      <c r="K2" s="2" t="n">
        <f aca="false">INDEX(Gene_Impact_Scores!$E$2:$E$30,MATCH(K$1,Gene_Impact_Scores!$A$2:$A$30,0))</f>
        <v>-0.42</v>
      </c>
      <c r="L2" s="2" t="n">
        <f aca="false">INDEX(Gene_Impact_Scores!$E$2:$E$30,MATCH(L$1,Gene_Impact_Scores!$A$2:$A$30,0))</f>
        <v>-1.62</v>
      </c>
      <c r="M2" s="2" t="n">
        <f aca="false">INDEX(Gene_Impact_Scores!$E$2:$E$30,MATCH(M$1,Gene_Impact_Scores!$A$2:$A$30,0))</f>
        <v>-1.91</v>
      </c>
      <c r="N2" s="2" t="n">
        <f aca="false">INDEX(Gene_Impact_Scores!$E$2:$E$30,MATCH(N$1,Gene_Impact_Scores!$A$2:$A$30,0))</f>
        <v>-0.06</v>
      </c>
      <c r="O2" s="2" t="n">
        <f aca="false">INDEX(Gene_Impact_Scores!$E$2:$E$30,MATCH(O$1,Gene_Impact_Scores!$A$2:$A$30,0))</f>
        <v>-0.96</v>
      </c>
      <c r="P2" s="2" t="n">
        <f aca="false">INDEX(Gene_Impact_Scores!$E$2:$E$30,MATCH(P$1,Gene_Impact_Scores!$A$2:$A$30,0))</f>
        <v>-1.57</v>
      </c>
      <c r="Q2" s="2" t="n">
        <f aca="false">INDEX(Gene_Impact_Scores!$E$2:$E$30,MATCH(Q$1,Gene_Impact_Scores!$A$2:$A$30,0))</f>
        <v>-0.66</v>
      </c>
      <c r="R2" s="2" t="n">
        <f aca="false">INDEX(Gene_Impact_Scores!$E$2:$E$30,MATCH(R$1,Gene_Impact_Scores!$A$2:$A$30,0))</f>
        <v>-0.54</v>
      </c>
      <c r="S2" s="2" t="n">
        <f aca="false">INDEX(Gene_Impact_Scores!$E$2:$E$30,MATCH(S$1,Gene_Impact_Scores!$A$2:$A$30,0))</f>
        <v>-0.64</v>
      </c>
      <c r="T2" s="2" t="n">
        <f aca="false">INDEX(Gene_Impact_Scores!$E$2:$E$30,MATCH(T$1,Gene_Impact_Scores!$A$2:$A$30,0))</f>
        <v>-0.93</v>
      </c>
      <c r="U2" s="2" t="n">
        <f aca="false">INDEX(Gene_Impact_Scores!$E$2:$E$30,MATCH(U$1,Gene_Impact_Scores!$A$2:$A$30,0))</f>
        <v>-0.57</v>
      </c>
      <c r="V2" s="2" t="n">
        <f aca="false">INDEX(Gene_Impact_Scores!$E$2:$E$30,MATCH(V$1,Gene_Impact_Scores!$A$2:$A$30,0))</f>
        <v>-0.61</v>
      </c>
      <c r="W2" s="2" t="n">
        <f aca="false">INDEX(Gene_Impact_Scores!$E$2:$E$30,MATCH(W$1,Gene_Impact_Scores!$A$2:$A$30,0))</f>
        <v>0.04</v>
      </c>
      <c r="X2" s="2" t="n">
        <f aca="false">INDEX(Gene_Impact_Scores!$E$2:$E$30,MATCH(X$1,Gene_Impact_Scores!$A$2:$A$30,0))</f>
        <v>-1.27</v>
      </c>
      <c r="Y2" s="2" t="n">
        <f aca="false">INDEX(Gene_Impact_Scores!$E$2:$E$30,MATCH(Y$1,Gene_Impact_Scores!$A$2:$A$30,0))</f>
        <v>-0.34</v>
      </c>
      <c r="Z2" s="2" t="n">
        <f aca="false">INDEX(Gene_Impact_Scores!$E$2:$E$30,MATCH(Z$1,Gene_Impact_Scores!$A$2:$A$30,0))</f>
        <v>0.02</v>
      </c>
      <c r="AA2" s="2" t="n">
        <f aca="false">INDEX(Gene_Impact_Scores!$E$2:$E$30,MATCH(AA$1,Gene_Impact_Scores!$A$2:$A$30,0))</f>
        <v>-0.26</v>
      </c>
      <c r="AB2" s="2" t="n">
        <f aca="false">INDEX(Gene_Impact_Scores!$E$2:$E$30,MATCH(AB$1,Gene_Impact_Scores!$A$2:$A$30,0))</f>
        <v>-0.42</v>
      </c>
      <c r="AC2" s="2" t="n">
        <f aca="false">INDEX(Gene_Impact_Scores!$E$2:$E$30,MATCH(AC$1,Gene_Impact_Scores!$A$2:$A$30,0))</f>
        <v>-0.68</v>
      </c>
      <c r="AD2" s="2" t="n">
        <f aca="false">INDEX(Gene_Impact_Scores!$E$2:$E$30,MATCH(AD$1,Gene_Impact_Scores!$A$2:$A$30,0))</f>
        <v>-1.78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213</v>
      </c>
      <c r="D1" s="1" t="s">
        <v>214</v>
      </c>
      <c r="E1" s="1" t="s">
        <v>215</v>
      </c>
    </row>
    <row r="2" customFormat="false" ht="15" hidden="false" customHeight="false" outlineLevel="0" collapsed="false">
      <c r="A2" s="2" t="n">
        <v>1998</v>
      </c>
      <c r="B2" s="2" t="s">
        <v>49</v>
      </c>
      <c r="C2" s="2" t="n">
        <v>4</v>
      </c>
      <c r="D2" s="2" t="n">
        <v>3</v>
      </c>
      <c r="E2" s="2" t="n">
        <v>75</v>
      </c>
    </row>
    <row r="3" customFormat="false" ht="15" hidden="false" customHeight="false" outlineLevel="0" collapsed="false">
      <c r="A3" s="2" t="n">
        <v>1998</v>
      </c>
      <c r="B3" s="2" t="s">
        <v>52</v>
      </c>
      <c r="C3" s="2" t="n">
        <v>4</v>
      </c>
      <c r="D3" s="2" t="n">
        <v>2</v>
      </c>
      <c r="E3" s="2" t="n">
        <v>50</v>
      </c>
    </row>
    <row r="4" customFormat="false" ht="15" hidden="false" customHeight="false" outlineLevel="0" collapsed="false">
      <c r="A4" s="2" t="n">
        <v>1998</v>
      </c>
      <c r="B4" s="2" t="s">
        <v>54</v>
      </c>
      <c r="C4" s="2" t="n">
        <v>4</v>
      </c>
      <c r="D4" s="2" t="n">
        <v>0</v>
      </c>
      <c r="E4" s="2" t="n">
        <v>0</v>
      </c>
    </row>
    <row r="5" customFormat="false" ht="15" hidden="false" customHeight="false" outlineLevel="0" collapsed="false">
      <c r="A5" s="2" t="n">
        <v>1998</v>
      </c>
      <c r="B5" s="2" t="s">
        <v>53</v>
      </c>
      <c r="C5" s="2" t="n">
        <v>4</v>
      </c>
      <c r="D5" s="2" t="n">
        <v>1</v>
      </c>
      <c r="E5" s="2" t="n">
        <v>25</v>
      </c>
    </row>
    <row r="6" customFormat="false" ht="15" hidden="false" customHeight="false" outlineLevel="0" collapsed="false">
      <c r="A6" s="2" t="n">
        <v>1998</v>
      </c>
      <c r="B6" s="2" t="s">
        <v>55</v>
      </c>
      <c r="C6" s="2" t="n">
        <v>4</v>
      </c>
      <c r="D6" s="2" t="n">
        <v>1</v>
      </c>
      <c r="E6" s="2" t="n">
        <v>25</v>
      </c>
    </row>
    <row r="7" customFormat="false" ht="15" hidden="false" customHeight="false" outlineLevel="0" collapsed="false">
      <c r="A7" s="2" t="n">
        <v>1998</v>
      </c>
      <c r="B7" s="2" t="s">
        <v>56</v>
      </c>
      <c r="C7" s="2" t="n">
        <v>4</v>
      </c>
      <c r="D7" s="2" t="n">
        <v>0</v>
      </c>
      <c r="E7" s="2" t="n">
        <v>0</v>
      </c>
    </row>
    <row r="8" customFormat="false" ht="15" hidden="false" customHeight="false" outlineLevel="0" collapsed="false">
      <c r="A8" s="2" t="n">
        <v>1999</v>
      </c>
      <c r="B8" s="2" t="s">
        <v>49</v>
      </c>
      <c r="C8" s="2" t="n">
        <v>2</v>
      </c>
      <c r="D8" s="2" t="n">
        <v>1</v>
      </c>
      <c r="E8" s="2" t="n">
        <v>50</v>
      </c>
    </row>
    <row r="9" customFormat="false" ht="15" hidden="false" customHeight="false" outlineLevel="0" collapsed="false">
      <c r="A9" s="2" t="n">
        <v>1999</v>
      </c>
      <c r="B9" s="2" t="s">
        <v>52</v>
      </c>
      <c r="C9" s="2" t="n">
        <v>2</v>
      </c>
      <c r="D9" s="2" t="n">
        <v>1</v>
      </c>
      <c r="E9" s="2" t="n">
        <v>50</v>
      </c>
    </row>
    <row r="10" customFormat="false" ht="15" hidden="false" customHeight="false" outlineLevel="0" collapsed="false">
      <c r="A10" s="2" t="n">
        <v>1999</v>
      </c>
      <c r="B10" s="2" t="s">
        <v>54</v>
      </c>
      <c r="C10" s="2" t="n">
        <v>2</v>
      </c>
      <c r="D10" s="2" t="n">
        <v>1</v>
      </c>
      <c r="E10" s="2" t="n">
        <v>50</v>
      </c>
    </row>
    <row r="11" customFormat="false" ht="15" hidden="false" customHeight="false" outlineLevel="0" collapsed="false">
      <c r="A11" s="2" t="n">
        <v>1999</v>
      </c>
      <c r="B11" s="2" t="s">
        <v>53</v>
      </c>
      <c r="C11" s="2" t="n">
        <v>2</v>
      </c>
      <c r="D11" s="2" t="n">
        <v>1</v>
      </c>
      <c r="E11" s="2" t="n">
        <v>50</v>
      </c>
    </row>
    <row r="12" customFormat="false" ht="15" hidden="false" customHeight="false" outlineLevel="0" collapsed="false">
      <c r="A12" s="2" t="n">
        <v>1999</v>
      </c>
      <c r="B12" s="2" t="s">
        <v>55</v>
      </c>
      <c r="C12" s="2" t="n">
        <v>2</v>
      </c>
      <c r="D12" s="2" t="n">
        <v>0</v>
      </c>
      <c r="E12" s="2" t="n">
        <v>0</v>
      </c>
    </row>
    <row r="13" customFormat="false" ht="15" hidden="false" customHeight="false" outlineLevel="0" collapsed="false">
      <c r="A13" s="2" t="n">
        <v>1999</v>
      </c>
      <c r="B13" s="2" t="s">
        <v>56</v>
      </c>
      <c r="C13" s="2" t="n">
        <v>2</v>
      </c>
      <c r="D13" s="2" t="n">
        <v>0</v>
      </c>
      <c r="E13" s="2" t="n">
        <v>0</v>
      </c>
    </row>
    <row r="14" customFormat="false" ht="15" hidden="false" customHeight="false" outlineLevel="0" collapsed="false">
      <c r="A14" s="2" t="n">
        <v>2000</v>
      </c>
      <c r="B14" s="2" t="s">
        <v>49</v>
      </c>
      <c r="C14" s="2" t="n">
        <v>8</v>
      </c>
      <c r="D14" s="2" t="n">
        <v>2</v>
      </c>
      <c r="E14" s="2" t="n">
        <v>25</v>
      </c>
    </row>
    <row r="15" customFormat="false" ht="15" hidden="false" customHeight="false" outlineLevel="0" collapsed="false">
      <c r="A15" s="2" t="n">
        <v>2000</v>
      </c>
      <c r="B15" s="2" t="s">
        <v>52</v>
      </c>
      <c r="C15" s="2" t="n">
        <v>8</v>
      </c>
      <c r="D15" s="2" t="n">
        <v>2</v>
      </c>
      <c r="E15" s="2" t="n">
        <v>25</v>
      </c>
    </row>
    <row r="16" customFormat="false" ht="15" hidden="false" customHeight="false" outlineLevel="0" collapsed="false">
      <c r="A16" s="2" t="n">
        <v>2000</v>
      </c>
      <c r="B16" s="2" t="s">
        <v>54</v>
      </c>
      <c r="C16" s="2" t="n">
        <v>8</v>
      </c>
      <c r="D16" s="2" t="n">
        <v>1</v>
      </c>
      <c r="E16" s="2" t="n">
        <v>12.5</v>
      </c>
    </row>
    <row r="17" customFormat="false" ht="15" hidden="false" customHeight="false" outlineLevel="0" collapsed="false">
      <c r="A17" s="2" t="n">
        <v>2000</v>
      </c>
      <c r="B17" s="2" t="s">
        <v>53</v>
      </c>
      <c r="C17" s="2" t="n">
        <v>8</v>
      </c>
      <c r="D17" s="2" t="n">
        <v>1</v>
      </c>
      <c r="E17" s="2" t="n">
        <v>12.5</v>
      </c>
    </row>
    <row r="18" customFormat="false" ht="15" hidden="false" customHeight="false" outlineLevel="0" collapsed="false">
      <c r="A18" s="2" t="n">
        <v>2000</v>
      </c>
      <c r="B18" s="2" t="s">
        <v>55</v>
      </c>
      <c r="C18" s="2" t="n">
        <v>8</v>
      </c>
      <c r="D18" s="2" t="n">
        <v>0</v>
      </c>
      <c r="E18" s="2" t="n">
        <v>0</v>
      </c>
    </row>
    <row r="19" customFormat="false" ht="15" hidden="false" customHeight="false" outlineLevel="0" collapsed="false">
      <c r="A19" s="2" t="n">
        <v>2000</v>
      </c>
      <c r="B19" s="2" t="s">
        <v>56</v>
      </c>
      <c r="C19" s="2" t="n">
        <v>8</v>
      </c>
      <c r="D19" s="2" t="n">
        <v>2</v>
      </c>
      <c r="E19" s="2" t="n">
        <v>25</v>
      </c>
    </row>
    <row r="20" customFormat="false" ht="15" hidden="false" customHeight="false" outlineLevel="0" collapsed="false">
      <c r="A20" s="2" t="n">
        <v>2001</v>
      </c>
      <c r="B20" s="2" t="s">
        <v>49</v>
      </c>
      <c r="C20" s="2" t="n">
        <v>1</v>
      </c>
      <c r="D20" s="2" t="n">
        <v>0</v>
      </c>
      <c r="E20" s="2" t="n">
        <v>0</v>
      </c>
    </row>
    <row r="21" customFormat="false" ht="15" hidden="false" customHeight="false" outlineLevel="0" collapsed="false">
      <c r="A21" s="2" t="n">
        <v>2001</v>
      </c>
      <c r="B21" s="2" t="s">
        <v>52</v>
      </c>
      <c r="C21" s="2" t="n">
        <v>1</v>
      </c>
      <c r="D21" s="2" t="n">
        <v>0</v>
      </c>
      <c r="E21" s="2" t="n">
        <v>0</v>
      </c>
    </row>
    <row r="22" customFormat="false" ht="15" hidden="false" customHeight="false" outlineLevel="0" collapsed="false">
      <c r="A22" s="2" t="n">
        <v>2001</v>
      </c>
      <c r="B22" s="2" t="s">
        <v>54</v>
      </c>
      <c r="C22" s="2" t="n">
        <v>1</v>
      </c>
      <c r="D22" s="2" t="n">
        <v>0</v>
      </c>
      <c r="E22" s="2" t="n">
        <v>0</v>
      </c>
    </row>
    <row r="23" customFormat="false" ht="15" hidden="false" customHeight="false" outlineLevel="0" collapsed="false">
      <c r="A23" s="2" t="n">
        <v>2001</v>
      </c>
      <c r="B23" s="2" t="s">
        <v>53</v>
      </c>
      <c r="C23" s="2" t="n">
        <v>1</v>
      </c>
      <c r="D23" s="2" t="n">
        <v>1</v>
      </c>
      <c r="E23" s="2" t="n">
        <v>100</v>
      </c>
    </row>
    <row r="24" customFormat="false" ht="15" hidden="false" customHeight="false" outlineLevel="0" collapsed="false">
      <c r="A24" s="2" t="n">
        <v>2001</v>
      </c>
      <c r="B24" s="2" t="s">
        <v>55</v>
      </c>
      <c r="C24" s="2" t="n">
        <v>1</v>
      </c>
      <c r="D24" s="2" t="n">
        <v>0</v>
      </c>
      <c r="E24" s="2" t="n">
        <v>0</v>
      </c>
    </row>
    <row r="25" customFormat="false" ht="15" hidden="false" customHeight="false" outlineLevel="0" collapsed="false">
      <c r="A25" s="2" t="n">
        <v>2001</v>
      </c>
      <c r="B25" s="2" t="s">
        <v>56</v>
      </c>
      <c r="C25" s="2" t="n">
        <v>1</v>
      </c>
      <c r="D25" s="2" t="n">
        <v>0</v>
      </c>
      <c r="E25" s="2" t="n">
        <v>0</v>
      </c>
    </row>
    <row r="26" customFormat="false" ht="15" hidden="false" customHeight="false" outlineLevel="0" collapsed="false">
      <c r="A26" s="2" t="n">
        <v>2002</v>
      </c>
      <c r="B26" s="2" t="s">
        <v>49</v>
      </c>
      <c r="C26" s="2" t="n">
        <v>5</v>
      </c>
      <c r="D26" s="2" t="n">
        <v>1</v>
      </c>
      <c r="E26" s="2" t="n">
        <v>20</v>
      </c>
    </row>
    <row r="27" customFormat="false" ht="15" hidden="false" customHeight="false" outlineLevel="0" collapsed="false">
      <c r="A27" s="2" t="n">
        <v>2002</v>
      </c>
      <c r="B27" s="2" t="s">
        <v>52</v>
      </c>
      <c r="C27" s="2" t="n">
        <v>5</v>
      </c>
      <c r="D27" s="2" t="n">
        <v>3</v>
      </c>
      <c r="E27" s="2" t="n">
        <v>60</v>
      </c>
    </row>
    <row r="28" customFormat="false" ht="15" hidden="false" customHeight="false" outlineLevel="0" collapsed="false">
      <c r="A28" s="2" t="n">
        <v>2002</v>
      </c>
      <c r="B28" s="2" t="s">
        <v>54</v>
      </c>
      <c r="C28" s="2" t="n">
        <v>5</v>
      </c>
      <c r="D28" s="2" t="n">
        <v>2</v>
      </c>
      <c r="E28" s="2" t="n">
        <v>40</v>
      </c>
    </row>
    <row r="29" customFormat="false" ht="15" hidden="false" customHeight="false" outlineLevel="0" collapsed="false">
      <c r="A29" s="2" t="n">
        <v>2002</v>
      </c>
      <c r="B29" s="2" t="s">
        <v>53</v>
      </c>
      <c r="C29" s="2" t="n">
        <v>5</v>
      </c>
      <c r="D29" s="2" t="n">
        <v>0</v>
      </c>
      <c r="E29" s="2" t="n">
        <v>0</v>
      </c>
    </row>
    <row r="30" customFormat="false" ht="15" hidden="false" customHeight="false" outlineLevel="0" collapsed="false">
      <c r="A30" s="2" t="n">
        <v>2002</v>
      </c>
      <c r="B30" s="2" t="s">
        <v>55</v>
      </c>
      <c r="C30" s="2" t="n">
        <v>5</v>
      </c>
      <c r="D30" s="2" t="n">
        <v>2</v>
      </c>
      <c r="E30" s="2" t="n">
        <v>40</v>
      </c>
    </row>
    <row r="31" customFormat="false" ht="15" hidden="false" customHeight="false" outlineLevel="0" collapsed="false">
      <c r="A31" s="2" t="n">
        <v>2002</v>
      </c>
      <c r="B31" s="2" t="s">
        <v>56</v>
      </c>
      <c r="C31" s="2" t="n">
        <v>5</v>
      </c>
      <c r="D31" s="2" t="n">
        <v>2</v>
      </c>
      <c r="E31" s="2" t="n">
        <v>40</v>
      </c>
    </row>
    <row r="32" customFormat="false" ht="15" hidden="false" customHeight="false" outlineLevel="0" collapsed="false">
      <c r="A32" s="2" t="n">
        <v>2003</v>
      </c>
      <c r="B32" s="2" t="s">
        <v>49</v>
      </c>
      <c r="C32" s="2" t="n">
        <v>7</v>
      </c>
      <c r="D32" s="2" t="n">
        <v>2</v>
      </c>
      <c r="E32" s="2" t="n">
        <v>28.57</v>
      </c>
    </row>
    <row r="33" customFormat="false" ht="15" hidden="false" customHeight="false" outlineLevel="0" collapsed="false">
      <c r="A33" s="2" t="n">
        <v>2003</v>
      </c>
      <c r="B33" s="2" t="s">
        <v>52</v>
      </c>
      <c r="C33" s="2" t="n">
        <v>7</v>
      </c>
      <c r="D33" s="2" t="n">
        <v>2</v>
      </c>
      <c r="E33" s="2" t="n">
        <v>28.57</v>
      </c>
    </row>
    <row r="34" customFormat="false" ht="15" hidden="false" customHeight="false" outlineLevel="0" collapsed="false">
      <c r="A34" s="2" t="n">
        <v>2003</v>
      </c>
      <c r="B34" s="2" t="s">
        <v>54</v>
      </c>
      <c r="C34" s="2" t="n">
        <v>7</v>
      </c>
      <c r="D34" s="2" t="n">
        <v>3</v>
      </c>
      <c r="E34" s="2" t="n">
        <v>42.86</v>
      </c>
    </row>
    <row r="35" customFormat="false" ht="15" hidden="false" customHeight="false" outlineLevel="0" collapsed="false">
      <c r="A35" s="2" t="n">
        <v>2003</v>
      </c>
      <c r="B35" s="2" t="s">
        <v>53</v>
      </c>
      <c r="C35" s="2" t="n">
        <v>7</v>
      </c>
      <c r="D35" s="2" t="n">
        <v>3</v>
      </c>
      <c r="E35" s="2" t="n">
        <v>42.86</v>
      </c>
    </row>
    <row r="36" customFormat="false" ht="15" hidden="false" customHeight="false" outlineLevel="0" collapsed="false">
      <c r="A36" s="2" t="n">
        <v>2003</v>
      </c>
      <c r="B36" s="2" t="s">
        <v>55</v>
      </c>
      <c r="C36" s="2" t="n">
        <v>7</v>
      </c>
      <c r="D36" s="2" t="n">
        <v>1</v>
      </c>
      <c r="E36" s="2" t="n">
        <v>14.29</v>
      </c>
    </row>
    <row r="37" customFormat="false" ht="15" hidden="false" customHeight="false" outlineLevel="0" collapsed="false">
      <c r="A37" s="2" t="n">
        <v>2003</v>
      </c>
      <c r="B37" s="2" t="s">
        <v>56</v>
      </c>
      <c r="C37" s="2" t="n">
        <v>7</v>
      </c>
      <c r="D37" s="2" t="n">
        <v>1</v>
      </c>
      <c r="E37" s="2" t="n">
        <v>14.29</v>
      </c>
    </row>
    <row r="38" customFormat="false" ht="15" hidden="false" customHeight="false" outlineLevel="0" collapsed="false">
      <c r="A38" s="2" t="n">
        <v>2004</v>
      </c>
      <c r="B38" s="2" t="s">
        <v>49</v>
      </c>
      <c r="C38" s="2" t="n">
        <v>5</v>
      </c>
      <c r="D38" s="2" t="n">
        <v>2</v>
      </c>
      <c r="E38" s="2" t="n">
        <v>40</v>
      </c>
    </row>
    <row r="39" customFormat="false" ht="15" hidden="false" customHeight="false" outlineLevel="0" collapsed="false">
      <c r="A39" s="2" t="n">
        <v>2004</v>
      </c>
      <c r="B39" s="2" t="s">
        <v>52</v>
      </c>
      <c r="C39" s="2" t="n">
        <v>5</v>
      </c>
      <c r="D39" s="2" t="n">
        <v>1</v>
      </c>
      <c r="E39" s="2" t="n">
        <v>20</v>
      </c>
    </row>
    <row r="40" customFormat="false" ht="15" hidden="false" customHeight="false" outlineLevel="0" collapsed="false">
      <c r="A40" s="2" t="n">
        <v>2004</v>
      </c>
      <c r="B40" s="2" t="s">
        <v>54</v>
      </c>
      <c r="C40" s="2" t="n">
        <v>5</v>
      </c>
      <c r="D40" s="2" t="n">
        <v>1</v>
      </c>
      <c r="E40" s="2" t="n">
        <v>20</v>
      </c>
    </row>
    <row r="41" customFormat="false" ht="15" hidden="false" customHeight="false" outlineLevel="0" collapsed="false">
      <c r="A41" s="2" t="n">
        <v>2004</v>
      </c>
      <c r="B41" s="2" t="s">
        <v>53</v>
      </c>
      <c r="C41" s="2" t="n">
        <v>5</v>
      </c>
      <c r="D41" s="2" t="n">
        <v>1</v>
      </c>
      <c r="E41" s="2" t="n">
        <v>20</v>
      </c>
    </row>
    <row r="42" customFormat="false" ht="15" hidden="false" customHeight="false" outlineLevel="0" collapsed="false">
      <c r="A42" s="2" t="n">
        <v>2004</v>
      </c>
      <c r="B42" s="2" t="s">
        <v>55</v>
      </c>
      <c r="C42" s="2" t="n">
        <v>5</v>
      </c>
      <c r="D42" s="2" t="n">
        <v>3</v>
      </c>
      <c r="E42" s="2" t="n">
        <v>60</v>
      </c>
    </row>
    <row r="43" customFormat="false" ht="15" hidden="false" customHeight="false" outlineLevel="0" collapsed="false">
      <c r="A43" s="2" t="n">
        <v>2004</v>
      </c>
      <c r="B43" s="2" t="s">
        <v>56</v>
      </c>
      <c r="C43" s="2" t="n">
        <v>5</v>
      </c>
      <c r="D43" s="2" t="n">
        <v>1</v>
      </c>
      <c r="E43" s="2" t="n">
        <v>20</v>
      </c>
    </row>
    <row r="44" customFormat="false" ht="15" hidden="false" customHeight="false" outlineLevel="0" collapsed="false">
      <c r="A44" s="2" t="n">
        <v>2005</v>
      </c>
      <c r="B44" s="2" t="s">
        <v>49</v>
      </c>
      <c r="C44" s="2" t="n">
        <v>6</v>
      </c>
      <c r="D44" s="2" t="n">
        <v>1</v>
      </c>
      <c r="E44" s="2" t="n">
        <v>16.67</v>
      </c>
    </row>
    <row r="45" customFormat="false" ht="15" hidden="false" customHeight="false" outlineLevel="0" collapsed="false">
      <c r="A45" s="2" t="n">
        <v>2005</v>
      </c>
      <c r="B45" s="2" t="s">
        <v>52</v>
      </c>
      <c r="C45" s="2" t="n">
        <v>6</v>
      </c>
      <c r="D45" s="2" t="n">
        <v>2</v>
      </c>
      <c r="E45" s="2" t="n">
        <v>33.33</v>
      </c>
    </row>
    <row r="46" customFormat="false" ht="15" hidden="false" customHeight="false" outlineLevel="0" collapsed="false">
      <c r="A46" s="2" t="n">
        <v>2005</v>
      </c>
      <c r="B46" s="2" t="s">
        <v>54</v>
      </c>
      <c r="C46" s="2" t="n">
        <v>6</v>
      </c>
      <c r="D46" s="2" t="n">
        <v>0</v>
      </c>
      <c r="E46" s="2" t="n">
        <v>0</v>
      </c>
    </row>
    <row r="47" customFormat="false" ht="15" hidden="false" customHeight="false" outlineLevel="0" collapsed="false">
      <c r="A47" s="2" t="n">
        <v>2005</v>
      </c>
      <c r="B47" s="2" t="s">
        <v>53</v>
      </c>
      <c r="C47" s="2" t="n">
        <v>6</v>
      </c>
      <c r="D47" s="2" t="n">
        <v>0</v>
      </c>
      <c r="E47" s="2" t="n">
        <v>0</v>
      </c>
    </row>
    <row r="48" customFormat="false" ht="15" hidden="false" customHeight="false" outlineLevel="0" collapsed="false">
      <c r="A48" s="2" t="n">
        <v>2005</v>
      </c>
      <c r="B48" s="2" t="s">
        <v>55</v>
      </c>
      <c r="C48" s="2" t="n">
        <v>6</v>
      </c>
      <c r="D48" s="2" t="n">
        <v>1</v>
      </c>
      <c r="E48" s="2" t="n">
        <v>16.67</v>
      </c>
    </row>
    <row r="49" customFormat="false" ht="15" hidden="false" customHeight="false" outlineLevel="0" collapsed="false">
      <c r="A49" s="2" t="n">
        <v>2005</v>
      </c>
      <c r="B49" s="2" t="s">
        <v>56</v>
      </c>
      <c r="C49" s="2" t="n">
        <v>6</v>
      </c>
      <c r="D49" s="2" t="n">
        <v>1</v>
      </c>
      <c r="E49" s="2" t="n">
        <v>16.67</v>
      </c>
    </row>
    <row r="50" customFormat="false" ht="15" hidden="false" customHeight="false" outlineLevel="0" collapsed="false">
      <c r="A50" s="2" t="n">
        <v>2006</v>
      </c>
      <c r="B50" s="2" t="s">
        <v>49</v>
      </c>
      <c r="C50" s="2" t="n">
        <v>6</v>
      </c>
      <c r="D50" s="2" t="n">
        <v>3</v>
      </c>
      <c r="E50" s="2" t="n">
        <v>50</v>
      </c>
    </row>
    <row r="51" customFormat="false" ht="15" hidden="false" customHeight="false" outlineLevel="0" collapsed="false">
      <c r="A51" s="2" t="n">
        <v>2006</v>
      </c>
      <c r="B51" s="2" t="s">
        <v>52</v>
      </c>
      <c r="C51" s="2" t="n">
        <v>6</v>
      </c>
      <c r="D51" s="2" t="n">
        <v>1</v>
      </c>
      <c r="E51" s="2" t="n">
        <v>16.67</v>
      </c>
    </row>
    <row r="52" customFormat="false" ht="15" hidden="false" customHeight="false" outlineLevel="0" collapsed="false">
      <c r="A52" s="2" t="n">
        <v>2006</v>
      </c>
      <c r="B52" s="2" t="s">
        <v>54</v>
      </c>
      <c r="C52" s="2" t="n">
        <v>6</v>
      </c>
      <c r="D52" s="2" t="n">
        <v>2</v>
      </c>
      <c r="E52" s="2" t="n">
        <v>33.33</v>
      </c>
    </row>
    <row r="53" customFormat="false" ht="15" hidden="false" customHeight="false" outlineLevel="0" collapsed="false">
      <c r="A53" s="2" t="n">
        <v>2006</v>
      </c>
      <c r="B53" s="2" t="s">
        <v>53</v>
      </c>
      <c r="C53" s="2" t="n">
        <v>6</v>
      </c>
      <c r="D53" s="2" t="n">
        <v>0</v>
      </c>
      <c r="E53" s="2" t="n">
        <v>0</v>
      </c>
    </row>
    <row r="54" customFormat="false" ht="15" hidden="false" customHeight="false" outlineLevel="0" collapsed="false">
      <c r="A54" s="2" t="n">
        <v>2006</v>
      </c>
      <c r="B54" s="2" t="s">
        <v>55</v>
      </c>
      <c r="C54" s="2" t="n">
        <v>6</v>
      </c>
      <c r="D54" s="2" t="n">
        <v>1</v>
      </c>
      <c r="E54" s="2" t="n">
        <v>16.67</v>
      </c>
    </row>
    <row r="55" customFormat="false" ht="15" hidden="false" customHeight="false" outlineLevel="0" collapsed="false">
      <c r="A55" s="2" t="n">
        <v>2006</v>
      </c>
      <c r="B55" s="2" t="s">
        <v>56</v>
      </c>
      <c r="C55" s="2" t="n">
        <v>6</v>
      </c>
      <c r="D55" s="2" t="n">
        <v>1</v>
      </c>
      <c r="E55" s="2" t="n">
        <v>16.67</v>
      </c>
    </row>
    <row r="56" customFormat="false" ht="15" hidden="false" customHeight="false" outlineLevel="0" collapsed="false">
      <c r="A56" s="2" t="n">
        <v>2007</v>
      </c>
      <c r="B56" s="2" t="s">
        <v>49</v>
      </c>
      <c r="C56" s="2" t="n">
        <v>3</v>
      </c>
      <c r="D56" s="2" t="n">
        <v>1</v>
      </c>
      <c r="E56" s="2" t="n">
        <v>33.33</v>
      </c>
    </row>
    <row r="57" customFormat="false" ht="15" hidden="false" customHeight="false" outlineLevel="0" collapsed="false">
      <c r="A57" s="2" t="n">
        <v>2007</v>
      </c>
      <c r="B57" s="2" t="s">
        <v>52</v>
      </c>
      <c r="C57" s="2" t="n">
        <v>3</v>
      </c>
      <c r="D57" s="2" t="n">
        <v>1</v>
      </c>
      <c r="E57" s="2" t="n">
        <v>33.33</v>
      </c>
    </row>
    <row r="58" customFormat="false" ht="15" hidden="false" customHeight="false" outlineLevel="0" collapsed="false">
      <c r="A58" s="2" t="n">
        <v>2007</v>
      </c>
      <c r="B58" s="2" t="s">
        <v>54</v>
      </c>
      <c r="C58" s="2" t="n">
        <v>3</v>
      </c>
      <c r="D58" s="2" t="n">
        <v>1</v>
      </c>
      <c r="E58" s="2" t="n">
        <v>33.33</v>
      </c>
    </row>
    <row r="59" customFormat="false" ht="15" hidden="false" customHeight="false" outlineLevel="0" collapsed="false">
      <c r="A59" s="2" t="n">
        <v>2007</v>
      </c>
      <c r="B59" s="2" t="s">
        <v>53</v>
      </c>
      <c r="C59" s="2" t="n">
        <v>3</v>
      </c>
      <c r="D59" s="2" t="n">
        <v>2</v>
      </c>
      <c r="E59" s="2" t="n">
        <v>66.67</v>
      </c>
    </row>
    <row r="60" customFormat="false" ht="15" hidden="false" customHeight="false" outlineLevel="0" collapsed="false">
      <c r="A60" s="2" t="n">
        <v>2007</v>
      </c>
      <c r="B60" s="2" t="s">
        <v>55</v>
      </c>
      <c r="C60" s="2" t="n">
        <v>3</v>
      </c>
      <c r="D60" s="2" t="n">
        <v>1</v>
      </c>
      <c r="E60" s="2" t="n">
        <v>33.33</v>
      </c>
    </row>
    <row r="61" customFormat="false" ht="15" hidden="false" customHeight="false" outlineLevel="0" collapsed="false">
      <c r="A61" s="2" t="n">
        <v>2007</v>
      </c>
      <c r="B61" s="2" t="s">
        <v>56</v>
      </c>
      <c r="C61" s="2" t="n">
        <v>3</v>
      </c>
      <c r="D61" s="2" t="n">
        <v>2</v>
      </c>
      <c r="E61" s="2" t="n">
        <v>66.67</v>
      </c>
    </row>
    <row r="62" customFormat="false" ht="15" hidden="false" customHeight="false" outlineLevel="0" collapsed="false">
      <c r="A62" s="2" t="n">
        <v>2008</v>
      </c>
      <c r="B62" s="2" t="s">
        <v>49</v>
      </c>
      <c r="C62" s="2" t="n">
        <v>5</v>
      </c>
      <c r="D62" s="2" t="n">
        <v>3</v>
      </c>
      <c r="E62" s="2" t="n">
        <v>60</v>
      </c>
    </row>
    <row r="63" customFormat="false" ht="15" hidden="false" customHeight="false" outlineLevel="0" collapsed="false">
      <c r="A63" s="2" t="n">
        <v>2008</v>
      </c>
      <c r="B63" s="2" t="s">
        <v>52</v>
      </c>
      <c r="C63" s="2" t="n">
        <v>5</v>
      </c>
      <c r="D63" s="2" t="n">
        <v>1</v>
      </c>
      <c r="E63" s="2" t="n">
        <v>20</v>
      </c>
    </row>
    <row r="64" customFormat="false" ht="15" hidden="false" customHeight="false" outlineLevel="0" collapsed="false">
      <c r="A64" s="2" t="n">
        <v>2008</v>
      </c>
      <c r="B64" s="2" t="s">
        <v>54</v>
      </c>
      <c r="C64" s="2" t="n">
        <v>5</v>
      </c>
      <c r="D64" s="2" t="n">
        <v>2</v>
      </c>
      <c r="E64" s="2" t="n">
        <v>40</v>
      </c>
    </row>
    <row r="65" customFormat="false" ht="15" hidden="false" customHeight="false" outlineLevel="0" collapsed="false">
      <c r="A65" s="2" t="n">
        <v>2008</v>
      </c>
      <c r="B65" s="2" t="s">
        <v>53</v>
      </c>
      <c r="C65" s="2" t="n">
        <v>5</v>
      </c>
      <c r="D65" s="2" t="n">
        <v>2</v>
      </c>
      <c r="E65" s="2" t="n">
        <v>40</v>
      </c>
    </row>
    <row r="66" customFormat="false" ht="15" hidden="false" customHeight="false" outlineLevel="0" collapsed="false">
      <c r="A66" s="2" t="n">
        <v>2008</v>
      </c>
      <c r="B66" s="2" t="s">
        <v>55</v>
      </c>
      <c r="C66" s="2" t="n">
        <v>5</v>
      </c>
      <c r="D66" s="2" t="n">
        <v>2</v>
      </c>
      <c r="E66" s="2" t="n">
        <v>40</v>
      </c>
    </row>
    <row r="67" customFormat="false" ht="15" hidden="false" customHeight="false" outlineLevel="0" collapsed="false">
      <c r="A67" s="2" t="n">
        <v>2008</v>
      </c>
      <c r="B67" s="2" t="s">
        <v>56</v>
      </c>
      <c r="C67" s="2" t="n">
        <v>5</v>
      </c>
      <c r="D67" s="2" t="n">
        <v>3</v>
      </c>
      <c r="E67" s="2" t="n">
        <v>60</v>
      </c>
    </row>
    <row r="68" customFormat="false" ht="15" hidden="false" customHeight="false" outlineLevel="0" collapsed="false">
      <c r="A68" s="2" t="n">
        <v>2009</v>
      </c>
      <c r="B68" s="2" t="s">
        <v>49</v>
      </c>
      <c r="C68" s="2" t="n">
        <v>12</v>
      </c>
      <c r="D68" s="2" t="n">
        <v>4</v>
      </c>
      <c r="E68" s="2" t="n">
        <v>33.33</v>
      </c>
    </row>
    <row r="69" customFormat="false" ht="15" hidden="false" customHeight="false" outlineLevel="0" collapsed="false">
      <c r="A69" s="2" t="n">
        <v>2009</v>
      </c>
      <c r="B69" s="2" t="s">
        <v>52</v>
      </c>
      <c r="C69" s="2" t="n">
        <v>12</v>
      </c>
      <c r="D69" s="2" t="n">
        <v>3</v>
      </c>
      <c r="E69" s="2" t="n">
        <v>25</v>
      </c>
    </row>
    <row r="70" customFormat="false" ht="15" hidden="false" customHeight="false" outlineLevel="0" collapsed="false">
      <c r="A70" s="2" t="n">
        <v>2009</v>
      </c>
      <c r="B70" s="2" t="s">
        <v>54</v>
      </c>
      <c r="C70" s="2" t="n">
        <v>12</v>
      </c>
      <c r="D70" s="2" t="n">
        <v>8</v>
      </c>
      <c r="E70" s="2" t="n">
        <v>66.67</v>
      </c>
    </row>
    <row r="71" customFormat="false" ht="15" hidden="false" customHeight="false" outlineLevel="0" collapsed="false">
      <c r="A71" s="2" t="n">
        <v>2009</v>
      </c>
      <c r="B71" s="2" t="s">
        <v>53</v>
      </c>
      <c r="C71" s="2" t="n">
        <v>12</v>
      </c>
      <c r="D71" s="2" t="n">
        <v>9</v>
      </c>
      <c r="E71" s="2" t="n">
        <v>75</v>
      </c>
    </row>
    <row r="72" customFormat="false" ht="15" hidden="false" customHeight="false" outlineLevel="0" collapsed="false">
      <c r="A72" s="2" t="n">
        <v>2009</v>
      </c>
      <c r="B72" s="2" t="s">
        <v>55</v>
      </c>
      <c r="C72" s="2" t="n">
        <v>12</v>
      </c>
      <c r="D72" s="2" t="n">
        <v>2</v>
      </c>
      <c r="E72" s="2" t="n">
        <v>16.67</v>
      </c>
    </row>
    <row r="73" customFormat="false" ht="15" hidden="false" customHeight="false" outlineLevel="0" collapsed="false">
      <c r="A73" s="2" t="n">
        <v>2009</v>
      </c>
      <c r="B73" s="2" t="s">
        <v>56</v>
      </c>
      <c r="C73" s="2" t="n">
        <v>12</v>
      </c>
      <c r="D73" s="2" t="n">
        <v>4</v>
      </c>
      <c r="E73" s="2" t="n">
        <v>33.33</v>
      </c>
    </row>
    <row r="74" customFormat="false" ht="15" hidden="false" customHeight="false" outlineLevel="0" collapsed="false">
      <c r="A74" s="2" t="n">
        <v>2010</v>
      </c>
      <c r="B74" s="2" t="s">
        <v>49</v>
      </c>
      <c r="C74" s="2" t="n">
        <v>3</v>
      </c>
      <c r="D74" s="2" t="n">
        <v>0</v>
      </c>
      <c r="E74" s="2" t="n">
        <v>0</v>
      </c>
    </row>
    <row r="75" customFormat="false" ht="15" hidden="false" customHeight="false" outlineLevel="0" collapsed="false">
      <c r="A75" s="2" t="n">
        <v>2010</v>
      </c>
      <c r="B75" s="2" t="s">
        <v>52</v>
      </c>
      <c r="C75" s="2" t="n">
        <v>3</v>
      </c>
      <c r="D75" s="2" t="n">
        <v>2</v>
      </c>
      <c r="E75" s="2" t="n">
        <v>66.67</v>
      </c>
    </row>
    <row r="76" customFormat="false" ht="15" hidden="false" customHeight="false" outlineLevel="0" collapsed="false">
      <c r="A76" s="2" t="n">
        <v>2010</v>
      </c>
      <c r="B76" s="2" t="s">
        <v>54</v>
      </c>
      <c r="C76" s="2" t="n">
        <v>3</v>
      </c>
      <c r="D76" s="2" t="n">
        <v>1</v>
      </c>
      <c r="E76" s="2" t="n">
        <v>33.33</v>
      </c>
    </row>
    <row r="77" customFormat="false" ht="15" hidden="false" customHeight="false" outlineLevel="0" collapsed="false">
      <c r="A77" s="2" t="n">
        <v>2010</v>
      </c>
      <c r="B77" s="2" t="s">
        <v>53</v>
      </c>
      <c r="C77" s="2" t="n">
        <v>3</v>
      </c>
      <c r="D77" s="2" t="n">
        <v>2</v>
      </c>
      <c r="E77" s="2" t="n">
        <v>66.67</v>
      </c>
    </row>
    <row r="78" customFormat="false" ht="15" hidden="false" customHeight="false" outlineLevel="0" collapsed="false">
      <c r="A78" s="2" t="n">
        <v>2010</v>
      </c>
      <c r="B78" s="2" t="s">
        <v>55</v>
      </c>
      <c r="C78" s="2" t="n">
        <v>3</v>
      </c>
      <c r="D78" s="2" t="n">
        <v>0</v>
      </c>
      <c r="E78" s="2" t="n">
        <v>0</v>
      </c>
    </row>
    <row r="79" customFormat="false" ht="15" hidden="false" customHeight="false" outlineLevel="0" collapsed="false">
      <c r="A79" s="2" t="n">
        <v>2010</v>
      </c>
      <c r="B79" s="2" t="s">
        <v>56</v>
      </c>
      <c r="C79" s="2" t="n">
        <v>3</v>
      </c>
      <c r="D79" s="2" t="n">
        <v>3</v>
      </c>
      <c r="E79" s="2" t="n">
        <v>100</v>
      </c>
    </row>
    <row r="80" customFormat="false" ht="15" hidden="false" customHeight="false" outlineLevel="0" collapsed="false">
      <c r="A80" s="2" t="n">
        <v>2011</v>
      </c>
      <c r="B80" s="2" t="s">
        <v>49</v>
      </c>
      <c r="C80" s="2" t="n">
        <v>11</v>
      </c>
      <c r="D80" s="2" t="n">
        <v>5</v>
      </c>
      <c r="E80" s="2" t="n">
        <v>45.45</v>
      </c>
    </row>
    <row r="81" customFormat="false" ht="15" hidden="false" customHeight="false" outlineLevel="0" collapsed="false">
      <c r="A81" s="2" t="n">
        <v>2011</v>
      </c>
      <c r="B81" s="2" t="s">
        <v>52</v>
      </c>
      <c r="C81" s="2" t="n">
        <v>11</v>
      </c>
      <c r="D81" s="2" t="n">
        <v>4</v>
      </c>
      <c r="E81" s="2" t="n">
        <v>36.36</v>
      </c>
    </row>
    <row r="82" customFormat="false" ht="15" hidden="false" customHeight="false" outlineLevel="0" collapsed="false">
      <c r="A82" s="2" t="n">
        <v>2011</v>
      </c>
      <c r="B82" s="2" t="s">
        <v>54</v>
      </c>
      <c r="C82" s="2" t="n">
        <v>11</v>
      </c>
      <c r="D82" s="2" t="n">
        <v>4</v>
      </c>
      <c r="E82" s="2" t="n">
        <v>36.36</v>
      </c>
    </row>
    <row r="83" customFormat="false" ht="15" hidden="false" customHeight="false" outlineLevel="0" collapsed="false">
      <c r="A83" s="2" t="n">
        <v>2011</v>
      </c>
      <c r="B83" s="2" t="s">
        <v>53</v>
      </c>
      <c r="C83" s="2" t="n">
        <v>11</v>
      </c>
      <c r="D83" s="2" t="n">
        <v>6</v>
      </c>
      <c r="E83" s="2" t="n">
        <v>54.55</v>
      </c>
    </row>
    <row r="84" customFormat="false" ht="15" hidden="false" customHeight="false" outlineLevel="0" collapsed="false">
      <c r="A84" s="2" t="n">
        <v>2011</v>
      </c>
      <c r="B84" s="2" t="s">
        <v>55</v>
      </c>
      <c r="C84" s="2" t="n">
        <v>11</v>
      </c>
      <c r="D84" s="2" t="n">
        <v>7</v>
      </c>
      <c r="E84" s="2" t="n">
        <v>63.64</v>
      </c>
    </row>
    <row r="85" customFormat="false" ht="15" hidden="false" customHeight="false" outlineLevel="0" collapsed="false">
      <c r="A85" s="2" t="n">
        <v>2011</v>
      </c>
      <c r="B85" s="2" t="s">
        <v>56</v>
      </c>
      <c r="C85" s="2" t="n">
        <v>11</v>
      </c>
      <c r="D85" s="2" t="n">
        <v>7</v>
      </c>
      <c r="E85" s="2" t="n">
        <v>63.64</v>
      </c>
    </row>
    <row r="86" customFormat="false" ht="15" hidden="false" customHeight="false" outlineLevel="0" collapsed="false">
      <c r="A86" s="2" t="n">
        <v>2012</v>
      </c>
      <c r="B86" s="2" t="s">
        <v>49</v>
      </c>
      <c r="C86" s="2" t="n">
        <v>4</v>
      </c>
      <c r="D86" s="2" t="n">
        <v>3</v>
      </c>
      <c r="E86" s="2" t="n">
        <v>75</v>
      </c>
    </row>
    <row r="87" customFormat="false" ht="15" hidden="false" customHeight="false" outlineLevel="0" collapsed="false">
      <c r="A87" s="2" t="n">
        <v>2012</v>
      </c>
      <c r="B87" s="2" t="s">
        <v>52</v>
      </c>
      <c r="C87" s="2" t="n">
        <v>4</v>
      </c>
      <c r="D87" s="2" t="n">
        <v>0</v>
      </c>
      <c r="E87" s="2" t="n">
        <v>0</v>
      </c>
    </row>
    <row r="88" customFormat="false" ht="15" hidden="false" customHeight="false" outlineLevel="0" collapsed="false">
      <c r="A88" s="2" t="n">
        <v>2012</v>
      </c>
      <c r="B88" s="2" t="s">
        <v>54</v>
      </c>
      <c r="C88" s="2" t="n">
        <v>4</v>
      </c>
      <c r="D88" s="2" t="n">
        <v>3</v>
      </c>
      <c r="E88" s="2" t="n">
        <v>75</v>
      </c>
    </row>
    <row r="89" customFormat="false" ht="15" hidden="false" customHeight="false" outlineLevel="0" collapsed="false">
      <c r="A89" s="2" t="n">
        <v>2012</v>
      </c>
      <c r="B89" s="2" t="s">
        <v>53</v>
      </c>
      <c r="C89" s="2" t="n">
        <v>4</v>
      </c>
      <c r="D89" s="2" t="n">
        <v>1</v>
      </c>
      <c r="E89" s="2" t="n">
        <v>25</v>
      </c>
    </row>
    <row r="90" customFormat="false" ht="15" hidden="false" customHeight="false" outlineLevel="0" collapsed="false">
      <c r="A90" s="2" t="n">
        <v>2012</v>
      </c>
      <c r="B90" s="2" t="s">
        <v>55</v>
      </c>
      <c r="C90" s="2" t="n">
        <v>4</v>
      </c>
      <c r="D90" s="2" t="n">
        <v>1</v>
      </c>
      <c r="E90" s="2" t="n">
        <v>25</v>
      </c>
    </row>
    <row r="91" customFormat="false" ht="15" hidden="false" customHeight="false" outlineLevel="0" collapsed="false">
      <c r="A91" s="2" t="n">
        <v>2012</v>
      </c>
      <c r="B91" s="2" t="s">
        <v>56</v>
      </c>
      <c r="C91" s="2" t="n">
        <v>4</v>
      </c>
      <c r="D91" s="2" t="n">
        <v>0</v>
      </c>
      <c r="E91" s="2" t="n">
        <v>0</v>
      </c>
    </row>
    <row r="92" customFormat="false" ht="15" hidden="false" customHeight="false" outlineLevel="0" collapsed="false">
      <c r="A92" s="2" t="n">
        <v>2013</v>
      </c>
      <c r="B92" s="2" t="s">
        <v>49</v>
      </c>
      <c r="C92" s="2" t="n">
        <v>2</v>
      </c>
      <c r="D92" s="2" t="n">
        <v>1</v>
      </c>
      <c r="E92" s="2" t="n">
        <v>50</v>
      </c>
    </row>
    <row r="93" customFormat="false" ht="15" hidden="false" customHeight="false" outlineLevel="0" collapsed="false">
      <c r="A93" s="2" t="n">
        <v>2013</v>
      </c>
      <c r="B93" s="2" t="s">
        <v>52</v>
      </c>
      <c r="C93" s="2" t="n">
        <v>2</v>
      </c>
      <c r="D93" s="2" t="n">
        <v>0</v>
      </c>
      <c r="E93" s="2" t="n">
        <v>0</v>
      </c>
    </row>
    <row r="94" customFormat="false" ht="15" hidden="false" customHeight="false" outlineLevel="0" collapsed="false">
      <c r="A94" s="2" t="n">
        <v>2013</v>
      </c>
      <c r="B94" s="2" t="s">
        <v>54</v>
      </c>
      <c r="C94" s="2" t="n">
        <v>2</v>
      </c>
      <c r="D94" s="2" t="n">
        <v>0</v>
      </c>
      <c r="E94" s="2" t="n">
        <v>0</v>
      </c>
    </row>
    <row r="95" customFormat="false" ht="15" hidden="false" customHeight="false" outlineLevel="0" collapsed="false">
      <c r="A95" s="2" t="n">
        <v>2013</v>
      </c>
      <c r="B95" s="2" t="s">
        <v>53</v>
      </c>
      <c r="C95" s="2" t="n">
        <v>2</v>
      </c>
      <c r="D95" s="2" t="n">
        <v>1</v>
      </c>
      <c r="E95" s="2" t="n">
        <v>50</v>
      </c>
    </row>
    <row r="96" customFormat="false" ht="15" hidden="false" customHeight="false" outlineLevel="0" collapsed="false">
      <c r="A96" s="2" t="n">
        <v>2013</v>
      </c>
      <c r="B96" s="2" t="s">
        <v>55</v>
      </c>
      <c r="C96" s="2" t="n">
        <v>2</v>
      </c>
      <c r="D96" s="2" t="n">
        <v>2</v>
      </c>
      <c r="E96" s="2" t="n">
        <v>100</v>
      </c>
    </row>
    <row r="97" customFormat="false" ht="15" hidden="false" customHeight="false" outlineLevel="0" collapsed="false">
      <c r="A97" s="2" t="n">
        <v>2013</v>
      </c>
      <c r="B97" s="2" t="s">
        <v>56</v>
      </c>
      <c r="C97" s="2" t="n">
        <v>2</v>
      </c>
      <c r="D97" s="2" t="n">
        <v>1</v>
      </c>
      <c r="E97" s="2" t="n">
        <v>50</v>
      </c>
    </row>
    <row r="98" customFormat="false" ht="15" hidden="false" customHeight="false" outlineLevel="0" collapsed="false">
      <c r="A98" s="2" t="n">
        <v>2014</v>
      </c>
      <c r="B98" s="2" t="s">
        <v>49</v>
      </c>
      <c r="C98" s="2" t="n">
        <v>8</v>
      </c>
      <c r="D98" s="2" t="n">
        <v>3</v>
      </c>
      <c r="E98" s="2" t="n">
        <v>37.5</v>
      </c>
    </row>
    <row r="99" customFormat="false" ht="15" hidden="false" customHeight="false" outlineLevel="0" collapsed="false">
      <c r="A99" s="2" t="n">
        <v>2014</v>
      </c>
      <c r="B99" s="2" t="s">
        <v>52</v>
      </c>
      <c r="C99" s="2" t="n">
        <v>8</v>
      </c>
      <c r="D99" s="2" t="n">
        <v>4</v>
      </c>
      <c r="E99" s="2" t="n">
        <v>50</v>
      </c>
    </row>
    <row r="100" customFormat="false" ht="15" hidden="false" customHeight="false" outlineLevel="0" collapsed="false">
      <c r="A100" s="2" t="n">
        <v>2014</v>
      </c>
      <c r="B100" s="2" t="s">
        <v>54</v>
      </c>
      <c r="C100" s="2" t="n">
        <v>8</v>
      </c>
      <c r="D100" s="2" t="n">
        <v>5</v>
      </c>
      <c r="E100" s="2" t="n">
        <v>62.5</v>
      </c>
    </row>
    <row r="101" customFormat="false" ht="15" hidden="false" customHeight="false" outlineLevel="0" collapsed="false">
      <c r="A101" s="2" t="n">
        <v>2014</v>
      </c>
      <c r="B101" s="2" t="s">
        <v>53</v>
      </c>
      <c r="C101" s="2" t="n">
        <v>8</v>
      </c>
      <c r="D101" s="2" t="n">
        <v>2</v>
      </c>
      <c r="E101" s="2" t="n">
        <v>25</v>
      </c>
    </row>
    <row r="102" customFormat="false" ht="15" hidden="false" customHeight="false" outlineLevel="0" collapsed="false">
      <c r="A102" s="2" t="n">
        <v>2014</v>
      </c>
      <c r="B102" s="2" t="s">
        <v>55</v>
      </c>
      <c r="C102" s="2" t="n">
        <v>8</v>
      </c>
      <c r="D102" s="2" t="n">
        <v>3</v>
      </c>
      <c r="E102" s="2" t="n">
        <v>37.5</v>
      </c>
    </row>
    <row r="103" customFormat="false" ht="15" hidden="false" customHeight="false" outlineLevel="0" collapsed="false">
      <c r="A103" s="2" t="n">
        <v>2014</v>
      </c>
      <c r="B103" s="2" t="s">
        <v>56</v>
      </c>
      <c r="C103" s="2" t="n">
        <v>8</v>
      </c>
      <c r="D103" s="2" t="n">
        <v>3</v>
      </c>
      <c r="E103" s="2" t="n">
        <v>37.5</v>
      </c>
    </row>
    <row r="104" customFormat="false" ht="15" hidden="false" customHeight="false" outlineLevel="0" collapsed="false">
      <c r="A104" s="2" t="n">
        <v>2015</v>
      </c>
      <c r="B104" s="2" t="s">
        <v>49</v>
      </c>
      <c r="C104" s="2" t="n">
        <v>3</v>
      </c>
      <c r="D104" s="2" t="n">
        <v>2</v>
      </c>
      <c r="E104" s="2" t="n">
        <v>66.67</v>
      </c>
    </row>
    <row r="105" customFormat="false" ht="15" hidden="false" customHeight="false" outlineLevel="0" collapsed="false">
      <c r="A105" s="2" t="n">
        <v>2015</v>
      </c>
      <c r="B105" s="2" t="s">
        <v>52</v>
      </c>
      <c r="C105" s="2" t="n">
        <v>3</v>
      </c>
      <c r="D105" s="2" t="n">
        <v>1</v>
      </c>
      <c r="E105" s="2" t="n">
        <v>33.33</v>
      </c>
    </row>
    <row r="106" customFormat="false" ht="15" hidden="false" customHeight="false" outlineLevel="0" collapsed="false">
      <c r="A106" s="2" t="n">
        <v>2015</v>
      </c>
      <c r="B106" s="2" t="s">
        <v>54</v>
      </c>
      <c r="C106" s="2" t="n">
        <v>3</v>
      </c>
      <c r="D106" s="2" t="n">
        <v>1</v>
      </c>
      <c r="E106" s="2" t="n">
        <v>33.33</v>
      </c>
    </row>
    <row r="107" customFormat="false" ht="15" hidden="false" customHeight="false" outlineLevel="0" collapsed="false">
      <c r="A107" s="2" t="n">
        <v>2015</v>
      </c>
      <c r="B107" s="2" t="s">
        <v>53</v>
      </c>
      <c r="C107" s="2" t="n">
        <v>3</v>
      </c>
      <c r="D107" s="2" t="n">
        <v>1</v>
      </c>
      <c r="E107" s="2" t="n">
        <v>33.33</v>
      </c>
    </row>
    <row r="108" customFormat="false" ht="15" hidden="false" customHeight="false" outlineLevel="0" collapsed="false">
      <c r="A108" s="2" t="n">
        <v>2015</v>
      </c>
      <c r="B108" s="2" t="s">
        <v>55</v>
      </c>
      <c r="C108" s="2" t="n">
        <v>3</v>
      </c>
      <c r="D108" s="2" t="n">
        <v>3</v>
      </c>
      <c r="E108" s="2" t="n">
        <v>100</v>
      </c>
    </row>
    <row r="109" customFormat="false" ht="15" hidden="false" customHeight="false" outlineLevel="0" collapsed="false">
      <c r="A109" s="2" t="n">
        <v>2015</v>
      </c>
      <c r="B109" s="2" t="s">
        <v>56</v>
      </c>
      <c r="C109" s="2" t="n">
        <v>3</v>
      </c>
      <c r="D109" s="2" t="n">
        <v>0</v>
      </c>
      <c r="E109" s="2" t="n">
        <v>0</v>
      </c>
    </row>
    <row r="110" customFormat="false" ht="15" hidden="false" customHeight="false" outlineLevel="0" collapsed="false">
      <c r="A110" s="2" t="n">
        <v>2016</v>
      </c>
      <c r="B110" s="2" t="s">
        <v>49</v>
      </c>
      <c r="C110" s="2" t="n">
        <v>4</v>
      </c>
      <c r="D110" s="2" t="n">
        <v>1</v>
      </c>
      <c r="E110" s="2" t="n">
        <v>25</v>
      </c>
    </row>
    <row r="111" customFormat="false" ht="15" hidden="false" customHeight="false" outlineLevel="0" collapsed="false">
      <c r="A111" s="2" t="n">
        <v>2016</v>
      </c>
      <c r="B111" s="2" t="s">
        <v>52</v>
      </c>
      <c r="C111" s="2" t="n">
        <v>4</v>
      </c>
      <c r="D111" s="2" t="n">
        <v>3</v>
      </c>
      <c r="E111" s="2" t="n">
        <v>75</v>
      </c>
    </row>
    <row r="112" customFormat="false" ht="15" hidden="false" customHeight="false" outlineLevel="0" collapsed="false">
      <c r="A112" s="2" t="n">
        <v>2016</v>
      </c>
      <c r="B112" s="2" t="s">
        <v>54</v>
      </c>
      <c r="C112" s="2" t="n">
        <v>4</v>
      </c>
      <c r="D112" s="2" t="n">
        <v>2</v>
      </c>
      <c r="E112" s="2" t="n">
        <v>50</v>
      </c>
    </row>
    <row r="113" customFormat="false" ht="15" hidden="false" customHeight="false" outlineLevel="0" collapsed="false">
      <c r="A113" s="2" t="n">
        <v>2016</v>
      </c>
      <c r="B113" s="2" t="s">
        <v>53</v>
      </c>
      <c r="C113" s="2" t="n">
        <v>4</v>
      </c>
      <c r="D113" s="2" t="n">
        <v>3</v>
      </c>
      <c r="E113" s="2" t="n">
        <v>75</v>
      </c>
    </row>
    <row r="114" customFormat="false" ht="15" hidden="false" customHeight="false" outlineLevel="0" collapsed="false">
      <c r="A114" s="2" t="n">
        <v>2016</v>
      </c>
      <c r="B114" s="2" t="s">
        <v>55</v>
      </c>
      <c r="C114" s="2" t="n">
        <v>4</v>
      </c>
      <c r="D114" s="2" t="n">
        <v>2</v>
      </c>
      <c r="E114" s="2" t="n">
        <v>50</v>
      </c>
    </row>
    <row r="115" customFormat="false" ht="15" hidden="false" customHeight="false" outlineLevel="0" collapsed="false">
      <c r="A115" s="2" t="n">
        <v>2016</v>
      </c>
      <c r="B115" s="2" t="s">
        <v>56</v>
      </c>
      <c r="C115" s="2" t="n">
        <v>4</v>
      </c>
      <c r="D115" s="2" t="n">
        <v>2</v>
      </c>
      <c r="E115" s="2" t="n">
        <v>50</v>
      </c>
    </row>
    <row r="116" customFormat="false" ht="15" hidden="false" customHeight="false" outlineLevel="0" collapsed="false">
      <c r="A116" s="2" t="n">
        <v>2017</v>
      </c>
      <c r="B116" s="2" t="s">
        <v>49</v>
      </c>
      <c r="C116" s="2" t="n">
        <v>9</v>
      </c>
      <c r="D116" s="2" t="n">
        <v>4</v>
      </c>
      <c r="E116" s="2" t="n">
        <v>44.44</v>
      </c>
    </row>
    <row r="117" customFormat="false" ht="15" hidden="false" customHeight="false" outlineLevel="0" collapsed="false">
      <c r="A117" s="2" t="n">
        <v>2017</v>
      </c>
      <c r="B117" s="2" t="s">
        <v>52</v>
      </c>
      <c r="C117" s="2" t="n">
        <v>9</v>
      </c>
      <c r="D117" s="2" t="n">
        <v>7</v>
      </c>
      <c r="E117" s="2" t="n">
        <v>77.78</v>
      </c>
    </row>
    <row r="118" customFormat="false" ht="15" hidden="false" customHeight="false" outlineLevel="0" collapsed="false">
      <c r="A118" s="2" t="n">
        <v>2017</v>
      </c>
      <c r="B118" s="2" t="s">
        <v>54</v>
      </c>
      <c r="C118" s="2" t="n">
        <v>9</v>
      </c>
      <c r="D118" s="2" t="n">
        <v>3</v>
      </c>
      <c r="E118" s="2" t="n">
        <v>33.33</v>
      </c>
    </row>
    <row r="119" customFormat="false" ht="15" hidden="false" customHeight="false" outlineLevel="0" collapsed="false">
      <c r="A119" s="2" t="n">
        <v>2017</v>
      </c>
      <c r="B119" s="2" t="s">
        <v>53</v>
      </c>
      <c r="C119" s="2" t="n">
        <v>9</v>
      </c>
      <c r="D119" s="2" t="n">
        <v>6</v>
      </c>
      <c r="E119" s="2" t="n">
        <v>66.67</v>
      </c>
    </row>
    <row r="120" customFormat="false" ht="15" hidden="false" customHeight="false" outlineLevel="0" collapsed="false">
      <c r="A120" s="2" t="n">
        <v>2017</v>
      </c>
      <c r="B120" s="2" t="s">
        <v>55</v>
      </c>
      <c r="C120" s="2" t="n">
        <v>9</v>
      </c>
      <c r="D120" s="2" t="n">
        <v>7</v>
      </c>
      <c r="E120" s="2" t="n">
        <v>77.78</v>
      </c>
    </row>
    <row r="121" customFormat="false" ht="15" hidden="false" customHeight="false" outlineLevel="0" collapsed="false">
      <c r="A121" s="2" t="n">
        <v>2017</v>
      </c>
      <c r="B121" s="2" t="s">
        <v>56</v>
      </c>
      <c r="C121" s="2" t="n">
        <v>9</v>
      </c>
      <c r="D121" s="2" t="n">
        <v>5</v>
      </c>
      <c r="E121" s="2" t="n">
        <v>55.56</v>
      </c>
    </row>
    <row r="122" customFormat="false" ht="15" hidden="false" customHeight="false" outlineLevel="0" collapsed="false">
      <c r="A122" s="2" t="n">
        <v>2018</v>
      </c>
      <c r="B122" s="2" t="s">
        <v>49</v>
      </c>
      <c r="C122" s="2" t="n">
        <v>3</v>
      </c>
      <c r="D122" s="2" t="n">
        <v>2</v>
      </c>
      <c r="E122" s="2" t="n">
        <v>66.67</v>
      </c>
    </row>
    <row r="123" customFormat="false" ht="15" hidden="false" customHeight="false" outlineLevel="0" collapsed="false">
      <c r="A123" s="2" t="n">
        <v>2018</v>
      </c>
      <c r="B123" s="2" t="s">
        <v>52</v>
      </c>
      <c r="C123" s="2" t="n">
        <v>3</v>
      </c>
      <c r="D123" s="2" t="n">
        <v>1</v>
      </c>
      <c r="E123" s="2" t="n">
        <v>33.33</v>
      </c>
    </row>
    <row r="124" customFormat="false" ht="15" hidden="false" customHeight="false" outlineLevel="0" collapsed="false">
      <c r="A124" s="2" t="n">
        <v>2018</v>
      </c>
      <c r="B124" s="2" t="s">
        <v>54</v>
      </c>
      <c r="C124" s="2" t="n">
        <v>3</v>
      </c>
      <c r="D124" s="2" t="n">
        <v>3</v>
      </c>
      <c r="E124" s="2" t="n">
        <v>100</v>
      </c>
    </row>
    <row r="125" customFormat="false" ht="15" hidden="false" customHeight="false" outlineLevel="0" collapsed="false">
      <c r="A125" s="2" t="n">
        <v>2018</v>
      </c>
      <c r="B125" s="2" t="s">
        <v>53</v>
      </c>
      <c r="C125" s="2" t="n">
        <v>3</v>
      </c>
      <c r="D125" s="2" t="n">
        <v>0</v>
      </c>
      <c r="E125" s="2" t="n">
        <v>0</v>
      </c>
    </row>
    <row r="126" customFormat="false" ht="15" hidden="false" customHeight="false" outlineLevel="0" collapsed="false">
      <c r="A126" s="2" t="n">
        <v>2018</v>
      </c>
      <c r="B126" s="2" t="s">
        <v>55</v>
      </c>
      <c r="C126" s="2" t="n">
        <v>3</v>
      </c>
      <c r="D126" s="2" t="n">
        <v>1</v>
      </c>
      <c r="E126" s="2" t="n">
        <v>33.33</v>
      </c>
    </row>
    <row r="127" customFormat="false" ht="15" hidden="false" customHeight="false" outlineLevel="0" collapsed="false">
      <c r="A127" s="2" t="n">
        <v>2018</v>
      </c>
      <c r="B127" s="2" t="s">
        <v>56</v>
      </c>
      <c r="C127" s="2" t="n">
        <v>3</v>
      </c>
      <c r="D127" s="2" t="n">
        <v>2</v>
      </c>
      <c r="E127" s="2" t="n">
        <v>66.67</v>
      </c>
    </row>
    <row r="128" customFormat="false" ht="15" hidden="false" customHeight="false" outlineLevel="0" collapsed="false">
      <c r="A128" s="2" t="n">
        <v>2019</v>
      </c>
      <c r="B128" s="2" t="s">
        <v>49</v>
      </c>
      <c r="C128" s="2" t="n">
        <v>7</v>
      </c>
      <c r="D128" s="2" t="n">
        <v>4</v>
      </c>
      <c r="E128" s="2" t="n">
        <v>57.14</v>
      </c>
    </row>
    <row r="129" customFormat="false" ht="15" hidden="false" customHeight="false" outlineLevel="0" collapsed="false">
      <c r="A129" s="2" t="n">
        <v>2019</v>
      </c>
      <c r="B129" s="2" t="s">
        <v>52</v>
      </c>
      <c r="C129" s="2" t="n">
        <v>7</v>
      </c>
      <c r="D129" s="2" t="n">
        <v>5</v>
      </c>
      <c r="E129" s="2" t="n">
        <v>71.43</v>
      </c>
    </row>
    <row r="130" customFormat="false" ht="15" hidden="false" customHeight="false" outlineLevel="0" collapsed="false">
      <c r="A130" s="2" t="n">
        <v>2019</v>
      </c>
      <c r="B130" s="2" t="s">
        <v>54</v>
      </c>
      <c r="C130" s="2" t="n">
        <v>7</v>
      </c>
      <c r="D130" s="2" t="n">
        <v>5</v>
      </c>
      <c r="E130" s="2" t="n">
        <v>71.43</v>
      </c>
    </row>
    <row r="131" customFormat="false" ht="15" hidden="false" customHeight="false" outlineLevel="0" collapsed="false">
      <c r="A131" s="2" t="n">
        <v>2019</v>
      </c>
      <c r="B131" s="2" t="s">
        <v>53</v>
      </c>
      <c r="C131" s="2" t="n">
        <v>7</v>
      </c>
      <c r="D131" s="2" t="n">
        <v>2</v>
      </c>
      <c r="E131" s="2" t="n">
        <v>28.57</v>
      </c>
    </row>
    <row r="132" customFormat="false" ht="15" hidden="false" customHeight="false" outlineLevel="0" collapsed="false">
      <c r="A132" s="2" t="n">
        <v>2019</v>
      </c>
      <c r="B132" s="2" t="s">
        <v>55</v>
      </c>
      <c r="C132" s="2" t="n">
        <v>7</v>
      </c>
      <c r="D132" s="2" t="n">
        <v>2</v>
      </c>
      <c r="E132" s="2" t="n">
        <v>28.57</v>
      </c>
    </row>
    <row r="133" customFormat="false" ht="15" hidden="false" customHeight="false" outlineLevel="0" collapsed="false">
      <c r="A133" s="2" t="n">
        <v>2019</v>
      </c>
      <c r="B133" s="2" t="s">
        <v>56</v>
      </c>
      <c r="C133" s="2" t="n">
        <v>7</v>
      </c>
      <c r="D133" s="2" t="n">
        <v>3</v>
      </c>
      <c r="E133" s="2" t="n">
        <v>42.86</v>
      </c>
    </row>
    <row r="134" customFormat="false" ht="15" hidden="false" customHeight="false" outlineLevel="0" collapsed="false">
      <c r="A134" s="2" t="n">
        <v>2020</v>
      </c>
      <c r="B134" s="2" t="s">
        <v>49</v>
      </c>
      <c r="C134" s="2" t="n">
        <v>5</v>
      </c>
      <c r="D134" s="2" t="n">
        <v>2</v>
      </c>
      <c r="E134" s="2" t="n">
        <v>40</v>
      </c>
    </row>
    <row r="135" customFormat="false" ht="15" hidden="false" customHeight="false" outlineLevel="0" collapsed="false">
      <c r="A135" s="2" t="n">
        <v>2020</v>
      </c>
      <c r="B135" s="2" t="s">
        <v>52</v>
      </c>
      <c r="C135" s="2" t="n">
        <v>5</v>
      </c>
      <c r="D135" s="2" t="n">
        <v>4</v>
      </c>
      <c r="E135" s="2" t="n">
        <v>80</v>
      </c>
    </row>
    <row r="136" customFormat="false" ht="15" hidden="false" customHeight="false" outlineLevel="0" collapsed="false">
      <c r="A136" s="2" t="n">
        <v>2020</v>
      </c>
      <c r="B136" s="2" t="s">
        <v>54</v>
      </c>
      <c r="C136" s="2" t="n">
        <v>5</v>
      </c>
      <c r="D136" s="2" t="n">
        <v>3</v>
      </c>
      <c r="E136" s="2" t="n">
        <v>60</v>
      </c>
    </row>
    <row r="137" customFormat="false" ht="15" hidden="false" customHeight="false" outlineLevel="0" collapsed="false">
      <c r="A137" s="2" t="n">
        <v>2020</v>
      </c>
      <c r="B137" s="2" t="s">
        <v>53</v>
      </c>
      <c r="C137" s="2" t="n">
        <v>5</v>
      </c>
      <c r="D137" s="2" t="n">
        <v>0</v>
      </c>
      <c r="E137" s="2" t="n">
        <v>0</v>
      </c>
    </row>
    <row r="138" customFormat="false" ht="15" hidden="false" customHeight="false" outlineLevel="0" collapsed="false">
      <c r="A138" s="2" t="n">
        <v>2020</v>
      </c>
      <c r="B138" s="2" t="s">
        <v>55</v>
      </c>
      <c r="C138" s="2" t="n">
        <v>5</v>
      </c>
      <c r="D138" s="2" t="n">
        <v>1</v>
      </c>
      <c r="E138" s="2" t="n">
        <v>20</v>
      </c>
    </row>
    <row r="139" customFormat="false" ht="15" hidden="false" customHeight="false" outlineLevel="0" collapsed="false">
      <c r="A139" s="2" t="n">
        <v>2020</v>
      </c>
      <c r="B139" s="2" t="s">
        <v>56</v>
      </c>
      <c r="C139" s="2" t="n">
        <v>5</v>
      </c>
      <c r="D139" s="2" t="n">
        <v>4</v>
      </c>
      <c r="E139" s="2" t="n">
        <v>80</v>
      </c>
    </row>
    <row r="140" customFormat="false" ht="15" hidden="false" customHeight="false" outlineLevel="0" collapsed="false">
      <c r="A140" s="2" t="n">
        <v>2021</v>
      </c>
      <c r="B140" s="2" t="s">
        <v>49</v>
      </c>
      <c r="C140" s="2" t="n">
        <v>5</v>
      </c>
      <c r="D140" s="2" t="n">
        <v>0</v>
      </c>
      <c r="E140" s="2" t="n">
        <v>0</v>
      </c>
    </row>
    <row r="141" customFormat="false" ht="15" hidden="false" customHeight="false" outlineLevel="0" collapsed="false">
      <c r="A141" s="2" t="n">
        <v>2021</v>
      </c>
      <c r="B141" s="2" t="s">
        <v>52</v>
      </c>
      <c r="C141" s="2" t="n">
        <v>5</v>
      </c>
      <c r="D141" s="2" t="n">
        <v>2</v>
      </c>
      <c r="E141" s="2" t="n">
        <v>40</v>
      </c>
    </row>
    <row r="142" customFormat="false" ht="15" hidden="false" customHeight="false" outlineLevel="0" collapsed="false">
      <c r="A142" s="2" t="n">
        <v>2021</v>
      </c>
      <c r="B142" s="2" t="s">
        <v>54</v>
      </c>
      <c r="C142" s="2" t="n">
        <v>5</v>
      </c>
      <c r="D142" s="2" t="n">
        <v>5</v>
      </c>
      <c r="E142" s="2" t="n">
        <v>100</v>
      </c>
    </row>
    <row r="143" customFormat="false" ht="15" hidden="false" customHeight="false" outlineLevel="0" collapsed="false">
      <c r="A143" s="2" t="n">
        <v>2021</v>
      </c>
      <c r="B143" s="2" t="s">
        <v>53</v>
      </c>
      <c r="C143" s="2" t="n">
        <v>5</v>
      </c>
      <c r="D143" s="2" t="n">
        <v>3</v>
      </c>
      <c r="E143" s="2" t="n">
        <v>60</v>
      </c>
    </row>
    <row r="144" customFormat="false" ht="15" hidden="false" customHeight="false" outlineLevel="0" collapsed="false">
      <c r="A144" s="2" t="n">
        <v>2021</v>
      </c>
      <c r="B144" s="2" t="s">
        <v>55</v>
      </c>
      <c r="C144" s="2" t="n">
        <v>5</v>
      </c>
      <c r="D144" s="2" t="n">
        <v>2</v>
      </c>
      <c r="E144" s="2" t="n">
        <v>40</v>
      </c>
    </row>
    <row r="145" customFormat="false" ht="15" hidden="false" customHeight="false" outlineLevel="0" collapsed="false">
      <c r="A145" s="2" t="n">
        <v>2021</v>
      </c>
      <c r="B145" s="2" t="s">
        <v>56</v>
      </c>
      <c r="C145" s="2" t="n">
        <v>5</v>
      </c>
      <c r="D145" s="2" t="n">
        <v>4</v>
      </c>
      <c r="E145" s="2" t="n">
        <v>80</v>
      </c>
    </row>
    <row r="146" customFormat="false" ht="15" hidden="false" customHeight="false" outlineLevel="0" collapsed="false">
      <c r="A146" s="2" t="n">
        <v>2022</v>
      </c>
      <c r="B146" s="2" t="s">
        <v>49</v>
      </c>
      <c r="C146" s="2" t="n">
        <v>6</v>
      </c>
      <c r="D146" s="2" t="n">
        <v>4</v>
      </c>
      <c r="E146" s="2" t="n">
        <v>66.67</v>
      </c>
    </row>
    <row r="147" customFormat="false" ht="15" hidden="false" customHeight="false" outlineLevel="0" collapsed="false">
      <c r="A147" s="2" t="n">
        <v>2022</v>
      </c>
      <c r="B147" s="2" t="s">
        <v>52</v>
      </c>
      <c r="C147" s="2" t="n">
        <v>6</v>
      </c>
      <c r="D147" s="2" t="n">
        <v>2</v>
      </c>
      <c r="E147" s="2" t="n">
        <v>33.33</v>
      </c>
    </row>
    <row r="148" customFormat="false" ht="15" hidden="false" customHeight="false" outlineLevel="0" collapsed="false">
      <c r="A148" s="2" t="n">
        <v>2022</v>
      </c>
      <c r="B148" s="2" t="s">
        <v>54</v>
      </c>
      <c r="C148" s="2" t="n">
        <v>6</v>
      </c>
      <c r="D148" s="2" t="n">
        <v>4</v>
      </c>
      <c r="E148" s="2" t="n">
        <v>66.67</v>
      </c>
    </row>
    <row r="149" customFormat="false" ht="15" hidden="false" customHeight="false" outlineLevel="0" collapsed="false">
      <c r="A149" s="2" t="n">
        <v>2022</v>
      </c>
      <c r="B149" s="2" t="s">
        <v>53</v>
      </c>
      <c r="C149" s="2" t="n">
        <v>6</v>
      </c>
      <c r="D149" s="2" t="n">
        <v>5</v>
      </c>
      <c r="E149" s="2" t="n">
        <v>83.33</v>
      </c>
    </row>
    <row r="150" customFormat="false" ht="15" hidden="false" customHeight="false" outlineLevel="0" collapsed="false">
      <c r="A150" s="2" t="n">
        <v>2022</v>
      </c>
      <c r="B150" s="2" t="s">
        <v>55</v>
      </c>
      <c r="C150" s="2" t="n">
        <v>6</v>
      </c>
      <c r="D150" s="2" t="n">
        <v>3</v>
      </c>
      <c r="E150" s="2" t="n">
        <v>50</v>
      </c>
    </row>
    <row r="151" customFormat="false" ht="15" hidden="false" customHeight="false" outlineLevel="0" collapsed="false">
      <c r="A151" s="2" t="n">
        <v>2022</v>
      </c>
      <c r="B151" s="2" t="s">
        <v>56</v>
      </c>
      <c r="C151" s="2" t="n">
        <v>6</v>
      </c>
      <c r="D151" s="2" t="n">
        <v>5</v>
      </c>
      <c r="E151" s="2" t="n">
        <v>83.33</v>
      </c>
    </row>
    <row r="152" customFormat="false" ht="15" hidden="false" customHeight="false" outlineLevel="0" collapsed="false">
      <c r="A152" s="2" t="n">
        <v>2023</v>
      </c>
      <c r="B152" s="2" t="s">
        <v>49</v>
      </c>
      <c r="C152" s="2" t="n">
        <v>9</v>
      </c>
      <c r="D152" s="2" t="n">
        <v>5</v>
      </c>
      <c r="E152" s="2" t="n">
        <v>55.56</v>
      </c>
    </row>
    <row r="153" customFormat="false" ht="15" hidden="false" customHeight="false" outlineLevel="0" collapsed="false">
      <c r="A153" s="2" t="n">
        <v>2023</v>
      </c>
      <c r="B153" s="2" t="s">
        <v>52</v>
      </c>
      <c r="C153" s="2" t="n">
        <v>9</v>
      </c>
      <c r="D153" s="2" t="n">
        <v>7</v>
      </c>
      <c r="E153" s="2" t="n">
        <v>77.78</v>
      </c>
    </row>
    <row r="154" customFormat="false" ht="15" hidden="false" customHeight="false" outlineLevel="0" collapsed="false">
      <c r="A154" s="2" t="n">
        <v>2023</v>
      </c>
      <c r="B154" s="2" t="s">
        <v>54</v>
      </c>
      <c r="C154" s="2" t="n">
        <v>9</v>
      </c>
      <c r="D154" s="2" t="n">
        <v>7</v>
      </c>
      <c r="E154" s="2" t="n">
        <v>77.78</v>
      </c>
    </row>
    <row r="155" customFormat="false" ht="15" hidden="false" customHeight="false" outlineLevel="0" collapsed="false">
      <c r="A155" s="2" t="n">
        <v>2023</v>
      </c>
      <c r="B155" s="2" t="s">
        <v>53</v>
      </c>
      <c r="C155" s="2" t="n">
        <v>9</v>
      </c>
      <c r="D155" s="2" t="n">
        <v>5</v>
      </c>
      <c r="E155" s="2" t="n">
        <v>55.56</v>
      </c>
    </row>
    <row r="156" customFormat="false" ht="15" hidden="false" customHeight="false" outlineLevel="0" collapsed="false">
      <c r="A156" s="2" t="n">
        <v>2023</v>
      </c>
      <c r="B156" s="2" t="s">
        <v>55</v>
      </c>
      <c r="C156" s="2" t="n">
        <v>9</v>
      </c>
      <c r="D156" s="2" t="n">
        <v>2</v>
      </c>
      <c r="E156" s="2" t="n">
        <v>22.22</v>
      </c>
    </row>
    <row r="157" customFormat="false" ht="15" hidden="false" customHeight="false" outlineLevel="0" collapsed="false">
      <c r="A157" s="2" t="n">
        <v>2023</v>
      </c>
      <c r="B157" s="2" t="s">
        <v>56</v>
      </c>
      <c r="C157" s="2" t="n">
        <v>9</v>
      </c>
      <c r="D157" s="2" t="n">
        <v>5</v>
      </c>
      <c r="E157" s="2" t="n">
        <v>55.56</v>
      </c>
    </row>
    <row r="158" customFormat="false" ht="15" hidden="false" customHeight="false" outlineLevel="0" collapsed="false">
      <c r="A158" s="2" t="n">
        <v>2024</v>
      </c>
      <c r="B158" s="2" t="s">
        <v>49</v>
      </c>
      <c r="C158" s="2" t="n">
        <v>7</v>
      </c>
      <c r="D158" s="2" t="n">
        <v>6</v>
      </c>
      <c r="E158" s="2" t="n">
        <v>85.71</v>
      </c>
    </row>
    <row r="159" customFormat="false" ht="15" hidden="false" customHeight="false" outlineLevel="0" collapsed="false">
      <c r="A159" s="2" t="n">
        <v>2024</v>
      </c>
      <c r="B159" s="2" t="s">
        <v>52</v>
      </c>
      <c r="C159" s="2" t="n">
        <v>7</v>
      </c>
      <c r="D159" s="2" t="n">
        <v>7</v>
      </c>
      <c r="E159" s="2" t="n">
        <v>100</v>
      </c>
    </row>
    <row r="160" customFormat="false" ht="15" hidden="false" customHeight="false" outlineLevel="0" collapsed="false">
      <c r="A160" s="2" t="n">
        <v>2024</v>
      </c>
      <c r="B160" s="2" t="s">
        <v>54</v>
      </c>
      <c r="C160" s="2" t="n">
        <v>7</v>
      </c>
      <c r="D160" s="2" t="n">
        <v>6</v>
      </c>
      <c r="E160" s="2" t="n">
        <v>85.71</v>
      </c>
    </row>
    <row r="161" customFormat="false" ht="15" hidden="false" customHeight="false" outlineLevel="0" collapsed="false">
      <c r="A161" s="2" t="n">
        <v>2024</v>
      </c>
      <c r="B161" s="2" t="s">
        <v>53</v>
      </c>
      <c r="C161" s="2" t="n">
        <v>7</v>
      </c>
      <c r="D161" s="2" t="n">
        <v>5</v>
      </c>
      <c r="E161" s="2" t="n">
        <v>71.43</v>
      </c>
    </row>
    <row r="162" customFormat="false" ht="15" hidden="false" customHeight="false" outlineLevel="0" collapsed="false">
      <c r="A162" s="2" t="n">
        <v>2024</v>
      </c>
      <c r="B162" s="2" t="s">
        <v>55</v>
      </c>
      <c r="C162" s="2" t="n">
        <v>7</v>
      </c>
      <c r="D162" s="2" t="n">
        <v>5</v>
      </c>
      <c r="E162" s="2" t="n">
        <v>71.43</v>
      </c>
    </row>
    <row r="163" customFormat="false" ht="15" hidden="false" customHeight="false" outlineLevel="0" collapsed="false">
      <c r="A163" s="2" t="n">
        <v>2024</v>
      </c>
      <c r="B163" s="2" t="s">
        <v>56</v>
      </c>
      <c r="C163" s="2" t="n">
        <v>7</v>
      </c>
      <c r="D163" s="2" t="n">
        <v>5</v>
      </c>
      <c r="E163" s="2" t="n">
        <v>71.43</v>
      </c>
    </row>
  </sheetData>
  <autoFilter ref="A1:E1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</v>
      </c>
      <c r="B1" s="1" t="s">
        <v>1</v>
      </c>
      <c r="C1" s="1" t="s">
        <v>216</v>
      </c>
      <c r="D1" s="1" t="s">
        <v>47</v>
      </c>
    </row>
    <row r="2" customFormat="false" ht="15" hidden="false" customHeight="false" outlineLevel="0" collapsed="false">
      <c r="A2" s="2" t="s">
        <v>49</v>
      </c>
      <c r="B2" s="2" t="n">
        <v>2025</v>
      </c>
      <c r="C2" s="2" t="n">
        <v>55.12</v>
      </c>
      <c r="D2" s="2" t="s">
        <v>51</v>
      </c>
    </row>
    <row r="3" customFormat="false" ht="15" hidden="false" customHeight="false" outlineLevel="0" collapsed="false">
      <c r="A3" s="2" t="s">
        <v>49</v>
      </c>
      <c r="B3" s="2" t="n">
        <v>2026</v>
      </c>
      <c r="C3" s="2" t="n">
        <v>56.02</v>
      </c>
      <c r="D3" s="2" t="s">
        <v>51</v>
      </c>
    </row>
    <row r="4" customFormat="false" ht="15" hidden="false" customHeight="false" outlineLevel="0" collapsed="false">
      <c r="A4" s="2" t="s">
        <v>49</v>
      </c>
      <c r="B4" s="2" t="n">
        <v>2027</v>
      </c>
      <c r="C4" s="2" t="n">
        <v>56.92</v>
      </c>
      <c r="D4" s="2" t="s">
        <v>51</v>
      </c>
    </row>
    <row r="5" customFormat="false" ht="15" hidden="false" customHeight="false" outlineLevel="0" collapsed="false">
      <c r="A5" s="2" t="s">
        <v>49</v>
      </c>
      <c r="B5" s="2" t="n">
        <v>2028</v>
      </c>
      <c r="C5" s="2" t="n">
        <v>57.82</v>
      </c>
      <c r="D5" s="2" t="s">
        <v>51</v>
      </c>
    </row>
    <row r="6" customFormat="false" ht="15" hidden="false" customHeight="false" outlineLevel="0" collapsed="false">
      <c r="A6" s="2" t="s">
        <v>49</v>
      </c>
      <c r="B6" s="2" t="n">
        <v>2029</v>
      </c>
      <c r="C6" s="2" t="n">
        <v>58.72</v>
      </c>
      <c r="D6" s="2" t="s">
        <v>51</v>
      </c>
    </row>
    <row r="7" customFormat="false" ht="15" hidden="false" customHeight="false" outlineLevel="0" collapsed="false">
      <c r="A7" s="2" t="s">
        <v>49</v>
      </c>
      <c r="B7" s="2" t="n">
        <v>2030</v>
      </c>
      <c r="C7" s="2" t="n">
        <v>59.62</v>
      </c>
      <c r="D7" s="2" t="s">
        <v>51</v>
      </c>
    </row>
    <row r="8" customFormat="false" ht="15" hidden="false" customHeight="false" outlineLevel="0" collapsed="false">
      <c r="A8" s="2" t="s">
        <v>49</v>
      </c>
      <c r="B8" s="2" t="n">
        <v>2031</v>
      </c>
      <c r="C8" s="2" t="n">
        <v>60.52</v>
      </c>
      <c r="D8" s="2" t="s">
        <v>51</v>
      </c>
    </row>
    <row r="9" customFormat="false" ht="15" hidden="false" customHeight="false" outlineLevel="0" collapsed="false">
      <c r="A9" s="2" t="s">
        <v>52</v>
      </c>
      <c r="B9" s="2" t="n">
        <v>2025</v>
      </c>
      <c r="C9" s="2" t="n">
        <v>64.53</v>
      </c>
      <c r="D9" s="2" t="s">
        <v>51</v>
      </c>
    </row>
    <row r="10" customFormat="false" ht="15" hidden="false" customHeight="false" outlineLevel="0" collapsed="false">
      <c r="A10" s="2" t="s">
        <v>52</v>
      </c>
      <c r="B10" s="2" t="n">
        <v>2026</v>
      </c>
      <c r="C10" s="2" t="n">
        <v>66.13</v>
      </c>
      <c r="D10" s="2" t="s">
        <v>51</v>
      </c>
    </row>
    <row r="11" customFormat="false" ht="15" hidden="false" customHeight="false" outlineLevel="0" collapsed="false">
      <c r="A11" s="2" t="s">
        <v>52</v>
      </c>
      <c r="B11" s="2" t="n">
        <v>2027</v>
      </c>
      <c r="C11" s="2" t="n">
        <v>67.73</v>
      </c>
      <c r="D11" s="2" t="s">
        <v>51</v>
      </c>
    </row>
    <row r="12" customFormat="false" ht="15" hidden="false" customHeight="false" outlineLevel="0" collapsed="false">
      <c r="A12" s="2" t="s">
        <v>52</v>
      </c>
      <c r="B12" s="2" t="n">
        <v>2028</v>
      </c>
      <c r="C12" s="2" t="n">
        <v>69.33</v>
      </c>
      <c r="D12" s="2" t="s">
        <v>51</v>
      </c>
    </row>
    <row r="13" customFormat="false" ht="15" hidden="false" customHeight="false" outlineLevel="0" collapsed="false">
      <c r="A13" s="2" t="s">
        <v>52</v>
      </c>
      <c r="B13" s="2" t="n">
        <v>2029</v>
      </c>
      <c r="C13" s="2" t="n">
        <v>70.93</v>
      </c>
      <c r="D13" s="2" t="s">
        <v>51</v>
      </c>
    </row>
    <row r="14" customFormat="false" ht="15" hidden="false" customHeight="false" outlineLevel="0" collapsed="false">
      <c r="A14" s="2" t="s">
        <v>52</v>
      </c>
      <c r="B14" s="2" t="n">
        <v>2030</v>
      </c>
      <c r="C14" s="2" t="n">
        <v>72.53</v>
      </c>
      <c r="D14" s="2" t="s">
        <v>51</v>
      </c>
    </row>
    <row r="15" customFormat="false" ht="15" hidden="false" customHeight="false" outlineLevel="0" collapsed="false">
      <c r="A15" s="2" t="s">
        <v>52</v>
      </c>
      <c r="B15" s="2" t="n">
        <v>2031</v>
      </c>
      <c r="C15" s="2" t="n">
        <v>74.13</v>
      </c>
      <c r="D15" s="2" t="s">
        <v>51</v>
      </c>
    </row>
    <row r="16" customFormat="false" ht="15" hidden="false" customHeight="false" outlineLevel="0" collapsed="false">
      <c r="A16" s="2" t="s">
        <v>54</v>
      </c>
      <c r="B16" s="2" t="n">
        <v>2025</v>
      </c>
      <c r="C16" s="2" t="n">
        <v>81.84</v>
      </c>
      <c r="D16" s="2" t="s">
        <v>51</v>
      </c>
    </row>
    <row r="17" customFormat="false" ht="15" hidden="false" customHeight="false" outlineLevel="0" collapsed="false">
      <c r="A17" s="2" t="s">
        <v>54</v>
      </c>
      <c r="B17" s="2" t="n">
        <v>2026</v>
      </c>
      <c r="C17" s="2" t="n">
        <v>84.45</v>
      </c>
      <c r="D17" s="2" t="s">
        <v>51</v>
      </c>
    </row>
    <row r="18" customFormat="false" ht="15" hidden="false" customHeight="false" outlineLevel="0" collapsed="false">
      <c r="A18" s="2" t="s">
        <v>54</v>
      </c>
      <c r="B18" s="2" t="n">
        <v>2027</v>
      </c>
      <c r="C18" s="2" t="n">
        <v>87.06</v>
      </c>
      <c r="D18" s="2" t="s">
        <v>51</v>
      </c>
    </row>
    <row r="19" customFormat="false" ht="15" hidden="false" customHeight="false" outlineLevel="0" collapsed="false">
      <c r="A19" s="2" t="s">
        <v>54</v>
      </c>
      <c r="B19" s="2" t="n">
        <v>2028</v>
      </c>
      <c r="C19" s="2" t="n">
        <v>89.67</v>
      </c>
      <c r="D19" s="2" t="s">
        <v>51</v>
      </c>
    </row>
    <row r="20" customFormat="false" ht="15" hidden="false" customHeight="false" outlineLevel="0" collapsed="false">
      <c r="A20" s="2" t="s">
        <v>54</v>
      </c>
      <c r="B20" s="2" t="n">
        <v>2029</v>
      </c>
      <c r="C20" s="2" t="n">
        <v>92.27</v>
      </c>
      <c r="D20" s="2" t="s">
        <v>51</v>
      </c>
    </row>
    <row r="21" customFormat="false" ht="15" hidden="false" customHeight="false" outlineLevel="0" collapsed="false">
      <c r="A21" s="2" t="s">
        <v>54</v>
      </c>
      <c r="B21" s="2" t="n">
        <v>2030</v>
      </c>
      <c r="C21" s="2" t="n">
        <v>94.88</v>
      </c>
      <c r="D21" s="2" t="s">
        <v>51</v>
      </c>
    </row>
    <row r="22" customFormat="false" ht="15" hidden="false" customHeight="false" outlineLevel="0" collapsed="false">
      <c r="A22" s="2" t="s">
        <v>54</v>
      </c>
      <c r="B22" s="2" t="n">
        <v>2031</v>
      </c>
      <c r="C22" s="2" t="n">
        <v>97.49</v>
      </c>
      <c r="D22" s="2" t="s">
        <v>51</v>
      </c>
    </row>
    <row r="23" customFormat="false" ht="15" hidden="false" customHeight="false" outlineLevel="0" collapsed="false">
      <c r="A23" s="2" t="s">
        <v>53</v>
      </c>
      <c r="B23" s="2" t="n">
        <v>2025</v>
      </c>
      <c r="C23" s="2" t="n">
        <v>52.86</v>
      </c>
      <c r="D23" s="2" t="s">
        <v>51</v>
      </c>
    </row>
    <row r="24" customFormat="false" ht="15" hidden="false" customHeight="false" outlineLevel="0" collapsed="false">
      <c r="A24" s="2" t="s">
        <v>53</v>
      </c>
      <c r="B24" s="2" t="n">
        <v>2026</v>
      </c>
      <c r="C24" s="2" t="n">
        <v>53.65</v>
      </c>
      <c r="D24" s="2" t="s">
        <v>51</v>
      </c>
    </row>
    <row r="25" customFormat="false" ht="15" hidden="false" customHeight="false" outlineLevel="0" collapsed="false">
      <c r="A25" s="2" t="s">
        <v>53</v>
      </c>
      <c r="B25" s="2" t="n">
        <v>2027</v>
      </c>
      <c r="C25" s="2" t="n">
        <v>54.45</v>
      </c>
      <c r="D25" s="2" t="s">
        <v>51</v>
      </c>
    </row>
    <row r="26" customFormat="false" ht="15" hidden="false" customHeight="false" outlineLevel="0" collapsed="false">
      <c r="A26" s="2" t="s">
        <v>53</v>
      </c>
      <c r="B26" s="2" t="n">
        <v>2028</v>
      </c>
      <c r="C26" s="2" t="n">
        <v>55.24</v>
      </c>
      <c r="D26" s="2" t="s">
        <v>51</v>
      </c>
    </row>
    <row r="27" customFormat="false" ht="15" hidden="false" customHeight="false" outlineLevel="0" collapsed="false">
      <c r="A27" s="2" t="s">
        <v>53</v>
      </c>
      <c r="B27" s="2" t="n">
        <v>2029</v>
      </c>
      <c r="C27" s="2" t="n">
        <v>56.03</v>
      </c>
      <c r="D27" s="2" t="s">
        <v>51</v>
      </c>
    </row>
    <row r="28" customFormat="false" ht="15" hidden="false" customHeight="false" outlineLevel="0" collapsed="false">
      <c r="A28" s="2" t="s">
        <v>53</v>
      </c>
      <c r="B28" s="2" t="n">
        <v>2030</v>
      </c>
      <c r="C28" s="2" t="n">
        <v>56.83</v>
      </c>
      <c r="D28" s="2" t="s">
        <v>51</v>
      </c>
    </row>
    <row r="29" customFormat="false" ht="15" hidden="false" customHeight="false" outlineLevel="0" collapsed="false">
      <c r="A29" s="2" t="s">
        <v>53</v>
      </c>
      <c r="B29" s="2" t="n">
        <v>2031</v>
      </c>
      <c r="C29" s="2" t="n">
        <v>57.62</v>
      </c>
      <c r="D29" s="2" t="s">
        <v>51</v>
      </c>
    </row>
    <row r="30" customFormat="false" ht="15" hidden="false" customHeight="false" outlineLevel="0" collapsed="false">
      <c r="A30" s="2" t="s">
        <v>55</v>
      </c>
      <c r="B30" s="2" t="n">
        <v>2025</v>
      </c>
      <c r="C30" s="2" t="n">
        <v>58.19</v>
      </c>
      <c r="D30" s="2" t="s">
        <v>51</v>
      </c>
    </row>
    <row r="31" customFormat="false" ht="15" hidden="false" customHeight="false" outlineLevel="0" collapsed="false">
      <c r="A31" s="2" t="s">
        <v>55</v>
      </c>
      <c r="B31" s="2" t="n">
        <v>2026</v>
      </c>
      <c r="C31" s="2" t="n">
        <v>59.74</v>
      </c>
      <c r="D31" s="2" t="s">
        <v>51</v>
      </c>
    </row>
    <row r="32" customFormat="false" ht="15" hidden="false" customHeight="false" outlineLevel="0" collapsed="false">
      <c r="A32" s="2" t="s">
        <v>55</v>
      </c>
      <c r="B32" s="2" t="n">
        <v>2027</v>
      </c>
      <c r="C32" s="2" t="n">
        <v>61.3</v>
      </c>
      <c r="D32" s="2" t="s">
        <v>51</v>
      </c>
    </row>
    <row r="33" customFormat="false" ht="15" hidden="false" customHeight="false" outlineLevel="0" collapsed="false">
      <c r="A33" s="2" t="s">
        <v>55</v>
      </c>
      <c r="B33" s="2" t="n">
        <v>2028</v>
      </c>
      <c r="C33" s="2" t="n">
        <v>62.86</v>
      </c>
      <c r="D33" s="2" t="s">
        <v>51</v>
      </c>
    </row>
    <row r="34" customFormat="false" ht="15" hidden="false" customHeight="false" outlineLevel="0" collapsed="false">
      <c r="A34" s="2" t="s">
        <v>55</v>
      </c>
      <c r="B34" s="2" t="n">
        <v>2029</v>
      </c>
      <c r="C34" s="2" t="n">
        <v>64.42</v>
      </c>
      <c r="D34" s="2" t="s">
        <v>51</v>
      </c>
    </row>
    <row r="35" customFormat="false" ht="15" hidden="false" customHeight="false" outlineLevel="0" collapsed="false">
      <c r="A35" s="2" t="s">
        <v>55</v>
      </c>
      <c r="B35" s="2" t="n">
        <v>2030</v>
      </c>
      <c r="C35" s="2" t="n">
        <v>65.98</v>
      </c>
      <c r="D35" s="2" t="s">
        <v>51</v>
      </c>
    </row>
    <row r="36" customFormat="false" ht="15" hidden="false" customHeight="false" outlineLevel="0" collapsed="false">
      <c r="A36" s="2" t="s">
        <v>55</v>
      </c>
      <c r="B36" s="2" t="n">
        <v>2031</v>
      </c>
      <c r="C36" s="2" t="n">
        <v>67.53</v>
      </c>
      <c r="D36" s="2" t="s">
        <v>51</v>
      </c>
    </row>
    <row r="37" customFormat="false" ht="15" hidden="false" customHeight="false" outlineLevel="0" collapsed="false">
      <c r="A37" s="2" t="s">
        <v>56</v>
      </c>
      <c r="B37" s="2" t="n">
        <v>2025</v>
      </c>
      <c r="C37" s="2" t="n">
        <v>75.59</v>
      </c>
      <c r="D37" s="2" t="s">
        <v>51</v>
      </c>
    </row>
    <row r="38" customFormat="false" ht="15" hidden="false" customHeight="false" outlineLevel="0" collapsed="false">
      <c r="A38" s="2" t="s">
        <v>56</v>
      </c>
      <c r="B38" s="2" t="n">
        <v>2026</v>
      </c>
      <c r="C38" s="2" t="n">
        <v>78.01</v>
      </c>
      <c r="D38" s="2" t="s">
        <v>51</v>
      </c>
    </row>
    <row r="39" customFormat="false" ht="15" hidden="false" customHeight="false" outlineLevel="0" collapsed="false">
      <c r="A39" s="2" t="s">
        <v>56</v>
      </c>
      <c r="B39" s="2" t="n">
        <v>2027</v>
      </c>
      <c r="C39" s="2" t="n">
        <v>80.42</v>
      </c>
      <c r="D39" s="2" t="s">
        <v>51</v>
      </c>
    </row>
    <row r="40" customFormat="false" ht="15" hidden="false" customHeight="false" outlineLevel="0" collapsed="false">
      <c r="A40" s="2" t="s">
        <v>56</v>
      </c>
      <c r="B40" s="2" t="n">
        <v>2028</v>
      </c>
      <c r="C40" s="2" t="n">
        <v>82.83</v>
      </c>
      <c r="D40" s="2" t="s">
        <v>51</v>
      </c>
    </row>
    <row r="41" customFormat="false" ht="15" hidden="false" customHeight="false" outlineLevel="0" collapsed="false">
      <c r="A41" s="2" t="s">
        <v>56</v>
      </c>
      <c r="B41" s="2" t="n">
        <v>2029</v>
      </c>
      <c r="C41" s="2" t="n">
        <v>85.24</v>
      </c>
      <c r="D41" s="2" t="s">
        <v>51</v>
      </c>
    </row>
    <row r="42" customFormat="false" ht="15" hidden="false" customHeight="false" outlineLevel="0" collapsed="false">
      <c r="A42" s="2" t="s">
        <v>56</v>
      </c>
      <c r="B42" s="2" t="n">
        <v>2030</v>
      </c>
      <c r="C42" s="2" t="n">
        <v>87.66</v>
      </c>
      <c r="D42" s="2" t="s">
        <v>51</v>
      </c>
    </row>
    <row r="43" customFormat="false" ht="15" hidden="false" customHeight="false" outlineLevel="0" collapsed="false">
      <c r="A43" s="2" t="s">
        <v>56</v>
      </c>
      <c r="B43" s="2" t="n">
        <v>2031</v>
      </c>
      <c r="C43" s="2" t="n">
        <v>90.07</v>
      </c>
      <c r="D43" s="2" t="s">
        <v>51</v>
      </c>
    </row>
  </sheetData>
  <autoFilter ref="A1:D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7" t="s">
        <v>217</v>
      </c>
    </row>
    <row r="2" customFormat="false" ht="15" hidden="false" customHeight="false" outlineLevel="0" collapsed="false">
      <c r="A2" s="2" t="s">
        <v>218</v>
      </c>
    </row>
    <row r="3" customFormat="false" ht="15" hidden="false" customHeight="false" outlineLevel="0" collapsed="false">
      <c r="A3" s="2" t="s">
        <v>219</v>
      </c>
    </row>
    <row r="4" customFormat="false" ht="15" hidden="false" customHeight="false" outlineLevel="0" collapsed="false">
      <c r="A4" s="2" t="s">
        <v>220</v>
      </c>
    </row>
    <row r="5" customFormat="false" ht="15" hidden="false" customHeight="false" outlineLevel="0" collapsed="false">
      <c r="A5" s="2" t="s">
        <v>221</v>
      </c>
    </row>
    <row r="6" customFormat="false" ht="15" hidden="false" customHeight="false" outlineLevel="0" collapsed="false">
      <c r="A6" s="2" t="s">
        <v>222</v>
      </c>
    </row>
    <row r="7" customFormat="false" ht="15" hidden="false" customHeight="false" outlineLevel="0" collapsed="false">
      <c r="A7" s="2" t="s">
        <v>223</v>
      </c>
    </row>
    <row r="8" customFormat="false" ht="15" hidden="false" customHeight="false" outlineLevel="0" collapsed="false">
      <c r="A8" s="2" t="s">
        <v>224</v>
      </c>
    </row>
    <row r="9" customFormat="false" ht="15" hidden="false" customHeight="false" outlineLevel="0" collapsed="false">
      <c r="A9" s="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2026-10-08T20:23:12Z</dcterms:created>
  <dc:creator>openpyxl</dc:creator>
  <dc:description/>
  <dc:language>en-US</dc:language>
  <cp:lastModifiedBy/>
  <dcterms:modified xsi:type="dcterms:W3CDTF">2026-10-08T20:23:14Z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
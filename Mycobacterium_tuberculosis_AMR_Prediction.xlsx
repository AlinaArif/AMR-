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Preprocessing" sheetId="3" state="visible" r:id="rId5"/>
    <sheet name="Model_Performance" sheetId="4" state="visible" r:id="rId6"/>
    <sheet name="Predictions" sheetId="5" state="visible" r:id="rId7"/>
    <sheet name="Forecast" sheetId="6" state="visible" r:id="rId8"/>
    <sheet name="Forecast_Wide" sheetId="7" state="visible" r:id="rId9"/>
    <sheet name="Unclassified_Review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<sst xmlns="http://schemas.openxmlformats.org/spreadsheetml/2006/main" count="1465" uniqueCount="146">
  <si>
    <t xml:space="preserve">Item</t>
  </si>
  <si>
    <t xml:space="preserve">Detail</t>
  </si>
  <si>
    <t xml:space="preserve">Organism (label in source file)</t>
  </si>
  <si>
    <t xml:space="preserve">Mycobacterium tuberculosis</t>
  </si>
  <si>
    <t xml:space="preserve">Source file</t>
  </si>
  <si>
    <t xml:space="preserve">AMR_Forecast_Ecoli_MTB.xlsx (split by the 'species' column; values copied unchanged)</t>
  </si>
  <si>
    <t xml:space="preserve">Sheets</t>
  </si>
  <si>
    <t xml:space="preserve">Raw_Data (annual resistance counts) | Preprocessing (run settings) | Model_Performance (per-antibiotic fit statistics + back-test summary) | Predictions (hold-out actual vs predicted) | Forecast (long) | Forecast_Wide | Unclassified_Review | Summary</t>
  </si>
  <si>
    <t xml:space="preserve">Data level</t>
  </si>
  <si>
    <t xml:space="preserve">Source holds ANNUAL AGGREGATES per antibiotic (n_isolates, n_resistant, rate). No isolate-level rows, MIC values, geography, features or train/test records exist in the source.</t>
  </si>
  <si>
    <t xml:space="preserve">Not created (not in source)</t>
  </si>
  <si>
    <t xml:space="preserve">Cleaned_Data, Features, Train_Data, Test_Data, accuracy/precision/recall/F1/ROC-AUC, confusion matrix, cross-validation, MIC, geography, Intermediate category.</t>
  </si>
  <si>
    <t xml:space="preserve">Missing-value rule</t>
  </si>
  <si>
    <t xml:space="preserve">Blank = absent in source (back-test metrics exist only for antibiotics with hold-out data). Nothing imputed or recoded.</t>
  </si>
  <si>
    <t xml:space="preserve">Forecast method</t>
  </si>
  <si>
    <t xml:space="preserve">Weighted least squares (rate ~ year); weights = n_isolates; CI: 95% CI of mean response, clipped to [0,100]</t>
  </si>
  <si>
    <t xml:space="preserve">species</t>
  </si>
  <si>
    <t xml:space="preserve">antibiotic</t>
  </si>
  <si>
    <t xml:space="preserve">year</t>
  </si>
  <si>
    <t xml:space="preserve">n_isolates</t>
  </si>
  <si>
    <t xml:space="preserve">n_resistant</t>
  </si>
  <si>
    <t xml:space="preserve">resistance_rate_pct</t>
  </si>
  <si>
    <t xml:space="preserve">Amikacin</t>
  </si>
  <si>
    <t xml:space="preserve">Amoxicillin</t>
  </si>
  <si>
    <t xml:space="preserve">Bedaquiline</t>
  </si>
  <si>
    <t xml:space="preserve">Capreomycin</t>
  </si>
  <si>
    <t xml:space="preserve">Ciprofloxacin</t>
  </si>
  <si>
    <t xml:space="preserve">Clofazimine</t>
  </si>
  <si>
    <t xml:space="preserve">Cycloserine</t>
  </si>
  <si>
    <t xml:space="preserve">Delamanid</t>
  </si>
  <si>
    <t xml:space="preserve">Ethambutol</t>
  </si>
  <si>
    <t xml:space="preserve">Ethionamide</t>
  </si>
  <si>
    <t xml:space="preserve">Isoniazid</t>
  </si>
  <si>
    <t xml:space="preserve">Kanamycin</t>
  </si>
  <si>
    <t xml:space="preserve">Levofloxacin</t>
  </si>
  <si>
    <t xml:space="preserve">Linezolid</t>
  </si>
  <si>
    <t xml:space="preserve">Moxifloxacin</t>
  </si>
  <si>
    <t xml:space="preserve">Nicotinamide</t>
  </si>
  <si>
    <t xml:space="preserve">Ofloxacin</t>
  </si>
  <si>
    <t xml:space="preserve">Para-Aminosalicylic Acid</t>
  </si>
  <si>
    <t xml:space="preserve">Prothionamide</t>
  </si>
  <si>
    <t xml:space="preserve">Pyrazinamide</t>
  </si>
  <si>
    <t xml:space="preserve">Rifabutin</t>
  </si>
  <si>
    <t xml:space="preserve">Rifampicin</t>
  </si>
  <si>
    <t xml:space="preserve">Streptomycin</t>
  </si>
  <si>
    <t xml:space="preserve">parameter</t>
  </si>
  <si>
    <t xml:space="preserve">value</t>
  </si>
  <si>
    <t xml:space="preserve">run_timestamp</t>
  </si>
  <si>
    <t xml:space="preserve">2026-10-07T21:08:43</t>
  </si>
  <si>
    <t xml:space="preserve">genome_file</t>
  </si>
  <si>
    <t xml:space="preserve">BVBRC_genome.csv</t>
  </si>
  <si>
    <t xml:space="preserve">amr_files_pattern</t>
  </si>
  <si>
    <t xml:space="preserve">BVBRC_genome_amr*.csv</t>
  </si>
  <si>
    <t xml:space="preserve">data_min_year</t>
  </si>
  <si>
    <t xml:space="preserve">1991</t>
  </si>
  <si>
    <t xml:space="preserve">data_max_year</t>
  </si>
  <si>
    <t xml:space="preserve">2024</t>
  </si>
  <si>
    <t xml:space="preserve">training_window</t>
  </si>
  <si>
    <t xml:space="preserve">1991-2021</t>
  </si>
  <si>
    <t xml:space="preserve">holdout_window</t>
  </si>
  <si>
    <t xml:space="preserve">2022-2024</t>
  </si>
  <si>
    <t xml:space="preserve">holdout_years</t>
  </si>
  <si>
    <t xml:space="preserve">3</t>
  </si>
  <si>
    <t xml:space="preserve">forecast_window</t>
  </si>
  <si>
    <t xml:space="preserve">2025-2031</t>
  </si>
  <si>
    <t xml:space="preserve">model</t>
  </si>
  <si>
    <t xml:space="preserve">Weighted least squares (rate ~ year)</t>
  </si>
  <si>
    <t xml:space="preserve">weights</t>
  </si>
  <si>
    <t xml:space="preserve">ci_method</t>
  </si>
  <si>
    <t xml:space="preserve">95% CI of mean response, clipped to [0,100]</t>
  </si>
  <si>
    <t xml:space="preserve">trend_p_threshold</t>
  </si>
  <si>
    <t xml:space="preserve">0.05</t>
  </si>
  <si>
    <t xml:space="preserve">min_years_to_fit</t>
  </si>
  <si>
    <t xml:space="preserve">4</t>
  </si>
  <si>
    <t xml:space="preserve">intermediate_handling</t>
  </si>
  <si>
    <t xml:space="preserve">dropped</t>
  </si>
  <si>
    <t xml:space="preserve">python_version</t>
  </si>
  <si>
    <t xml:space="preserve">3.14.7</t>
  </si>
  <si>
    <t xml:space="preserve">intermediate_handling (note)</t>
  </si>
  <si>
    <t xml:space="preserve">Intermediate phenotypes were dropped upstream (not recoded as Resistant or Susceptible)</t>
  </si>
  <si>
    <t xml:space="preserve">Pipeline-wide counts (rows cleaned, pairs modeled) and 'species' list</t>
  </si>
  <si>
    <t xml:space="preserve">Run_Info lists two target species; pooled counts are not separable by organism and are omitted here. All rows in this source file belong to the single organism in this workbook.</t>
  </si>
  <si>
    <t xml:space="preserve">slope_pp_per_year</t>
  </si>
  <si>
    <t xml:space="preserve">slope_p_value</t>
  </si>
  <si>
    <t xml:space="preserve">trend_direction</t>
  </si>
  <si>
    <t xml:space="preserve">r2_weighted</t>
  </si>
  <si>
    <t xml:space="preserve">n_years_fit</t>
  </si>
  <si>
    <t xml:space="preserve">n_isolates_fit</t>
  </si>
  <si>
    <t xml:space="preserve">last_fit_year</t>
  </si>
  <si>
    <t xml:space="preserve">last_fit_rate_pct</t>
  </si>
  <si>
    <t xml:space="preserve">intercept</t>
  </si>
  <si>
    <t xml:space="preserve">slope_std_err</t>
  </si>
  <si>
    <t xml:space="preserve">residual_std_err</t>
  </si>
  <si>
    <t xml:space="preserve">df_resid</t>
  </si>
  <si>
    <t xml:space="preserve">backtest_mae_pp</t>
  </si>
  <si>
    <t xml:space="preserve">backtest_rmse_pp</t>
  </si>
  <si>
    <t xml:space="preserve">backtest_wmae_pp</t>
  </si>
  <si>
    <t xml:space="preserve">backtest_ci_coverage</t>
  </si>
  <si>
    <t xml:space="preserve">n_backtest_points</t>
  </si>
  <si>
    <t xml:space="preserve">decreasing</t>
  </si>
  <si>
    <t xml:space="preserve">stable</t>
  </si>
  <si>
    <t xml:space="preserve">increasing</t>
  </si>
  <si>
    <t xml:space="preserve">Back-test metrics exist only where hold-out data existed (blank otherwise). Accuracy / precision / recall / F1 / ROC-AUC / confusion matrix / CV: Not available in source file</t>
  </si>
  <si>
    <t xml:space="preserve">actual_rate_pct</t>
  </si>
  <si>
    <t xml:space="preserve">predicted_rate_pct</t>
  </si>
  <si>
    <t xml:space="preserve">ci95_lower_pct</t>
  </si>
  <si>
    <t xml:space="preserve">ci95_upper_pct</t>
  </si>
  <si>
    <t xml:space="preserve">abs_error_pp</t>
  </si>
  <si>
    <t xml:space="preserve">within_ci95</t>
  </si>
  <si>
    <t xml:space="preserve">train_end_year</t>
  </si>
  <si>
    <t xml:space="preserve">years_ahead</t>
  </si>
  <si>
    <t xml:space="preserve">forecast_resistance_pct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</si>
  <si>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</si>
  <si>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</si>
  <si>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</si>
  <si>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</si>
  <si>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</si>
  <si>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</si>
  <si>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</si>
  <si>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item</t>
  </si>
  <si>
    <t xml:space="preserve">Rows not assignable to any organism (whole source file)</t>
  </si>
  <si>
    <t xml:space="preserve">Note</t>
  </si>
  <si>
    <t xml:space="preserve">Zero ambiguous rows: every source row carries a single species label.</t>
  </si>
  <si>
    <t xml:space="preserve">Metric</t>
  </si>
  <si>
    <t xml:space="preserve">Value</t>
  </si>
  <si>
    <t xml:space="preserve">Organism</t>
  </si>
  <si>
    <t xml:space="preserve">Raw_Data rows</t>
  </si>
  <si>
    <t xml:space="preserve">Forecast rows (long)</t>
  </si>
  <si>
    <t xml:space="preserve">Antibiotics forecast (rows in Forecast_Wide)</t>
  </si>
  <si>
    <t xml:space="preserve">Back-test rows (Predictions)</t>
  </si>
  <si>
    <t xml:space="preserve">Back-test rows inside 95% CI</t>
  </si>
  <si>
    <t xml:space="preserve">Antibiotics in Raw_Data (count)</t>
  </si>
  <si>
    <t xml:space="preserve">Antibiotics in Raw_Data</t>
  </si>
  <si>
    <t xml:space="preserve">Amikacin, Amoxicillin, Bedaquiline, Capreomycin, Ciprofloxacin, Clofazimine, Cycloserine, Delamanid, Ethambutol, Ethionamide, Isoniazid, Kanamycin, Levofloxacin, Linezolid, Moxifloxacin, Nicotinamide, Ofloxacin, Para-Aminosalicylic Acid, Prothionamide, Pyrazinamide, Rifabutin, Rifampicin, Streptomycin</t>
  </si>
  <si>
    <t xml:space="preserve">Antibiotics forecast (count)</t>
  </si>
  <si>
    <t xml:space="preserve">Antibiotics forecast</t>
  </si>
  <si>
    <t xml:space="preserve">Amikacin, Amoxicillin, Capreomycin, Ciprofloxacin, Clofazimine, Cycloserine, Ethambutol, Ethionamide, Isoniazid, Kanamycin, Moxifloxacin, Nicotinamide, Ofloxacin, Para-Aminosalicylic Acid, Prothionamide, Pyrazinamide, Rifabutin, Rifampicin, Streptomycin</t>
  </si>
  <si>
    <t xml:space="preserve">Antibiotics in Raw_Data but not forecast</t>
  </si>
  <si>
    <t xml:space="preserve">Bedaquiline, Delamanid, Levofloxacin, Linezolid</t>
  </si>
  <si>
    <t xml:space="preserve">Year range in Raw_Data</t>
  </si>
  <si>
    <t xml:space="preserve">1991-2024</t>
  </si>
  <si>
    <t xml:space="preserve">Sum of annual n_isolates (one count per antibiotic tested)</t>
  </si>
  <si>
    <t xml:space="preserve">Antibiotics with significant increasing trend</t>
  </si>
  <si>
    <t xml:space="preserve">Cycloserine, Ethambutol, Moxifloxacin, Nicotinamide, Ofloxacin</t>
  </si>
  <si>
    <t xml:space="preserve">Antibiotics with significant decreasing trend</t>
  </si>
  <si>
    <t xml:space="preserve">Mean back-test MAE (pp), antibiotics with hold-out 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</si>
</sst>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39.55" hidden="false" customHeight="false" outlineLevel="0" collapsed="false">
      <c r="A4" s="1" t="s">
        <v>6</v>
      </c>
      <c r="B4" s="2" t="s">
        <v>7</v>
      </c>
    </row>
    <row r="5" customFormat="false" ht="26.85" hidden="false" customHeight="false" outlineLevel="0" collapsed="false">
      <c r="A5" s="1" t="s">
        <v>8</v>
      </c>
      <c r="B5" s="2" t="s">
        <v>9</v>
      </c>
    </row>
    <row r="6" customFormat="false" ht="26.8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15" hidden="false" customHeight="false" outlineLevel="0" collapsed="false">
      <c r="A8" s="1" t="s">
        <v>14</v>
      </c>
      <c r="B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customFormat="false" ht="15" hidden="false" customHeight="false" outlineLevel="0" collapsed="false">
      <c r="A2" s="4" t="s">
        <v>3</v>
      </c>
      <c r="B2" s="4" t="s">
        <v>22</v>
      </c>
      <c r="C2" s="4" t="n">
        <v>1991</v>
      </c>
      <c r="D2" s="4" t="n">
        <v>1</v>
      </c>
      <c r="E2" s="4" t="n">
        <v>1</v>
      </c>
      <c r="F2" s="4" t="n">
        <v>100</v>
      </c>
    </row>
    <row r="3" customFormat="false" ht="15" hidden="false" customHeight="false" outlineLevel="0" collapsed="false">
      <c r="A3" s="4" t="s">
        <v>3</v>
      </c>
      <c r="B3" s="4" t="s">
        <v>22</v>
      </c>
      <c r="C3" s="4" t="n">
        <v>1993</v>
      </c>
      <c r="D3" s="4" t="n">
        <v>1</v>
      </c>
      <c r="E3" s="4" t="n">
        <v>0</v>
      </c>
      <c r="F3" s="4" t="n">
        <v>0</v>
      </c>
    </row>
    <row r="4" customFormat="false" ht="15" hidden="false" customHeight="false" outlineLevel="0" collapsed="false">
      <c r="A4" s="4" t="s">
        <v>3</v>
      </c>
      <c r="B4" s="4" t="s">
        <v>22</v>
      </c>
      <c r="C4" s="4" t="n">
        <v>1995</v>
      </c>
      <c r="D4" s="4" t="n">
        <v>1</v>
      </c>
      <c r="E4" s="4" t="n">
        <v>0</v>
      </c>
      <c r="F4" s="4" t="n">
        <v>0</v>
      </c>
    </row>
    <row r="5" customFormat="false" ht="15" hidden="false" customHeight="false" outlineLevel="0" collapsed="false">
      <c r="A5" s="4" t="s">
        <v>3</v>
      </c>
      <c r="B5" s="4" t="s">
        <v>22</v>
      </c>
      <c r="C5" s="4" t="n">
        <v>1996</v>
      </c>
      <c r="D5" s="4" t="n">
        <v>1</v>
      </c>
      <c r="E5" s="4" t="n">
        <v>0</v>
      </c>
      <c r="F5" s="4" t="n">
        <v>0</v>
      </c>
    </row>
    <row r="6" customFormat="false" ht="15" hidden="false" customHeight="false" outlineLevel="0" collapsed="false">
      <c r="A6" s="4" t="s">
        <v>3</v>
      </c>
      <c r="B6" s="4" t="s">
        <v>22</v>
      </c>
      <c r="C6" s="4" t="n">
        <v>1998</v>
      </c>
      <c r="D6" s="4" t="n">
        <v>6</v>
      </c>
      <c r="E6" s="4" t="n">
        <v>0</v>
      </c>
      <c r="F6" s="4" t="n">
        <v>0</v>
      </c>
    </row>
    <row r="7" customFormat="false" ht="15" hidden="false" customHeight="false" outlineLevel="0" collapsed="false">
      <c r="A7" s="4" t="s">
        <v>3</v>
      </c>
      <c r="B7" s="4" t="s">
        <v>22</v>
      </c>
      <c r="C7" s="4" t="n">
        <v>1999</v>
      </c>
      <c r="D7" s="4" t="n">
        <v>2</v>
      </c>
      <c r="E7" s="4" t="n">
        <v>0</v>
      </c>
      <c r="F7" s="4" t="n">
        <v>0</v>
      </c>
    </row>
    <row r="8" customFormat="false" ht="15" hidden="false" customHeight="false" outlineLevel="0" collapsed="false">
      <c r="A8" s="4" t="s">
        <v>3</v>
      </c>
      <c r="B8" s="4" t="s">
        <v>22</v>
      </c>
      <c r="C8" s="4" t="n">
        <v>2001</v>
      </c>
      <c r="D8" s="4" t="n">
        <v>2</v>
      </c>
      <c r="E8" s="4" t="n">
        <v>1</v>
      </c>
      <c r="F8" s="4" t="n">
        <v>50</v>
      </c>
    </row>
    <row r="9" customFormat="false" ht="15" hidden="false" customHeight="false" outlineLevel="0" collapsed="false">
      <c r="A9" s="4" t="s">
        <v>3</v>
      </c>
      <c r="B9" s="4" t="s">
        <v>22</v>
      </c>
      <c r="C9" s="4" t="n">
        <v>2002</v>
      </c>
      <c r="D9" s="4" t="n">
        <v>6</v>
      </c>
      <c r="E9" s="4" t="n">
        <v>0</v>
      </c>
      <c r="F9" s="4" t="n">
        <v>0</v>
      </c>
    </row>
    <row r="10" customFormat="false" ht="15" hidden="false" customHeight="false" outlineLevel="0" collapsed="false">
      <c r="A10" s="4" t="s">
        <v>3</v>
      </c>
      <c r="B10" s="4" t="s">
        <v>22</v>
      </c>
      <c r="C10" s="4" t="n">
        <v>2003</v>
      </c>
      <c r="D10" s="4" t="n">
        <v>78</v>
      </c>
      <c r="E10" s="4" t="n">
        <v>13</v>
      </c>
      <c r="F10" s="4" t="n">
        <v>16.6666666666667</v>
      </c>
    </row>
    <row r="11" customFormat="false" ht="15" hidden="false" customHeight="false" outlineLevel="0" collapsed="false">
      <c r="A11" s="4" t="s">
        <v>3</v>
      </c>
      <c r="B11" s="4" t="s">
        <v>22</v>
      </c>
      <c r="C11" s="4" t="n">
        <v>2004</v>
      </c>
      <c r="D11" s="4" t="n">
        <v>108</v>
      </c>
      <c r="E11" s="4" t="n">
        <v>24</v>
      </c>
      <c r="F11" s="4" t="n">
        <v>22.2222222222222</v>
      </c>
    </row>
    <row r="12" customFormat="false" ht="15" hidden="false" customHeight="false" outlineLevel="0" collapsed="false">
      <c r="A12" s="4" t="s">
        <v>3</v>
      </c>
      <c r="B12" s="4" t="s">
        <v>22</v>
      </c>
      <c r="C12" s="4" t="n">
        <v>2005</v>
      </c>
      <c r="D12" s="4" t="n">
        <v>179</v>
      </c>
      <c r="E12" s="4" t="n">
        <v>56</v>
      </c>
      <c r="F12" s="4" t="n">
        <v>31.2849162011173</v>
      </c>
    </row>
    <row r="13" customFormat="false" ht="15" hidden="false" customHeight="false" outlineLevel="0" collapsed="false">
      <c r="A13" s="4" t="s">
        <v>3</v>
      </c>
      <c r="B13" s="4" t="s">
        <v>22</v>
      </c>
      <c r="C13" s="4" t="n">
        <v>2006</v>
      </c>
      <c r="D13" s="4" t="n">
        <v>67</v>
      </c>
      <c r="E13" s="4" t="n">
        <v>8</v>
      </c>
      <c r="F13" s="4" t="n">
        <v>11.9402985074627</v>
      </c>
    </row>
    <row r="14" customFormat="false" ht="15" hidden="false" customHeight="false" outlineLevel="0" collapsed="false">
      <c r="A14" s="4" t="s">
        <v>3</v>
      </c>
      <c r="B14" s="4" t="s">
        <v>22</v>
      </c>
      <c r="C14" s="4" t="n">
        <v>2007</v>
      </c>
      <c r="D14" s="4" t="n">
        <v>32</v>
      </c>
      <c r="E14" s="4" t="n">
        <v>10</v>
      </c>
      <c r="F14" s="4" t="n">
        <v>31.25</v>
      </c>
    </row>
    <row r="15" customFormat="false" ht="15" hidden="false" customHeight="false" outlineLevel="0" collapsed="false">
      <c r="A15" s="4" t="s">
        <v>3</v>
      </c>
      <c r="B15" s="4" t="s">
        <v>22</v>
      </c>
      <c r="C15" s="4" t="n">
        <v>2008</v>
      </c>
      <c r="D15" s="4" t="n">
        <v>594</v>
      </c>
      <c r="E15" s="4" t="n">
        <v>89</v>
      </c>
      <c r="F15" s="4" t="n">
        <v>14.983164983165</v>
      </c>
    </row>
    <row r="16" customFormat="false" ht="15" hidden="false" customHeight="false" outlineLevel="0" collapsed="false">
      <c r="A16" s="4" t="s">
        <v>3</v>
      </c>
      <c r="B16" s="4" t="s">
        <v>22</v>
      </c>
      <c r="C16" s="4" t="n">
        <v>2009</v>
      </c>
      <c r="D16" s="4" t="n">
        <v>288</v>
      </c>
      <c r="E16" s="4" t="n">
        <v>44</v>
      </c>
      <c r="F16" s="4" t="n">
        <v>15.2777777777778</v>
      </c>
    </row>
    <row r="17" customFormat="false" ht="15" hidden="false" customHeight="false" outlineLevel="0" collapsed="false">
      <c r="A17" s="4" t="s">
        <v>3</v>
      </c>
      <c r="B17" s="4" t="s">
        <v>22</v>
      </c>
      <c r="C17" s="4" t="n">
        <v>2010</v>
      </c>
      <c r="D17" s="4" t="n">
        <v>149</v>
      </c>
      <c r="E17" s="4" t="n">
        <v>30</v>
      </c>
      <c r="F17" s="4" t="n">
        <v>20.1342281879195</v>
      </c>
    </row>
    <row r="18" customFormat="false" ht="15" hidden="false" customHeight="false" outlineLevel="0" collapsed="false">
      <c r="A18" s="4" t="s">
        <v>3</v>
      </c>
      <c r="B18" s="4" t="s">
        <v>22</v>
      </c>
      <c r="C18" s="4" t="n">
        <v>2011</v>
      </c>
      <c r="D18" s="4" t="n">
        <v>62</v>
      </c>
      <c r="E18" s="4" t="n">
        <v>11</v>
      </c>
      <c r="F18" s="4" t="n">
        <v>17.741935483871</v>
      </c>
    </row>
    <row r="19" customFormat="false" ht="15" hidden="false" customHeight="false" outlineLevel="0" collapsed="false">
      <c r="A19" s="4" t="s">
        <v>3</v>
      </c>
      <c r="B19" s="4" t="s">
        <v>22</v>
      </c>
      <c r="C19" s="4" t="n">
        <v>2012</v>
      </c>
      <c r="D19" s="4" t="n">
        <v>289</v>
      </c>
      <c r="E19" s="4" t="n">
        <v>54</v>
      </c>
      <c r="F19" s="4" t="n">
        <v>18.6851211072664</v>
      </c>
    </row>
    <row r="20" customFormat="false" ht="15" hidden="false" customHeight="false" outlineLevel="0" collapsed="false">
      <c r="A20" s="4" t="s">
        <v>3</v>
      </c>
      <c r="B20" s="4" t="s">
        <v>22</v>
      </c>
      <c r="C20" s="4" t="n">
        <v>2013</v>
      </c>
      <c r="D20" s="4" t="n">
        <v>69</v>
      </c>
      <c r="E20" s="4" t="n">
        <v>34</v>
      </c>
      <c r="F20" s="4" t="n">
        <v>49.2753623188406</v>
      </c>
    </row>
    <row r="21" customFormat="false" ht="15" hidden="false" customHeight="false" outlineLevel="0" collapsed="false">
      <c r="A21" s="4" t="s">
        <v>3</v>
      </c>
      <c r="B21" s="4" t="s">
        <v>22</v>
      </c>
      <c r="C21" s="4" t="n">
        <v>2014</v>
      </c>
      <c r="D21" s="4" t="n">
        <v>6</v>
      </c>
      <c r="E21" s="4" t="n">
        <v>2</v>
      </c>
      <c r="F21" s="4" t="n">
        <v>33.3333333333333</v>
      </c>
    </row>
    <row r="22" customFormat="false" ht="15" hidden="false" customHeight="false" outlineLevel="0" collapsed="false">
      <c r="A22" s="4" t="s">
        <v>3</v>
      </c>
      <c r="B22" s="4" t="s">
        <v>22</v>
      </c>
      <c r="C22" s="4" t="n">
        <v>2016</v>
      </c>
      <c r="D22" s="4" t="n">
        <v>12</v>
      </c>
      <c r="E22" s="4" t="n">
        <v>3</v>
      </c>
      <c r="F22" s="4" t="n">
        <v>25</v>
      </c>
    </row>
    <row r="23" customFormat="false" ht="15" hidden="false" customHeight="false" outlineLevel="0" collapsed="false">
      <c r="A23" s="4" t="s">
        <v>3</v>
      </c>
      <c r="B23" s="4" t="s">
        <v>22</v>
      </c>
      <c r="C23" s="4" t="n">
        <v>2017</v>
      </c>
      <c r="D23" s="4" t="n">
        <v>1221</v>
      </c>
      <c r="E23" s="4" t="n">
        <v>100</v>
      </c>
      <c r="F23" s="4" t="n">
        <v>8.19000819000819</v>
      </c>
    </row>
    <row r="24" customFormat="false" ht="15" hidden="false" customHeight="false" outlineLevel="0" collapsed="false">
      <c r="A24" s="4" t="s">
        <v>3</v>
      </c>
      <c r="B24" s="4" t="s">
        <v>22</v>
      </c>
      <c r="C24" s="4" t="n">
        <v>2018</v>
      </c>
      <c r="D24" s="4" t="n">
        <v>845</v>
      </c>
      <c r="E24" s="4" t="n">
        <v>44</v>
      </c>
      <c r="F24" s="4" t="n">
        <v>5.20710059171598</v>
      </c>
    </row>
    <row r="25" customFormat="false" ht="15" hidden="false" customHeight="false" outlineLevel="0" collapsed="false">
      <c r="A25" s="4" t="s">
        <v>3</v>
      </c>
      <c r="B25" s="4" t="s">
        <v>22</v>
      </c>
      <c r="C25" s="4" t="n">
        <v>2019</v>
      </c>
      <c r="D25" s="4" t="n">
        <v>2</v>
      </c>
      <c r="E25" s="4" t="n">
        <v>1</v>
      </c>
      <c r="F25" s="4" t="n">
        <v>50</v>
      </c>
    </row>
    <row r="26" customFormat="false" ht="15" hidden="false" customHeight="false" outlineLevel="0" collapsed="false">
      <c r="A26" s="4" t="s">
        <v>3</v>
      </c>
      <c r="B26" s="4" t="s">
        <v>22</v>
      </c>
      <c r="C26" s="4" t="n">
        <v>2021</v>
      </c>
      <c r="D26" s="4" t="n">
        <v>2</v>
      </c>
      <c r="E26" s="4" t="n">
        <v>0</v>
      </c>
      <c r="F26" s="4" t="n">
        <v>0</v>
      </c>
    </row>
    <row r="27" customFormat="false" ht="15" hidden="false" customHeight="false" outlineLevel="0" collapsed="false">
      <c r="A27" s="4" t="s">
        <v>3</v>
      </c>
      <c r="B27" s="4" t="s">
        <v>23</v>
      </c>
      <c r="C27" s="4" t="n">
        <v>1995</v>
      </c>
      <c r="D27" s="4" t="n">
        <v>1</v>
      </c>
      <c r="E27" s="4" t="n">
        <v>0</v>
      </c>
      <c r="F27" s="4" t="n">
        <v>0</v>
      </c>
    </row>
    <row r="28" customFormat="false" ht="15" hidden="false" customHeight="false" outlineLevel="0" collapsed="false">
      <c r="A28" s="4" t="s">
        <v>3</v>
      </c>
      <c r="B28" s="4" t="s">
        <v>23</v>
      </c>
      <c r="C28" s="4" t="n">
        <v>1996</v>
      </c>
      <c r="D28" s="4" t="n">
        <v>1</v>
      </c>
      <c r="E28" s="4" t="n">
        <v>0</v>
      </c>
      <c r="F28" s="4" t="n">
        <v>0</v>
      </c>
    </row>
    <row r="29" customFormat="false" ht="15" hidden="false" customHeight="false" outlineLevel="0" collapsed="false">
      <c r="A29" s="4" t="s">
        <v>3</v>
      </c>
      <c r="B29" s="4" t="s">
        <v>23</v>
      </c>
      <c r="C29" s="4" t="n">
        <v>2001</v>
      </c>
      <c r="D29" s="4" t="n">
        <v>3</v>
      </c>
      <c r="E29" s="4" t="n">
        <v>1</v>
      </c>
      <c r="F29" s="4" t="n">
        <v>33.3333333333333</v>
      </c>
    </row>
    <row r="30" customFormat="false" ht="15" hidden="false" customHeight="false" outlineLevel="0" collapsed="false">
      <c r="A30" s="4" t="s">
        <v>3</v>
      </c>
      <c r="B30" s="4" t="s">
        <v>23</v>
      </c>
      <c r="C30" s="4" t="n">
        <v>2002</v>
      </c>
      <c r="D30" s="4" t="n">
        <v>2</v>
      </c>
      <c r="E30" s="4" t="n">
        <v>0</v>
      </c>
      <c r="F30" s="4" t="n">
        <v>0</v>
      </c>
    </row>
    <row r="31" customFormat="false" ht="15" hidden="false" customHeight="false" outlineLevel="0" collapsed="false">
      <c r="A31" s="4" t="s">
        <v>3</v>
      </c>
      <c r="B31" s="4" t="s">
        <v>23</v>
      </c>
      <c r="C31" s="4" t="n">
        <v>2004</v>
      </c>
      <c r="D31" s="4" t="n">
        <v>13</v>
      </c>
      <c r="E31" s="4" t="n">
        <v>1</v>
      </c>
      <c r="F31" s="4" t="n">
        <v>7.69230769230769</v>
      </c>
    </row>
    <row r="32" customFormat="false" ht="15" hidden="false" customHeight="false" outlineLevel="0" collapsed="false">
      <c r="A32" s="4" t="s">
        <v>3</v>
      </c>
      <c r="B32" s="4" t="s">
        <v>23</v>
      </c>
      <c r="C32" s="4" t="n">
        <v>2005</v>
      </c>
      <c r="D32" s="4" t="n">
        <v>41</v>
      </c>
      <c r="E32" s="4" t="n">
        <v>0</v>
      </c>
      <c r="F32" s="4" t="n">
        <v>0</v>
      </c>
    </row>
    <row r="33" customFormat="false" ht="15" hidden="false" customHeight="false" outlineLevel="0" collapsed="false">
      <c r="A33" s="4" t="s">
        <v>3</v>
      </c>
      <c r="B33" s="4" t="s">
        <v>23</v>
      </c>
      <c r="C33" s="4" t="n">
        <v>2006</v>
      </c>
      <c r="D33" s="4" t="n">
        <v>3</v>
      </c>
      <c r="E33" s="4" t="n">
        <v>0</v>
      </c>
      <c r="F33" s="4" t="n">
        <v>0</v>
      </c>
    </row>
    <row r="34" customFormat="false" ht="15" hidden="false" customHeight="false" outlineLevel="0" collapsed="false">
      <c r="A34" s="4" t="s">
        <v>3</v>
      </c>
      <c r="B34" s="4" t="s">
        <v>23</v>
      </c>
      <c r="C34" s="4" t="n">
        <v>2008</v>
      </c>
      <c r="D34" s="4" t="n">
        <v>1</v>
      </c>
      <c r="E34" s="4" t="n">
        <v>0</v>
      </c>
      <c r="F34" s="4" t="n">
        <v>0</v>
      </c>
    </row>
    <row r="35" customFormat="false" ht="15" hidden="false" customHeight="false" outlineLevel="0" collapsed="false">
      <c r="A35" s="4" t="s">
        <v>3</v>
      </c>
      <c r="B35" s="4" t="s">
        <v>23</v>
      </c>
      <c r="C35" s="4" t="n">
        <v>2009</v>
      </c>
      <c r="D35" s="4" t="n">
        <v>1</v>
      </c>
      <c r="E35" s="4" t="n">
        <v>0</v>
      </c>
      <c r="F35" s="4" t="n">
        <v>0</v>
      </c>
    </row>
    <row r="36" customFormat="false" ht="15" hidden="false" customHeight="false" outlineLevel="0" collapsed="false">
      <c r="A36" s="4" t="s">
        <v>3</v>
      </c>
      <c r="B36" s="4" t="s">
        <v>23</v>
      </c>
      <c r="C36" s="4" t="n">
        <v>2010</v>
      </c>
      <c r="D36" s="4" t="n">
        <v>2</v>
      </c>
      <c r="E36" s="4" t="n">
        <v>0</v>
      </c>
      <c r="F36" s="4" t="n">
        <v>0</v>
      </c>
    </row>
    <row r="37" customFormat="false" ht="15" hidden="false" customHeight="false" outlineLevel="0" collapsed="false">
      <c r="A37" s="4" t="s">
        <v>3</v>
      </c>
      <c r="B37" s="4" t="s">
        <v>23</v>
      </c>
      <c r="C37" s="4" t="n">
        <v>2011</v>
      </c>
      <c r="D37" s="4" t="n">
        <v>1</v>
      </c>
      <c r="E37" s="4" t="n">
        <v>1</v>
      </c>
      <c r="F37" s="4" t="n">
        <v>100</v>
      </c>
    </row>
    <row r="38" customFormat="false" ht="15" hidden="false" customHeight="false" outlineLevel="0" collapsed="false">
      <c r="A38" s="4" t="s">
        <v>3</v>
      </c>
      <c r="B38" s="4" t="s">
        <v>23</v>
      </c>
      <c r="C38" s="4" t="n">
        <v>2013</v>
      </c>
      <c r="D38" s="4" t="n">
        <v>1</v>
      </c>
      <c r="E38" s="4" t="n">
        <v>0</v>
      </c>
      <c r="F38" s="4" t="n">
        <v>0</v>
      </c>
    </row>
    <row r="39" customFormat="false" ht="15" hidden="false" customHeight="false" outlineLevel="0" collapsed="false">
      <c r="A39" s="4" t="s">
        <v>3</v>
      </c>
      <c r="B39" s="4" t="s">
        <v>23</v>
      </c>
      <c r="C39" s="4" t="n">
        <v>2017</v>
      </c>
      <c r="D39" s="4" t="n">
        <v>15</v>
      </c>
      <c r="E39" s="4" t="n">
        <v>1</v>
      </c>
      <c r="F39" s="4" t="n">
        <v>6.66666666666667</v>
      </c>
    </row>
    <row r="40" customFormat="false" ht="15" hidden="false" customHeight="false" outlineLevel="0" collapsed="false">
      <c r="A40" s="4" t="s">
        <v>3</v>
      </c>
      <c r="B40" s="4" t="s">
        <v>23</v>
      </c>
      <c r="C40" s="4" t="n">
        <v>2018</v>
      </c>
      <c r="D40" s="4" t="n">
        <v>10</v>
      </c>
      <c r="E40" s="4" t="n">
        <v>2</v>
      </c>
      <c r="F40" s="4" t="n">
        <v>20</v>
      </c>
    </row>
    <row r="41" customFormat="false" ht="15" hidden="false" customHeight="false" outlineLevel="0" collapsed="false">
      <c r="A41" s="4" t="s">
        <v>3</v>
      </c>
      <c r="B41" s="4" t="s">
        <v>23</v>
      </c>
      <c r="C41" s="4" t="n">
        <v>2019</v>
      </c>
      <c r="D41" s="4" t="n">
        <v>2</v>
      </c>
      <c r="E41" s="4" t="n">
        <v>0</v>
      </c>
      <c r="F41" s="4" t="n">
        <v>0</v>
      </c>
    </row>
    <row r="42" customFormat="false" ht="15" hidden="false" customHeight="false" outlineLevel="0" collapsed="false">
      <c r="A42" s="4" t="s">
        <v>3</v>
      </c>
      <c r="B42" s="4" t="s">
        <v>23</v>
      </c>
      <c r="C42" s="4" t="n">
        <v>2021</v>
      </c>
      <c r="D42" s="4" t="n">
        <v>2</v>
      </c>
      <c r="E42" s="4" t="n">
        <v>0</v>
      </c>
      <c r="F42" s="4" t="n">
        <v>0</v>
      </c>
    </row>
    <row r="43" customFormat="false" ht="15" hidden="false" customHeight="false" outlineLevel="0" collapsed="false">
      <c r="A43" s="4" t="s">
        <v>3</v>
      </c>
      <c r="B43" s="4" t="s">
        <v>24</v>
      </c>
      <c r="C43" s="4" t="n">
        <v>2017</v>
      </c>
      <c r="D43" s="4" t="n">
        <v>2408</v>
      </c>
      <c r="E43" s="4" t="n">
        <v>30</v>
      </c>
      <c r="F43" s="4" t="n">
        <v>1.24584717607973</v>
      </c>
    </row>
    <row r="44" customFormat="false" ht="15" hidden="false" customHeight="false" outlineLevel="0" collapsed="false">
      <c r="A44" s="4" t="s">
        <v>3</v>
      </c>
      <c r="B44" s="4" t="s">
        <v>24</v>
      </c>
      <c r="C44" s="4" t="n">
        <v>2018</v>
      </c>
      <c r="D44" s="4" t="n">
        <v>1668</v>
      </c>
      <c r="E44" s="4" t="n">
        <v>20</v>
      </c>
      <c r="F44" s="4" t="n">
        <v>1.19904076738609</v>
      </c>
    </row>
    <row r="45" customFormat="false" ht="15" hidden="false" customHeight="false" outlineLevel="0" collapsed="false">
      <c r="A45" s="4" t="s">
        <v>3</v>
      </c>
      <c r="B45" s="4" t="s">
        <v>25</v>
      </c>
      <c r="C45" s="4" t="n">
        <v>1991</v>
      </c>
      <c r="D45" s="4" t="n">
        <v>1</v>
      </c>
      <c r="E45" s="4" t="n">
        <v>0</v>
      </c>
      <c r="F45" s="4" t="n">
        <v>0</v>
      </c>
    </row>
    <row r="46" customFormat="false" ht="15" hidden="false" customHeight="false" outlineLevel="0" collapsed="false">
      <c r="A46" s="4" t="s">
        <v>3</v>
      </c>
      <c r="B46" s="4" t="s">
        <v>25</v>
      </c>
      <c r="C46" s="4" t="n">
        <v>1993</v>
      </c>
      <c r="D46" s="4" t="n">
        <v>1</v>
      </c>
      <c r="E46" s="4" t="n">
        <v>0</v>
      </c>
      <c r="F46" s="4" t="n">
        <v>0</v>
      </c>
    </row>
    <row r="47" customFormat="false" ht="15" hidden="false" customHeight="false" outlineLevel="0" collapsed="false">
      <c r="A47" s="4" t="s">
        <v>3</v>
      </c>
      <c r="B47" s="4" t="s">
        <v>25</v>
      </c>
      <c r="C47" s="4" t="n">
        <v>1995</v>
      </c>
      <c r="D47" s="4" t="n">
        <v>1</v>
      </c>
      <c r="E47" s="4" t="n">
        <v>0</v>
      </c>
      <c r="F47" s="4" t="n">
        <v>0</v>
      </c>
    </row>
    <row r="48" customFormat="false" ht="15" hidden="false" customHeight="false" outlineLevel="0" collapsed="false">
      <c r="A48" s="4" t="s">
        <v>3</v>
      </c>
      <c r="B48" s="4" t="s">
        <v>25</v>
      </c>
      <c r="C48" s="4" t="n">
        <v>1996</v>
      </c>
      <c r="D48" s="4" t="n">
        <v>1</v>
      </c>
      <c r="E48" s="4" t="n">
        <v>0</v>
      </c>
      <c r="F48" s="4" t="n">
        <v>0</v>
      </c>
    </row>
    <row r="49" customFormat="false" ht="15" hidden="false" customHeight="false" outlineLevel="0" collapsed="false">
      <c r="A49" s="4" t="s">
        <v>3</v>
      </c>
      <c r="B49" s="4" t="s">
        <v>25</v>
      </c>
      <c r="C49" s="4" t="n">
        <v>1998</v>
      </c>
      <c r="D49" s="4" t="n">
        <v>6</v>
      </c>
      <c r="E49" s="4" t="n">
        <v>2</v>
      </c>
      <c r="F49" s="4" t="n">
        <v>33.3333333333333</v>
      </c>
    </row>
    <row r="50" customFormat="false" ht="15" hidden="false" customHeight="false" outlineLevel="0" collapsed="false">
      <c r="A50" s="4" t="s">
        <v>3</v>
      </c>
      <c r="B50" s="4" t="s">
        <v>25</v>
      </c>
      <c r="C50" s="4" t="n">
        <v>1999</v>
      </c>
      <c r="D50" s="4" t="n">
        <v>2</v>
      </c>
      <c r="E50" s="4" t="n">
        <v>0</v>
      </c>
      <c r="F50" s="4" t="n">
        <v>0</v>
      </c>
    </row>
    <row r="51" customFormat="false" ht="15" hidden="false" customHeight="false" outlineLevel="0" collapsed="false">
      <c r="A51" s="4" t="s">
        <v>3</v>
      </c>
      <c r="B51" s="4" t="s">
        <v>25</v>
      </c>
      <c r="C51" s="4" t="n">
        <v>2000</v>
      </c>
      <c r="D51" s="4" t="n">
        <v>1</v>
      </c>
      <c r="E51" s="4" t="n">
        <v>0</v>
      </c>
      <c r="F51" s="4" t="n">
        <v>0</v>
      </c>
    </row>
    <row r="52" customFormat="false" ht="15" hidden="false" customHeight="false" outlineLevel="0" collapsed="false">
      <c r="A52" s="4" t="s">
        <v>3</v>
      </c>
      <c r="B52" s="4" t="s">
        <v>25</v>
      </c>
      <c r="C52" s="4" t="n">
        <v>2001</v>
      </c>
      <c r="D52" s="4" t="n">
        <v>42</v>
      </c>
      <c r="E52" s="4" t="n">
        <v>1</v>
      </c>
      <c r="F52" s="4" t="n">
        <v>2.38095238095238</v>
      </c>
    </row>
    <row r="53" customFormat="false" ht="15" hidden="false" customHeight="false" outlineLevel="0" collapsed="false">
      <c r="A53" s="4" t="s">
        <v>3</v>
      </c>
      <c r="B53" s="4" t="s">
        <v>25</v>
      </c>
      <c r="C53" s="4" t="n">
        <v>2002</v>
      </c>
      <c r="D53" s="4" t="n">
        <v>14</v>
      </c>
      <c r="E53" s="4" t="n">
        <v>1</v>
      </c>
      <c r="F53" s="4" t="n">
        <v>7.14285714285714</v>
      </c>
    </row>
    <row r="54" customFormat="false" ht="15" hidden="false" customHeight="false" outlineLevel="0" collapsed="false">
      <c r="A54" s="4" t="s">
        <v>3</v>
      </c>
      <c r="B54" s="4" t="s">
        <v>25</v>
      </c>
      <c r="C54" s="4" t="n">
        <v>2003</v>
      </c>
      <c r="D54" s="4" t="n">
        <v>77</v>
      </c>
      <c r="E54" s="4" t="n">
        <v>16</v>
      </c>
      <c r="F54" s="4" t="n">
        <v>20.7792207792208</v>
      </c>
    </row>
    <row r="55" customFormat="false" ht="15" hidden="false" customHeight="false" outlineLevel="0" collapsed="false">
      <c r="A55" s="4" t="s">
        <v>3</v>
      </c>
      <c r="B55" s="4" t="s">
        <v>25</v>
      </c>
      <c r="C55" s="4" t="n">
        <v>2004</v>
      </c>
      <c r="D55" s="4" t="n">
        <v>110</v>
      </c>
      <c r="E55" s="4" t="n">
        <v>24</v>
      </c>
      <c r="F55" s="4" t="n">
        <v>21.8181818181818</v>
      </c>
    </row>
    <row r="56" customFormat="false" ht="15" hidden="false" customHeight="false" outlineLevel="0" collapsed="false">
      <c r="A56" s="4" t="s">
        <v>3</v>
      </c>
      <c r="B56" s="4" t="s">
        <v>25</v>
      </c>
      <c r="C56" s="4" t="n">
        <v>2005</v>
      </c>
      <c r="D56" s="4" t="n">
        <v>147</v>
      </c>
      <c r="E56" s="4" t="n">
        <v>34</v>
      </c>
      <c r="F56" s="4" t="n">
        <v>23.1292517006803</v>
      </c>
    </row>
    <row r="57" customFormat="false" ht="15" hidden="false" customHeight="false" outlineLevel="0" collapsed="false">
      <c r="A57" s="4" t="s">
        <v>3</v>
      </c>
      <c r="B57" s="4" t="s">
        <v>25</v>
      </c>
      <c r="C57" s="4" t="n">
        <v>2006</v>
      </c>
      <c r="D57" s="4" t="n">
        <v>45</v>
      </c>
      <c r="E57" s="4" t="n">
        <v>8</v>
      </c>
      <c r="F57" s="4" t="n">
        <v>17.7777777777778</v>
      </c>
    </row>
    <row r="58" customFormat="false" ht="15" hidden="false" customHeight="false" outlineLevel="0" collapsed="false">
      <c r="A58" s="4" t="s">
        <v>3</v>
      </c>
      <c r="B58" s="4" t="s">
        <v>25</v>
      </c>
      <c r="C58" s="4" t="n">
        <v>2007</v>
      </c>
      <c r="D58" s="4" t="n">
        <v>15</v>
      </c>
      <c r="E58" s="4" t="n">
        <v>2</v>
      </c>
      <c r="F58" s="4" t="n">
        <v>13.3333333333333</v>
      </c>
    </row>
    <row r="59" customFormat="false" ht="15" hidden="false" customHeight="false" outlineLevel="0" collapsed="false">
      <c r="A59" s="4" t="s">
        <v>3</v>
      </c>
      <c r="B59" s="4" t="s">
        <v>25</v>
      </c>
      <c r="C59" s="4" t="n">
        <v>2008</v>
      </c>
      <c r="D59" s="4" t="n">
        <v>678</v>
      </c>
      <c r="E59" s="4" t="n">
        <v>107</v>
      </c>
      <c r="F59" s="4" t="n">
        <v>15.7817109144543</v>
      </c>
    </row>
    <row r="60" customFormat="false" ht="15" hidden="false" customHeight="false" outlineLevel="0" collapsed="false">
      <c r="A60" s="4" t="s">
        <v>3</v>
      </c>
      <c r="B60" s="4" t="s">
        <v>25</v>
      </c>
      <c r="C60" s="4" t="n">
        <v>2009</v>
      </c>
      <c r="D60" s="4" t="n">
        <v>301</v>
      </c>
      <c r="E60" s="4" t="n">
        <v>45</v>
      </c>
      <c r="F60" s="4" t="n">
        <v>14.9501661129568</v>
      </c>
    </row>
    <row r="61" customFormat="false" ht="15" hidden="false" customHeight="false" outlineLevel="0" collapsed="false">
      <c r="A61" s="4" t="s">
        <v>3</v>
      </c>
      <c r="B61" s="4" t="s">
        <v>25</v>
      </c>
      <c r="C61" s="4" t="n">
        <v>2010</v>
      </c>
      <c r="D61" s="4" t="n">
        <v>229</v>
      </c>
      <c r="E61" s="4" t="n">
        <v>75</v>
      </c>
      <c r="F61" s="4" t="n">
        <v>32.7510917030568</v>
      </c>
    </row>
    <row r="62" customFormat="false" ht="15" hidden="false" customHeight="false" outlineLevel="0" collapsed="false">
      <c r="A62" s="4" t="s">
        <v>3</v>
      </c>
      <c r="B62" s="4" t="s">
        <v>25</v>
      </c>
      <c r="C62" s="4" t="n">
        <v>2011</v>
      </c>
      <c r="D62" s="4" t="n">
        <v>111</v>
      </c>
      <c r="E62" s="4" t="n">
        <v>39</v>
      </c>
      <c r="F62" s="4" t="n">
        <v>35.1351351351351</v>
      </c>
    </row>
    <row r="63" customFormat="false" ht="15" hidden="false" customHeight="false" outlineLevel="0" collapsed="false">
      <c r="A63" s="4" t="s">
        <v>3</v>
      </c>
      <c r="B63" s="4" t="s">
        <v>25</v>
      </c>
      <c r="C63" s="4" t="n">
        <v>2012</v>
      </c>
      <c r="D63" s="4" t="n">
        <v>280</v>
      </c>
      <c r="E63" s="4" t="n">
        <v>52</v>
      </c>
      <c r="F63" s="4" t="n">
        <v>18.5714285714286</v>
      </c>
    </row>
    <row r="64" customFormat="false" ht="15" hidden="false" customHeight="false" outlineLevel="0" collapsed="false">
      <c r="A64" s="4" t="s">
        <v>3</v>
      </c>
      <c r="B64" s="4" t="s">
        <v>25</v>
      </c>
      <c r="C64" s="4" t="n">
        <v>2013</v>
      </c>
      <c r="D64" s="4" t="n">
        <v>38</v>
      </c>
      <c r="E64" s="4" t="n">
        <v>22</v>
      </c>
      <c r="F64" s="4" t="n">
        <v>57.8947368421053</v>
      </c>
    </row>
    <row r="65" customFormat="false" ht="15" hidden="false" customHeight="false" outlineLevel="0" collapsed="false">
      <c r="A65" s="4" t="s">
        <v>3</v>
      </c>
      <c r="B65" s="4" t="s">
        <v>25</v>
      </c>
      <c r="C65" s="4" t="n">
        <v>2014</v>
      </c>
      <c r="D65" s="4" t="n">
        <v>6</v>
      </c>
      <c r="E65" s="4" t="n">
        <v>1</v>
      </c>
      <c r="F65" s="4" t="n">
        <v>16.6666666666667</v>
      </c>
    </row>
    <row r="66" customFormat="false" ht="15" hidden="false" customHeight="false" outlineLevel="0" collapsed="false">
      <c r="A66" s="4" t="s">
        <v>3</v>
      </c>
      <c r="B66" s="4" t="s">
        <v>25</v>
      </c>
      <c r="C66" s="4" t="n">
        <v>2016</v>
      </c>
      <c r="D66" s="4" t="n">
        <v>12</v>
      </c>
      <c r="E66" s="4" t="n">
        <v>4</v>
      </c>
      <c r="F66" s="4" t="n">
        <v>33.3333333333333</v>
      </c>
    </row>
    <row r="67" customFormat="false" ht="15" hidden="false" customHeight="false" outlineLevel="0" collapsed="false">
      <c r="A67" s="4" t="s">
        <v>3</v>
      </c>
      <c r="B67" s="4" t="s">
        <v>25</v>
      </c>
      <c r="C67" s="4" t="n">
        <v>2017</v>
      </c>
      <c r="D67" s="4" t="n">
        <v>17</v>
      </c>
      <c r="E67" s="4" t="n">
        <v>1</v>
      </c>
      <c r="F67" s="4" t="n">
        <v>5.88235294117647</v>
      </c>
    </row>
    <row r="68" customFormat="false" ht="15" hidden="false" customHeight="false" outlineLevel="0" collapsed="false">
      <c r="A68" s="4" t="s">
        <v>3</v>
      </c>
      <c r="B68" s="4" t="s">
        <v>25</v>
      </c>
      <c r="C68" s="4" t="n">
        <v>2018</v>
      </c>
      <c r="D68" s="4" t="n">
        <v>11</v>
      </c>
      <c r="E68" s="4" t="n">
        <v>1</v>
      </c>
      <c r="F68" s="4" t="n">
        <v>9.09090909090909</v>
      </c>
    </row>
    <row r="69" customFormat="false" ht="15" hidden="false" customHeight="false" outlineLevel="0" collapsed="false">
      <c r="A69" s="4" t="s">
        <v>3</v>
      </c>
      <c r="B69" s="4" t="s">
        <v>25</v>
      </c>
      <c r="C69" s="4" t="n">
        <v>2019</v>
      </c>
      <c r="D69" s="4" t="n">
        <v>2</v>
      </c>
      <c r="E69" s="4" t="n">
        <v>1</v>
      </c>
      <c r="F69" s="4" t="n">
        <v>50</v>
      </c>
    </row>
    <row r="70" customFormat="false" ht="15" hidden="false" customHeight="false" outlineLevel="0" collapsed="false">
      <c r="A70" s="4" t="s">
        <v>3</v>
      </c>
      <c r="B70" s="4" t="s">
        <v>25</v>
      </c>
      <c r="C70" s="4" t="n">
        <v>2021</v>
      </c>
      <c r="D70" s="4" t="n">
        <v>2</v>
      </c>
      <c r="E70" s="4" t="n">
        <v>0</v>
      </c>
      <c r="F70" s="4" t="n">
        <v>0</v>
      </c>
    </row>
    <row r="71" customFormat="false" ht="15" hidden="false" customHeight="false" outlineLevel="0" collapsed="false">
      <c r="A71" s="4" t="s">
        <v>3</v>
      </c>
      <c r="B71" s="4" t="s">
        <v>26</v>
      </c>
      <c r="C71" s="4" t="n">
        <v>2000</v>
      </c>
      <c r="D71" s="4" t="n">
        <v>1</v>
      </c>
      <c r="E71" s="4" t="n">
        <v>0</v>
      </c>
      <c r="F71" s="4" t="n">
        <v>0</v>
      </c>
    </row>
    <row r="72" customFormat="false" ht="15" hidden="false" customHeight="false" outlineLevel="0" collapsed="false">
      <c r="A72" s="4" t="s">
        <v>3</v>
      </c>
      <c r="B72" s="4" t="s">
        <v>26</v>
      </c>
      <c r="C72" s="4" t="n">
        <v>2005</v>
      </c>
      <c r="D72" s="4" t="n">
        <v>1</v>
      </c>
      <c r="E72" s="4" t="n">
        <v>0</v>
      </c>
      <c r="F72" s="4" t="n">
        <v>0</v>
      </c>
    </row>
    <row r="73" customFormat="false" ht="15" hidden="false" customHeight="false" outlineLevel="0" collapsed="false">
      <c r="A73" s="4" t="s">
        <v>3</v>
      </c>
      <c r="B73" s="4" t="s">
        <v>26</v>
      </c>
      <c r="C73" s="4" t="n">
        <v>2006</v>
      </c>
      <c r="D73" s="4" t="n">
        <v>54</v>
      </c>
      <c r="E73" s="4" t="n">
        <v>2</v>
      </c>
      <c r="F73" s="4" t="n">
        <v>3.7037037037037</v>
      </c>
    </row>
    <row r="74" customFormat="false" ht="15" hidden="false" customHeight="false" outlineLevel="0" collapsed="false">
      <c r="A74" s="4" t="s">
        <v>3</v>
      </c>
      <c r="B74" s="4" t="s">
        <v>26</v>
      </c>
      <c r="C74" s="4" t="n">
        <v>2007</v>
      </c>
      <c r="D74" s="4" t="n">
        <v>7</v>
      </c>
      <c r="E74" s="4" t="n">
        <v>0</v>
      </c>
      <c r="F74" s="4" t="n">
        <v>0</v>
      </c>
    </row>
    <row r="75" customFormat="false" ht="15" hidden="false" customHeight="false" outlineLevel="0" collapsed="false">
      <c r="A75" s="4" t="s">
        <v>3</v>
      </c>
      <c r="B75" s="4" t="s">
        <v>26</v>
      </c>
      <c r="C75" s="4" t="n">
        <v>2008</v>
      </c>
      <c r="D75" s="4" t="n">
        <v>5</v>
      </c>
      <c r="E75" s="4" t="n">
        <v>2</v>
      </c>
      <c r="F75" s="4" t="n">
        <v>40</v>
      </c>
    </row>
    <row r="76" customFormat="false" ht="15" hidden="false" customHeight="false" outlineLevel="0" collapsed="false">
      <c r="A76" s="4" t="s">
        <v>3</v>
      </c>
      <c r="B76" s="4" t="s">
        <v>26</v>
      </c>
      <c r="C76" s="4" t="n">
        <v>2009</v>
      </c>
      <c r="D76" s="4" t="n">
        <v>3</v>
      </c>
      <c r="E76" s="4" t="n">
        <v>2</v>
      </c>
      <c r="F76" s="4" t="n">
        <v>66.6666666666667</v>
      </c>
    </row>
    <row r="77" customFormat="false" ht="15" hidden="false" customHeight="false" outlineLevel="0" collapsed="false">
      <c r="A77" s="4" t="s">
        <v>3</v>
      </c>
      <c r="B77" s="4" t="s">
        <v>26</v>
      </c>
      <c r="C77" s="4" t="n">
        <v>2010</v>
      </c>
      <c r="D77" s="4" t="n">
        <v>22</v>
      </c>
      <c r="E77" s="4" t="n">
        <v>16</v>
      </c>
      <c r="F77" s="4" t="n">
        <v>72.7272727272727</v>
      </c>
    </row>
    <row r="78" customFormat="false" ht="15" hidden="false" customHeight="false" outlineLevel="0" collapsed="false">
      <c r="A78" s="4" t="s">
        <v>3</v>
      </c>
      <c r="B78" s="4" t="s">
        <v>26</v>
      </c>
      <c r="C78" s="4" t="n">
        <v>2015</v>
      </c>
      <c r="D78" s="4" t="n">
        <v>1</v>
      </c>
      <c r="E78" s="4" t="n">
        <v>0</v>
      </c>
      <c r="F78" s="4" t="n">
        <v>0</v>
      </c>
    </row>
    <row r="79" customFormat="false" ht="15" hidden="false" customHeight="false" outlineLevel="0" collapsed="false">
      <c r="A79" s="4" t="s">
        <v>3</v>
      </c>
      <c r="B79" s="4" t="s">
        <v>26</v>
      </c>
      <c r="C79" s="4" t="n">
        <v>2017</v>
      </c>
      <c r="D79" s="4" t="n">
        <v>39</v>
      </c>
      <c r="E79" s="4" t="n">
        <v>1</v>
      </c>
      <c r="F79" s="4" t="n">
        <v>2.56410256410256</v>
      </c>
    </row>
    <row r="80" customFormat="false" ht="15" hidden="false" customHeight="false" outlineLevel="0" collapsed="false">
      <c r="A80" s="4" t="s">
        <v>3</v>
      </c>
      <c r="B80" s="4" t="s">
        <v>26</v>
      </c>
      <c r="C80" s="4" t="n">
        <v>2018</v>
      </c>
      <c r="D80" s="4" t="n">
        <v>15</v>
      </c>
      <c r="E80" s="4" t="n">
        <v>2</v>
      </c>
      <c r="F80" s="4" t="n">
        <v>13.3333333333333</v>
      </c>
    </row>
    <row r="81" customFormat="false" ht="15" hidden="false" customHeight="false" outlineLevel="0" collapsed="false">
      <c r="A81" s="4" t="s">
        <v>3</v>
      </c>
      <c r="B81" s="4" t="s">
        <v>26</v>
      </c>
      <c r="C81" s="4" t="n">
        <v>2019</v>
      </c>
      <c r="D81" s="4" t="n">
        <v>5</v>
      </c>
      <c r="E81" s="4" t="n">
        <v>0</v>
      </c>
      <c r="F81" s="4" t="n">
        <v>0</v>
      </c>
    </row>
    <row r="82" customFormat="false" ht="15" hidden="false" customHeight="false" outlineLevel="0" collapsed="false">
      <c r="A82" s="4" t="s">
        <v>3</v>
      </c>
      <c r="B82" s="4" t="s">
        <v>26</v>
      </c>
      <c r="C82" s="4" t="n">
        <v>2021</v>
      </c>
      <c r="D82" s="4" t="n">
        <v>1</v>
      </c>
      <c r="E82" s="4" t="n">
        <v>0</v>
      </c>
      <c r="F82" s="4" t="n">
        <v>0</v>
      </c>
    </row>
    <row r="83" customFormat="false" ht="15" hidden="false" customHeight="false" outlineLevel="0" collapsed="false">
      <c r="A83" s="4" t="s">
        <v>3</v>
      </c>
      <c r="B83" s="4" t="s">
        <v>27</v>
      </c>
      <c r="C83" s="4" t="n">
        <v>2008</v>
      </c>
      <c r="D83" s="4" t="n">
        <v>111</v>
      </c>
      <c r="E83" s="4" t="n">
        <v>6</v>
      </c>
      <c r="F83" s="4" t="n">
        <v>5.40540540540541</v>
      </c>
    </row>
    <row r="84" customFormat="false" ht="15" hidden="false" customHeight="false" outlineLevel="0" collapsed="false">
      <c r="A84" s="4" t="s">
        <v>3</v>
      </c>
      <c r="B84" s="4" t="s">
        <v>27</v>
      </c>
      <c r="C84" s="4" t="n">
        <v>2009</v>
      </c>
      <c r="D84" s="4" t="n">
        <v>24</v>
      </c>
      <c r="E84" s="4" t="n">
        <v>2</v>
      </c>
      <c r="F84" s="4" t="n">
        <v>8.33333333333333</v>
      </c>
    </row>
    <row r="85" customFormat="false" ht="15" hidden="false" customHeight="false" outlineLevel="0" collapsed="false">
      <c r="A85" s="4" t="s">
        <v>3</v>
      </c>
      <c r="B85" s="4" t="s">
        <v>27</v>
      </c>
      <c r="C85" s="4" t="n">
        <v>2010</v>
      </c>
      <c r="D85" s="4" t="n">
        <v>92</v>
      </c>
      <c r="E85" s="4" t="n">
        <v>8</v>
      </c>
      <c r="F85" s="4" t="n">
        <v>8.69565217391304</v>
      </c>
    </row>
    <row r="86" customFormat="false" ht="15" hidden="false" customHeight="false" outlineLevel="0" collapsed="false">
      <c r="A86" s="4" t="s">
        <v>3</v>
      </c>
      <c r="B86" s="4" t="s">
        <v>27</v>
      </c>
      <c r="C86" s="4" t="n">
        <v>2011</v>
      </c>
      <c r="D86" s="4" t="n">
        <v>68</v>
      </c>
      <c r="E86" s="4" t="n">
        <v>6</v>
      </c>
      <c r="F86" s="4" t="n">
        <v>8.82352941176471</v>
      </c>
    </row>
    <row r="87" customFormat="false" ht="15" hidden="false" customHeight="false" outlineLevel="0" collapsed="false">
      <c r="A87" s="4" t="s">
        <v>3</v>
      </c>
      <c r="B87" s="4" t="s">
        <v>27</v>
      </c>
      <c r="C87" s="4" t="n">
        <v>2012</v>
      </c>
      <c r="D87" s="4" t="n">
        <v>12</v>
      </c>
      <c r="E87" s="4" t="n">
        <v>1</v>
      </c>
      <c r="F87" s="4" t="n">
        <v>8.33333333333333</v>
      </c>
    </row>
    <row r="88" customFormat="false" ht="15" hidden="false" customHeight="false" outlineLevel="0" collapsed="false">
      <c r="A88" s="4" t="s">
        <v>3</v>
      </c>
      <c r="B88" s="4" t="s">
        <v>27</v>
      </c>
      <c r="C88" s="4" t="n">
        <v>2017</v>
      </c>
      <c r="D88" s="4" t="n">
        <v>1204</v>
      </c>
      <c r="E88" s="4" t="n">
        <v>145</v>
      </c>
      <c r="F88" s="4" t="n">
        <v>12.0431893687708</v>
      </c>
    </row>
    <row r="89" customFormat="false" ht="15" hidden="false" customHeight="false" outlineLevel="0" collapsed="false">
      <c r="A89" s="4" t="s">
        <v>3</v>
      </c>
      <c r="B89" s="4" t="s">
        <v>27</v>
      </c>
      <c r="C89" s="4" t="n">
        <v>2018</v>
      </c>
      <c r="D89" s="4" t="n">
        <v>834</v>
      </c>
      <c r="E89" s="4" t="n">
        <v>55</v>
      </c>
      <c r="F89" s="4" t="n">
        <v>6.5947242206235</v>
      </c>
    </row>
    <row r="90" customFormat="false" ht="15" hidden="false" customHeight="false" outlineLevel="0" collapsed="false">
      <c r="A90" s="4" t="s">
        <v>3</v>
      </c>
      <c r="B90" s="4" t="s">
        <v>28</v>
      </c>
      <c r="C90" s="4" t="n">
        <v>1998</v>
      </c>
      <c r="D90" s="4" t="n">
        <v>3</v>
      </c>
      <c r="E90" s="4" t="n">
        <v>1</v>
      </c>
      <c r="F90" s="4" t="n">
        <v>33.3333333333333</v>
      </c>
    </row>
    <row r="91" customFormat="false" ht="15" hidden="false" customHeight="false" outlineLevel="0" collapsed="false">
      <c r="A91" s="4" t="s">
        <v>3</v>
      </c>
      <c r="B91" s="4" t="s">
        <v>28</v>
      </c>
      <c r="C91" s="4" t="n">
        <v>2000</v>
      </c>
      <c r="D91" s="4" t="n">
        <v>1</v>
      </c>
      <c r="E91" s="4" t="n">
        <v>0</v>
      </c>
      <c r="F91" s="4" t="n">
        <v>0</v>
      </c>
    </row>
    <row r="92" customFormat="false" ht="15" hidden="false" customHeight="false" outlineLevel="0" collapsed="false">
      <c r="A92" s="4" t="s">
        <v>3</v>
      </c>
      <c r="B92" s="4" t="s">
        <v>28</v>
      </c>
      <c r="C92" s="4" t="n">
        <v>2002</v>
      </c>
      <c r="D92" s="4" t="n">
        <v>1</v>
      </c>
      <c r="E92" s="4" t="n">
        <v>0</v>
      </c>
      <c r="F92" s="4" t="n">
        <v>0</v>
      </c>
    </row>
    <row r="93" customFormat="false" ht="15" hidden="false" customHeight="false" outlineLevel="0" collapsed="false">
      <c r="A93" s="4" t="s">
        <v>3</v>
      </c>
      <c r="B93" s="4" t="s">
        <v>28</v>
      </c>
      <c r="C93" s="4" t="n">
        <v>2003</v>
      </c>
      <c r="D93" s="4" t="n">
        <v>5</v>
      </c>
      <c r="E93" s="4" t="n">
        <v>0</v>
      </c>
      <c r="F93" s="4" t="n">
        <v>0</v>
      </c>
    </row>
    <row r="94" customFormat="false" ht="15" hidden="false" customHeight="false" outlineLevel="0" collapsed="false">
      <c r="A94" s="4" t="s">
        <v>3</v>
      </c>
      <c r="B94" s="4" t="s">
        <v>28</v>
      </c>
      <c r="C94" s="4" t="n">
        <v>2004</v>
      </c>
      <c r="D94" s="4" t="n">
        <v>94</v>
      </c>
      <c r="E94" s="4" t="n">
        <v>0</v>
      </c>
      <c r="F94" s="4" t="n">
        <v>0</v>
      </c>
    </row>
    <row r="95" customFormat="false" ht="15" hidden="false" customHeight="false" outlineLevel="0" collapsed="false">
      <c r="A95" s="4" t="s">
        <v>3</v>
      </c>
      <c r="B95" s="4" t="s">
        <v>28</v>
      </c>
      <c r="C95" s="4" t="n">
        <v>2005</v>
      </c>
      <c r="D95" s="4" t="n">
        <v>134</v>
      </c>
      <c r="E95" s="4" t="n">
        <v>5</v>
      </c>
      <c r="F95" s="4" t="n">
        <v>3.73134328358209</v>
      </c>
    </row>
    <row r="96" customFormat="false" ht="15" hidden="false" customHeight="false" outlineLevel="0" collapsed="false">
      <c r="A96" s="4" t="s">
        <v>3</v>
      </c>
      <c r="B96" s="4" t="s">
        <v>28</v>
      </c>
      <c r="C96" s="4" t="n">
        <v>2006</v>
      </c>
      <c r="D96" s="4" t="n">
        <v>51</v>
      </c>
      <c r="E96" s="4" t="n">
        <v>5</v>
      </c>
      <c r="F96" s="4" t="n">
        <v>9.80392156862745</v>
      </c>
    </row>
    <row r="97" customFormat="false" ht="15" hidden="false" customHeight="false" outlineLevel="0" collapsed="false">
      <c r="A97" s="4" t="s">
        <v>3</v>
      </c>
      <c r="B97" s="4" t="s">
        <v>28</v>
      </c>
      <c r="C97" s="4" t="n">
        <v>2007</v>
      </c>
      <c r="D97" s="4" t="n">
        <v>21</v>
      </c>
      <c r="E97" s="4" t="n">
        <v>4</v>
      </c>
      <c r="F97" s="4" t="n">
        <v>19.0476190476191</v>
      </c>
    </row>
    <row r="98" customFormat="false" ht="15" hidden="false" customHeight="false" outlineLevel="0" collapsed="false">
      <c r="A98" s="4" t="s">
        <v>3</v>
      </c>
      <c r="B98" s="4" t="s">
        <v>28</v>
      </c>
      <c r="C98" s="4" t="n">
        <v>2008</v>
      </c>
      <c r="D98" s="4" t="n">
        <v>14</v>
      </c>
      <c r="E98" s="4" t="n">
        <v>2</v>
      </c>
      <c r="F98" s="4" t="n">
        <v>14.2857142857143</v>
      </c>
    </row>
    <row r="99" customFormat="false" ht="15" hidden="false" customHeight="false" outlineLevel="0" collapsed="false">
      <c r="A99" s="4" t="s">
        <v>3</v>
      </c>
      <c r="B99" s="4" t="s">
        <v>28</v>
      </c>
      <c r="C99" s="4" t="n">
        <v>2009</v>
      </c>
      <c r="D99" s="4" t="n">
        <v>7</v>
      </c>
      <c r="E99" s="4" t="n">
        <v>3</v>
      </c>
      <c r="F99" s="4" t="n">
        <v>42.8571428571429</v>
      </c>
    </row>
    <row r="100" customFormat="false" ht="15" hidden="false" customHeight="false" outlineLevel="0" collapsed="false">
      <c r="A100" s="4" t="s">
        <v>3</v>
      </c>
      <c r="B100" s="4" t="s">
        <v>28</v>
      </c>
      <c r="C100" s="4" t="n">
        <v>2010</v>
      </c>
      <c r="D100" s="4" t="n">
        <v>28</v>
      </c>
      <c r="E100" s="4" t="n">
        <v>4</v>
      </c>
      <c r="F100" s="4" t="n">
        <v>14.2857142857143</v>
      </c>
    </row>
    <row r="101" customFormat="false" ht="15" hidden="false" customHeight="false" outlineLevel="0" collapsed="false">
      <c r="A101" s="4" t="s">
        <v>3</v>
      </c>
      <c r="B101" s="4" t="s">
        <v>28</v>
      </c>
      <c r="C101" s="4" t="n">
        <v>2011</v>
      </c>
      <c r="D101" s="4" t="n">
        <v>28</v>
      </c>
      <c r="E101" s="4" t="n">
        <v>10</v>
      </c>
      <c r="F101" s="4" t="n">
        <v>35.7142857142857</v>
      </c>
    </row>
    <row r="102" customFormat="false" ht="15" hidden="false" customHeight="false" outlineLevel="0" collapsed="false">
      <c r="A102" s="4" t="s">
        <v>3</v>
      </c>
      <c r="B102" s="4" t="s">
        <v>28</v>
      </c>
      <c r="C102" s="4" t="n">
        <v>2012</v>
      </c>
      <c r="D102" s="4" t="n">
        <v>72</v>
      </c>
      <c r="E102" s="4" t="n">
        <v>30</v>
      </c>
      <c r="F102" s="4" t="n">
        <v>41.6666666666667</v>
      </c>
    </row>
    <row r="103" customFormat="false" ht="15" hidden="false" customHeight="false" outlineLevel="0" collapsed="false">
      <c r="A103" s="4" t="s">
        <v>3</v>
      </c>
      <c r="B103" s="4" t="s">
        <v>28</v>
      </c>
      <c r="C103" s="4" t="n">
        <v>2013</v>
      </c>
      <c r="D103" s="4" t="n">
        <v>25</v>
      </c>
      <c r="E103" s="4" t="n">
        <v>8</v>
      </c>
      <c r="F103" s="4" t="n">
        <v>32</v>
      </c>
    </row>
    <row r="104" customFormat="false" ht="15" hidden="false" customHeight="false" outlineLevel="0" collapsed="false">
      <c r="A104" s="4" t="s">
        <v>3</v>
      </c>
      <c r="B104" s="4" t="s">
        <v>28</v>
      </c>
      <c r="C104" s="4" t="n">
        <v>2016</v>
      </c>
      <c r="D104" s="4" t="n">
        <v>2</v>
      </c>
      <c r="E104" s="4" t="n">
        <v>0</v>
      </c>
      <c r="F104" s="4" t="n">
        <v>0</v>
      </c>
    </row>
    <row r="105" customFormat="false" ht="15" hidden="false" customHeight="false" outlineLevel="0" collapsed="false">
      <c r="A105" s="4" t="s">
        <v>3</v>
      </c>
      <c r="B105" s="4" t="s">
        <v>29</v>
      </c>
      <c r="C105" s="4" t="n">
        <v>2017</v>
      </c>
      <c r="D105" s="4" t="n">
        <v>1204</v>
      </c>
      <c r="E105" s="4" t="n">
        <v>301</v>
      </c>
      <c r="F105" s="4" t="n">
        <v>25</v>
      </c>
    </row>
    <row r="106" customFormat="false" ht="15" hidden="false" customHeight="false" outlineLevel="0" collapsed="false">
      <c r="A106" s="4" t="s">
        <v>3</v>
      </c>
      <c r="B106" s="4" t="s">
        <v>29</v>
      </c>
      <c r="C106" s="4" t="n">
        <v>2018</v>
      </c>
      <c r="D106" s="4" t="n">
        <v>834</v>
      </c>
      <c r="E106" s="4" t="n">
        <v>270</v>
      </c>
      <c r="F106" s="4" t="n">
        <v>32.3741007194245</v>
      </c>
    </row>
    <row r="107" customFormat="false" ht="15" hidden="false" customHeight="false" outlineLevel="0" collapsed="false">
      <c r="A107" s="4" t="s">
        <v>3</v>
      </c>
      <c r="B107" s="4" t="s">
        <v>30</v>
      </c>
      <c r="C107" s="4" t="n">
        <v>1991</v>
      </c>
      <c r="D107" s="4" t="n">
        <v>2</v>
      </c>
      <c r="E107" s="4" t="n">
        <v>2</v>
      </c>
      <c r="F107" s="4" t="n">
        <v>100</v>
      </c>
    </row>
    <row r="108" customFormat="false" ht="15" hidden="false" customHeight="false" outlineLevel="0" collapsed="false">
      <c r="A108" s="4" t="s">
        <v>3</v>
      </c>
      <c r="B108" s="4" t="s">
        <v>30</v>
      </c>
      <c r="C108" s="4" t="n">
        <v>1993</v>
      </c>
      <c r="D108" s="4" t="n">
        <v>1312</v>
      </c>
      <c r="E108" s="4" t="n">
        <v>122</v>
      </c>
      <c r="F108" s="4" t="n">
        <v>9.29878048780488</v>
      </c>
    </row>
    <row r="109" customFormat="false" ht="15" hidden="false" customHeight="false" outlineLevel="0" collapsed="false">
      <c r="A109" s="4" t="s">
        <v>3</v>
      </c>
      <c r="B109" s="4" t="s">
        <v>30</v>
      </c>
      <c r="C109" s="4" t="n">
        <v>1995</v>
      </c>
      <c r="D109" s="4" t="n">
        <v>4</v>
      </c>
      <c r="E109" s="4" t="n">
        <v>0</v>
      </c>
      <c r="F109" s="4" t="n">
        <v>0</v>
      </c>
    </row>
    <row r="110" customFormat="false" ht="15" hidden="false" customHeight="false" outlineLevel="0" collapsed="false">
      <c r="A110" s="4" t="s">
        <v>3</v>
      </c>
      <c r="B110" s="4" t="s">
        <v>30</v>
      </c>
      <c r="C110" s="4" t="n">
        <v>1996</v>
      </c>
      <c r="D110" s="4" t="n">
        <v>14</v>
      </c>
      <c r="E110" s="4" t="n">
        <v>8</v>
      </c>
      <c r="F110" s="4" t="n">
        <v>57.1428571428571</v>
      </c>
    </row>
    <row r="111" customFormat="false" ht="15" hidden="false" customHeight="false" outlineLevel="0" collapsed="false">
      <c r="A111" s="4" t="s">
        <v>3</v>
      </c>
      <c r="B111" s="4" t="s">
        <v>30</v>
      </c>
      <c r="C111" s="4" t="n">
        <v>1997</v>
      </c>
      <c r="D111" s="4" t="n">
        <v>410</v>
      </c>
      <c r="E111" s="4" t="n">
        <v>282</v>
      </c>
      <c r="F111" s="4" t="n">
        <v>68.7804878048781</v>
      </c>
    </row>
    <row r="112" customFormat="false" ht="15" hidden="false" customHeight="false" outlineLevel="0" collapsed="false">
      <c r="A112" s="4" t="s">
        <v>3</v>
      </c>
      <c r="B112" s="4" t="s">
        <v>30</v>
      </c>
      <c r="C112" s="4" t="n">
        <v>1998</v>
      </c>
      <c r="D112" s="4" t="n">
        <v>1182</v>
      </c>
      <c r="E112" s="4" t="n">
        <v>264</v>
      </c>
      <c r="F112" s="4" t="n">
        <v>22.3350253807107</v>
      </c>
    </row>
    <row r="113" customFormat="false" ht="15" hidden="false" customHeight="false" outlineLevel="0" collapsed="false">
      <c r="A113" s="4" t="s">
        <v>3</v>
      </c>
      <c r="B113" s="4" t="s">
        <v>30</v>
      </c>
      <c r="C113" s="4" t="n">
        <v>1999</v>
      </c>
      <c r="D113" s="4" t="n">
        <v>4</v>
      </c>
      <c r="E113" s="4" t="n">
        <v>0</v>
      </c>
      <c r="F113" s="4" t="n">
        <v>0</v>
      </c>
    </row>
    <row r="114" customFormat="false" ht="15" hidden="false" customHeight="false" outlineLevel="0" collapsed="false">
      <c r="A114" s="4" t="s">
        <v>3</v>
      </c>
      <c r="B114" s="4" t="s">
        <v>30</v>
      </c>
      <c r="C114" s="4" t="n">
        <v>2000</v>
      </c>
      <c r="D114" s="4" t="n">
        <v>22</v>
      </c>
      <c r="E114" s="4" t="n">
        <v>4</v>
      </c>
      <c r="F114" s="4" t="n">
        <v>18.1818181818182</v>
      </c>
    </row>
    <row r="115" customFormat="false" ht="15" hidden="false" customHeight="false" outlineLevel="0" collapsed="false">
      <c r="A115" s="4" t="s">
        <v>3</v>
      </c>
      <c r="B115" s="4" t="s">
        <v>30</v>
      </c>
      <c r="C115" s="4" t="n">
        <v>2001</v>
      </c>
      <c r="D115" s="4" t="n">
        <v>148</v>
      </c>
      <c r="E115" s="4" t="n">
        <v>64</v>
      </c>
      <c r="F115" s="4" t="n">
        <v>43.2432432432432</v>
      </c>
    </row>
    <row r="116" customFormat="false" ht="15" hidden="false" customHeight="false" outlineLevel="0" collapsed="false">
      <c r="A116" s="4" t="s">
        <v>3</v>
      </c>
      <c r="B116" s="4" t="s">
        <v>30</v>
      </c>
      <c r="C116" s="4" t="n">
        <v>2002</v>
      </c>
      <c r="D116" s="4" t="n">
        <v>234</v>
      </c>
      <c r="E116" s="4" t="n">
        <v>28</v>
      </c>
      <c r="F116" s="4" t="n">
        <v>11.965811965812</v>
      </c>
    </row>
    <row r="117" customFormat="false" ht="15" hidden="false" customHeight="false" outlineLevel="0" collapsed="false">
      <c r="A117" s="4" t="s">
        <v>3</v>
      </c>
      <c r="B117" s="4" t="s">
        <v>30</v>
      </c>
      <c r="C117" s="4" t="n">
        <v>2003</v>
      </c>
      <c r="D117" s="4" t="n">
        <v>3474</v>
      </c>
      <c r="E117" s="4" t="n">
        <v>222</v>
      </c>
      <c r="F117" s="4" t="n">
        <v>6.39032815198618</v>
      </c>
    </row>
    <row r="118" customFormat="false" ht="15" hidden="false" customHeight="false" outlineLevel="0" collapsed="false">
      <c r="A118" s="4" t="s">
        <v>3</v>
      </c>
      <c r="B118" s="4" t="s">
        <v>30</v>
      </c>
      <c r="C118" s="4" t="n">
        <v>2004</v>
      </c>
      <c r="D118" s="4" t="n">
        <v>342</v>
      </c>
      <c r="E118" s="4" t="n">
        <v>126</v>
      </c>
      <c r="F118" s="4" t="n">
        <v>36.8421052631579</v>
      </c>
    </row>
    <row r="119" customFormat="false" ht="15" hidden="false" customHeight="false" outlineLevel="0" collapsed="false">
      <c r="A119" s="4" t="s">
        <v>3</v>
      </c>
      <c r="B119" s="4" t="s">
        <v>30</v>
      </c>
      <c r="C119" s="4" t="n">
        <v>2005</v>
      </c>
      <c r="D119" s="4" t="n">
        <v>702</v>
      </c>
      <c r="E119" s="4" t="n">
        <v>322</v>
      </c>
      <c r="F119" s="4" t="n">
        <v>45.8689458689459</v>
      </c>
    </row>
    <row r="120" customFormat="false" ht="15" hidden="false" customHeight="false" outlineLevel="0" collapsed="false">
      <c r="A120" s="4" t="s">
        <v>3</v>
      </c>
      <c r="B120" s="4" t="s">
        <v>30</v>
      </c>
      <c r="C120" s="4" t="n">
        <v>2006</v>
      </c>
      <c r="D120" s="4" t="n">
        <v>722</v>
      </c>
      <c r="E120" s="4" t="n">
        <v>174</v>
      </c>
      <c r="F120" s="4" t="n">
        <v>24.0997229916898</v>
      </c>
    </row>
    <row r="121" customFormat="false" ht="15" hidden="false" customHeight="false" outlineLevel="0" collapsed="false">
      <c r="A121" s="4" t="s">
        <v>3</v>
      </c>
      <c r="B121" s="4" t="s">
        <v>30</v>
      </c>
      <c r="C121" s="4" t="n">
        <v>2007</v>
      </c>
      <c r="D121" s="4" t="n">
        <v>2066</v>
      </c>
      <c r="E121" s="4" t="n">
        <v>560</v>
      </c>
      <c r="F121" s="4" t="n">
        <v>27.1055179090029</v>
      </c>
    </row>
    <row r="122" customFormat="false" ht="15" hidden="false" customHeight="false" outlineLevel="0" collapsed="false">
      <c r="A122" s="4" t="s">
        <v>3</v>
      </c>
      <c r="B122" s="4" t="s">
        <v>30</v>
      </c>
      <c r="C122" s="4" t="n">
        <v>2008</v>
      </c>
      <c r="D122" s="4" t="n">
        <v>5590</v>
      </c>
      <c r="E122" s="4" t="n">
        <v>1568</v>
      </c>
      <c r="F122" s="4" t="n">
        <v>28.0500894454383</v>
      </c>
    </row>
    <row r="123" customFormat="false" ht="15" hidden="false" customHeight="false" outlineLevel="0" collapsed="false">
      <c r="A123" s="4" t="s">
        <v>3</v>
      </c>
      <c r="B123" s="4" t="s">
        <v>30</v>
      </c>
      <c r="C123" s="4" t="n">
        <v>2009</v>
      </c>
      <c r="D123" s="4" t="n">
        <v>10386</v>
      </c>
      <c r="E123" s="4" t="n">
        <v>1306</v>
      </c>
      <c r="F123" s="4" t="n">
        <v>12.5746196803389</v>
      </c>
    </row>
    <row r="124" customFormat="false" ht="15" hidden="false" customHeight="false" outlineLevel="0" collapsed="false">
      <c r="A124" s="4" t="s">
        <v>3</v>
      </c>
      <c r="B124" s="4" t="s">
        <v>30</v>
      </c>
      <c r="C124" s="4" t="n">
        <v>2010</v>
      </c>
      <c r="D124" s="4" t="n">
        <v>1152</v>
      </c>
      <c r="E124" s="4" t="n">
        <v>376</v>
      </c>
      <c r="F124" s="4" t="n">
        <v>32.6388888888889</v>
      </c>
    </row>
    <row r="125" customFormat="false" ht="15" hidden="false" customHeight="false" outlineLevel="0" collapsed="false">
      <c r="A125" s="4" t="s">
        <v>3</v>
      </c>
      <c r="B125" s="4" t="s">
        <v>30</v>
      </c>
      <c r="C125" s="4" t="n">
        <v>2011</v>
      </c>
      <c r="D125" s="4" t="n">
        <v>548</v>
      </c>
      <c r="E125" s="4" t="n">
        <v>164</v>
      </c>
      <c r="F125" s="4" t="n">
        <v>29.9270072992701</v>
      </c>
    </row>
    <row r="126" customFormat="false" ht="15" hidden="false" customHeight="false" outlineLevel="0" collapsed="false">
      <c r="A126" s="4" t="s">
        <v>3</v>
      </c>
      <c r="B126" s="4" t="s">
        <v>30</v>
      </c>
      <c r="C126" s="4" t="n">
        <v>2012</v>
      </c>
      <c r="D126" s="4" t="n">
        <v>2882</v>
      </c>
      <c r="E126" s="4" t="n">
        <v>562</v>
      </c>
      <c r="F126" s="4" t="n">
        <v>19.500346981263</v>
      </c>
    </row>
    <row r="127" customFormat="false" ht="15" hidden="false" customHeight="false" outlineLevel="0" collapsed="false">
      <c r="A127" s="4" t="s">
        <v>3</v>
      </c>
      <c r="B127" s="4" t="s">
        <v>30</v>
      </c>
      <c r="C127" s="4" t="n">
        <v>2013</v>
      </c>
      <c r="D127" s="4" t="n">
        <v>792</v>
      </c>
      <c r="E127" s="4" t="n">
        <v>192</v>
      </c>
      <c r="F127" s="4" t="n">
        <v>24.2424242424242</v>
      </c>
    </row>
    <row r="128" customFormat="false" ht="15" hidden="false" customHeight="false" outlineLevel="0" collapsed="false">
      <c r="A128" s="4" t="s">
        <v>3</v>
      </c>
      <c r="B128" s="4" t="s">
        <v>30</v>
      </c>
      <c r="C128" s="4" t="n">
        <v>2014</v>
      </c>
      <c r="D128" s="4" t="n">
        <v>1094</v>
      </c>
      <c r="E128" s="4" t="n">
        <v>486</v>
      </c>
      <c r="F128" s="4" t="n">
        <v>44.4241316270567</v>
      </c>
    </row>
    <row r="129" customFormat="false" ht="15" hidden="false" customHeight="false" outlineLevel="0" collapsed="false">
      <c r="A129" s="4" t="s">
        <v>3</v>
      </c>
      <c r="B129" s="4" t="s">
        <v>30</v>
      </c>
      <c r="C129" s="4" t="n">
        <v>2015</v>
      </c>
      <c r="D129" s="4" t="n">
        <v>20</v>
      </c>
      <c r="E129" s="4" t="n">
        <v>0</v>
      </c>
      <c r="F129" s="4" t="n">
        <v>0</v>
      </c>
    </row>
    <row r="130" customFormat="false" ht="15" hidden="false" customHeight="false" outlineLevel="0" collapsed="false">
      <c r="A130" s="4" t="s">
        <v>3</v>
      </c>
      <c r="B130" s="4" t="s">
        <v>30</v>
      </c>
      <c r="C130" s="4" t="n">
        <v>2016</v>
      </c>
      <c r="D130" s="4" t="n">
        <v>60</v>
      </c>
      <c r="E130" s="4" t="n">
        <v>20</v>
      </c>
      <c r="F130" s="4" t="n">
        <v>33.3333333333333</v>
      </c>
    </row>
    <row r="131" customFormat="false" ht="15" hidden="false" customHeight="false" outlineLevel="0" collapsed="false">
      <c r="A131" s="4" t="s">
        <v>3</v>
      </c>
      <c r="B131" s="4" t="s">
        <v>30</v>
      </c>
      <c r="C131" s="4" t="n">
        <v>2017</v>
      </c>
      <c r="D131" s="4" t="n">
        <v>2672</v>
      </c>
      <c r="E131" s="4" t="n">
        <v>1658</v>
      </c>
      <c r="F131" s="4" t="n">
        <v>62.0508982035928</v>
      </c>
    </row>
    <row r="132" customFormat="false" ht="15" hidden="false" customHeight="false" outlineLevel="0" collapsed="false">
      <c r="A132" s="4" t="s">
        <v>3</v>
      </c>
      <c r="B132" s="4" t="s">
        <v>30</v>
      </c>
      <c r="C132" s="4" t="n">
        <v>2018</v>
      </c>
      <c r="D132" s="4" t="n">
        <v>1882</v>
      </c>
      <c r="E132" s="4" t="n">
        <v>1078</v>
      </c>
      <c r="F132" s="4" t="n">
        <v>57.2794899043571</v>
      </c>
    </row>
    <row r="133" customFormat="false" ht="15" hidden="false" customHeight="false" outlineLevel="0" collapsed="false">
      <c r="A133" s="4" t="s">
        <v>3</v>
      </c>
      <c r="B133" s="4" t="s">
        <v>30</v>
      </c>
      <c r="C133" s="4" t="n">
        <v>2019</v>
      </c>
      <c r="D133" s="4" t="n">
        <v>42</v>
      </c>
      <c r="E133" s="4" t="n">
        <v>2</v>
      </c>
      <c r="F133" s="4" t="n">
        <v>4.76190476190476</v>
      </c>
    </row>
    <row r="134" customFormat="false" ht="15" hidden="false" customHeight="false" outlineLevel="0" collapsed="false">
      <c r="A134" s="4" t="s">
        <v>3</v>
      </c>
      <c r="B134" s="4" t="s">
        <v>30</v>
      </c>
      <c r="C134" s="4" t="n">
        <v>2020</v>
      </c>
      <c r="D134" s="4" t="n">
        <v>24</v>
      </c>
      <c r="E134" s="4" t="n">
        <v>0</v>
      </c>
      <c r="F134" s="4" t="n">
        <v>0</v>
      </c>
    </row>
    <row r="135" customFormat="false" ht="15" hidden="false" customHeight="false" outlineLevel="0" collapsed="false">
      <c r="A135" s="4" t="s">
        <v>3</v>
      </c>
      <c r="B135" s="4" t="s">
        <v>30</v>
      </c>
      <c r="C135" s="4" t="n">
        <v>2021</v>
      </c>
      <c r="D135" s="4" t="n">
        <v>22</v>
      </c>
      <c r="E135" s="4" t="n">
        <v>0</v>
      </c>
      <c r="F135" s="4" t="n">
        <v>0</v>
      </c>
    </row>
    <row r="136" customFormat="false" ht="15" hidden="false" customHeight="false" outlineLevel="0" collapsed="false">
      <c r="A136" s="4" t="s">
        <v>3</v>
      </c>
      <c r="B136" s="4" t="s">
        <v>30</v>
      </c>
      <c r="C136" s="4" t="n">
        <v>2022</v>
      </c>
      <c r="D136" s="4" t="n">
        <v>2</v>
      </c>
      <c r="E136" s="4" t="n">
        <v>0</v>
      </c>
      <c r="F136" s="4" t="n">
        <v>0</v>
      </c>
    </row>
    <row r="137" customFormat="false" ht="15" hidden="false" customHeight="false" outlineLevel="0" collapsed="false">
      <c r="A137" s="4" t="s">
        <v>3</v>
      </c>
      <c r="B137" s="4" t="s">
        <v>30</v>
      </c>
      <c r="C137" s="4" t="n">
        <v>2023</v>
      </c>
      <c r="D137" s="4" t="n">
        <v>2</v>
      </c>
      <c r="E137" s="4" t="n">
        <v>0</v>
      </c>
      <c r="F137" s="4" t="n">
        <v>0</v>
      </c>
    </row>
    <row r="138" customFormat="false" ht="15" hidden="false" customHeight="false" outlineLevel="0" collapsed="false">
      <c r="A138" s="4" t="s">
        <v>3</v>
      </c>
      <c r="B138" s="4" t="s">
        <v>30</v>
      </c>
      <c r="C138" s="4" t="n">
        <v>2024</v>
      </c>
      <c r="D138" s="4" t="n">
        <v>18</v>
      </c>
      <c r="E138" s="4" t="n">
        <v>0</v>
      </c>
      <c r="F138" s="4" t="n">
        <v>0</v>
      </c>
    </row>
    <row r="139" customFormat="false" ht="15" hidden="false" customHeight="false" outlineLevel="0" collapsed="false">
      <c r="A139" s="4" t="s">
        <v>3</v>
      </c>
      <c r="B139" s="4" t="s">
        <v>31</v>
      </c>
      <c r="C139" s="4" t="n">
        <v>2002</v>
      </c>
      <c r="D139" s="4" t="n">
        <v>1</v>
      </c>
      <c r="E139" s="4" t="n">
        <v>0</v>
      </c>
      <c r="F139" s="4" t="n">
        <v>0</v>
      </c>
    </row>
    <row r="140" customFormat="false" ht="15" hidden="false" customHeight="false" outlineLevel="0" collapsed="false">
      <c r="A140" s="4" t="s">
        <v>3</v>
      </c>
      <c r="B140" s="4" t="s">
        <v>31</v>
      </c>
      <c r="C140" s="4" t="n">
        <v>2005</v>
      </c>
      <c r="D140" s="4" t="n">
        <v>36</v>
      </c>
      <c r="E140" s="4" t="n">
        <v>23</v>
      </c>
      <c r="F140" s="4" t="n">
        <v>63.8888888888889</v>
      </c>
    </row>
    <row r="141" customFormat="false" ht="15" hidden="false" customHeight="false" outlineLevel="0" collapsed="false">
      <c r="A141" s="4" t="s">
        <v>3</v>
      </c>
      <c r="B141" s="4" t="s">
        <v>31</v>
      </c>
      <c r="C141" s="4" t="n">
        <v>2006</v>
      </c>
      <c r="D141" s="4" t="n">
        <v>25</v>
      </c>
      <c r="E141" s="4" t="n">
        <v>10</v>
      </c>
      <c r="F141" s="4" t="n">
        <v>40</v>
      </c>
    </row>
    <row r="142" customFormat="false" ht="15" hidden="false" customHeight="false" outlineLevel="0" collapsed="false">
      <c r="A142" s="4" t="s">
        <v>3</v>
      </c>
      <c r="B142" s="4" t="s">
        <v>31</v>
      </c>
      <c r="C142" s="4" t="n">
        <v>2007</v>
      </c>
      <c r="D142" s="4" t="n">
        <v>48</v>
      </c>
      <c r="E142" s="4" t="n">
        <v>19</v>
      </c>
      <c r="F142" s="4" t="n">
        <v>39.5833333333333</v>
      </c>
    </row>
    <row r="143" customFormat="false" ht="15" hidden="false" customHeight="false" outlineLevel="0" collapsed="false">
      <c r="A143" s="4" t="s">
        <v>3</v>
      </c>
      <c r="B143" s="4" t="s">
        <v>31</v>
      </c>
      <c r="C143" s="4" t="n">
        <v>2008</v>
      </c>
      <c r="D143" s="4" t="n">
        <v>117</v>
      </c>
      <c r="E143" s="4" t="n">
        <v>37</v>
      </c>
      <c r="F143" s="4" t="n">
        <v>31.6239316239316</v>
      </c>
    </row>
    <row r="144" customFormat="false" ht="15" hidden="false" customHeight="false" outlineLevel="0" collapsed="false">
      <c r="A144" s="4" t="s">
        <v>3</v>
      </c>
      <c r="B144" s="4" t="s">
        <v>31</v>
      </c>
      <c r="C144" s="4" t="n">
        <v>2009</v>
      </c>
      <c r="D144" s="4" t="n">
        <v>42</v>
      </c>
      <c r="E144" s="4" t="n">
        <v>10</v>
      </c>
      <c r="F144" s="4" t="n">
        <v>23.8095238095238</v>
      </c>
    </row>
    <row r="145" customFormat="false" ht="15" hidden="false" customHeight="false" outlineLevel="0" collapsed="false">
      <c r="A145" s="4" t="s">
        <v>3</v>
      </c>
      <c r="B145" s="4" t="s">
        <v>31</v>
      </c>
      <c r="C145" s="4" t="n">
        <v>2010</v>
      </c>
      <c r="D145" s="4" t="n">
        <v>125</v>
      </c>
      <c r="E145" s="4" t="n">
        <v>84</v>
      </c>
      <c r="F145" s="4" t="n">
        <v>67.2</v>
      </c>
    </row>
    <row r="146" customFormat="false" ht="15" hidden="false" customHeight="false" outlineLevel="0" collapsed="false">
      <c r="A146" s="4" t="s">
        <v>3</v>
      </c>
      <c r="B146" s="4" t="s">
        <v>31</v>
      </c>
      <c r="C146" s="4" t="n">
        <v>2011</v>
      </c>
      <c r="D146" s="4" t="n">
        <v>84</v>
      </c>
      <c r="E146" s="4" t="n">
        <v>49</v>
      </c>
      <c r="F146" s="4" t="n">
        <v>58.3333333333333</v>
      </c>
    </row>
    <row r="147" customFormat="false" ht="15" hidden="false" customHeight="false" outlineLevel="0" collapsed="false">
      <c r="A147" s="4" t="s">
        <v>3</v>
      </c>
      <c r="B147" s="4" t="s">
        <v>31</v>
      </c>
      <c r="C147" s="4" t="n">
        <v>2012</v>
      </c>
      <c r="D147" s="4" t="n">
        <v>91</v>
      </c>
      <c r="E147" s="4" t="n">
        <v>24</v>
      </c>
      <c r="F147" s="4" t="n">
        <v>26.3736263736264</v>
      </c>
    </row>
    <row r="148" customFormat="false" ht="15" hidden="false" customHeight="false" outlineLevel="0" collapsed="false">
      <c r="A148" s="4" t="s">
        <v>3</v>
      </c>
      <c r="B148" s="4" t="s">
        <v>31</v>
      </c>
      <c r="C148" s="4" t="n">
        <v>2013</v>
      </c>
      <c r="D148" s="4" t="n">
        <v>33</v>
      </c>
      <c r="E148" s="4" t="n">
        <v>11</v>
      </c>
      <c r="F148" s="4" t="n">
        <v>33.3333333333333</v>
      </c>
    </row>
    <row r="149" customFormat="false" ht="15" hidden="false" customHeight="false" outlineLevel="0" collapsed="false">
      <c r="A149" s="4" t="s">
        <v>3</v>
      </c>
      <c r="B149" s="4" t="s">
        <v>31</v>
      </c>
      <c r="C149" s="4" t="n">
        <v>2017</v>
      </c>
      <c r="D149" s="4" t="n">
        <v>1204</v>
      </c>
      <c r="E149" s="4" t="n">
        <v>563</v>
      </c>
      <c r="F149" s="4" t="n">
        <v>46.7607973421927</v>
      </c>
    </row>
    <row r="150" customFormat="false" ht="15" hidden="false" customHeight="false" outlineLevel="0" collapsed="false">
      <c r="A150" s="4" t="s">
        <v>3</v>
      </c>
      <c r="B150" s="4" t="s">
        <v>31</v>
      </c>
      <c r="C150" s="4" t="n">
        <v>2018</v>
      </c>
      <c r="D150" s="4" t="n">
        <v>834</v>
      </c>
      <c r="E150" s="4" t="n">
        <v>384</v>
      </c>
      <c r="F150" s="4" t="n">
        <v>46.0431654676259</v>
      </c>
    </row>
    <row r="151" customFormat="false" ht="15" hidden="false" customHeight="false" outlineLevel="0" collapsed="false">
      <c r="A151" s="4" t="s">
        <v>3</v>
      </c>
      <c r="B151" s="4" t="s">
        <v>32</v>
      </c>
      <c r="C151" s="4" t="n">
        <v>1991</v>
      </c>
      <c r="D151" s="4" t="n">
        <v>2</v>
      </c>
      <c r="E151" s="4" t="n">
        <v>2</v>
      </c>
      <c r="F151" s="4" t="n">
        <v>100</v>
      </c>
    </row>
    <row r="152" customFormat="false" ht="15" hidden="false" customHeight="false" outlineLevel="0" collapsed="false">
      <c r="A152" s="4" t="s">
        <v>3</v>
      </c>
      <c r="B152" s="4" t="s">
        <v>32</v>
      </c>
      <c r="C152" s="4" t="n">
        <v>1993</v>
      </c>
      <c r="D152" s="4" t="n">
        <v>1318</v>
      </c>
      <c r="E152" s="4" t="n">
        <v>348</v>
      </c>
      <c r="F152" s="4" t="n">
        <v>26.4036418816388</v>
      </c>
    </row>
    <row r="153" customFormat="false" ht="15" hidden="false" customHeight="false" outlineLevel="0" collapsed="false">
      <c r="A153" s="4" t="s">
        <v>3</v>
      </c>
      <c r="B153" s="4" t="s">
        <v>32</v>
      </c>
      <c r="C153" s="4" t="n">
        <v>1994</v>
      </c>
      <c r="D153" s="4" t="n">
        <v>2</v>
      </c>
      <c r="E153" s="4" t="n">
        <v>0</v>
      </c>
      <c r="F153" s="4" t="n">
        <v>0</v>
      </c>
    </row>
    <row r="154" customFormat="false" ht="15" hidden="false" customHeight="false" outlineLevel="0" collapsed="false">
      <c r="A154" s="4" t="s">
        <v>3</v>
      </c>
      <c r="B154" s="4" t="s">
        <v>32</v>
      </c>
      <c r="C154" s="4" t="n">
        <v>1995</v>
      </c>
      <c r="D154" s="4" t="n">
        <v>4</v>
      </c>
      <c r="E154" s="4" t="n">
        <v>4</v>
      </c>
      <c r="F154" s="4" t="n">
        <v>100</v>
      </c>
    </row>
    <row r="155" customFormat="false" ht="15" hidden="false" customHeight="false" outlineLevel="0" collapsed="false">
      <c r="A155" s="4" t="s">
        <v>3</v>
      </c>
      <c r="B155" s="4" t="s">
        <v>32</v>
      </c>
      <c r="C155" s="4" t="n">
        <v>1996</v>
      </c>
      <c r="D155" s="4" t="n">
        <v>14</v>
      </c>
      <c r="E155" s="4" t="n">
        <v>10</v>
      </c>
      <c r="F155" s="4" t="n">
        <v>71.4285714285714</v>
      </c>
    </row>
    <row r="156" customFormat="false" ht="15" hidden="false" customHeight="false" outlineLevel="0" collapsed="false">
      <c r="A156" s="4" t="s">
        <v>3</v>
      </c>
      <c r="B156" s="4" t="s">
        <v>32</v>
      </c>
      <c r="C156" s="4" t="n">
        <v>1997</v>
      </c>
      <c r="D156" s="4" t="n">
        <v>640</v>
      </c>
      <c r="E156" s="4" t="n">
        <v>504</v>
      </c>
      <c r="F156" s="4" t="n">
        <v>78.75</v>
      </c>
    </row>
    <row r="157" customFormat="false" ht="15" hidden="false" customHeight="false" outlineLevel="0" collapsed="false">
      <c r="A157" s="4" t="s">
        <v>3</v>
      </c>
      <c r="B157" s="4" t="s">
        <v>32</v>
      </c>
      <c r="C157" s="4" t="n">
        <v>1998</v>
      </c>
      <c r="D157" s="4" t="n">
        <v>1246</v>
      </c>
      <c r="E157" s="4" t="n">
        <v>460</v>
      </c>
      <c r="F157" s="4" t="n">
        <v>36.9181380417335</v>
      </c>
    </row>
    <row r="158" customFormat="false" ht="15" hidden="false" customHeight="false" outlineLevel="0" collapsed="false">
      <c r="A158" s="4" t="s">
        <v>3</v>
      </c>
      <c r="B158" s="4" t="s">
        <v>32</v>
      </c>
      <c r="C158" s="4" t="n">
        <v>1999</v>
      </c>
      <c r="D158" s="4" t="n">
        <v>4</v>
      </c>
      <c r="E158" s="4" t="n">
        <v>2</v>
      </c>
      <c r="F158" s="4" t="n">
        <v>50</v>
      </c>
    </row>
    <row r="159" customFormat="false" ht="15" hidden="false" customHeight="false" outlineLevel="0" collapsed="false">
      <c r="A159" s="4" t="s">
        <v>3</v>
      </c>
      <c r="B159" s="4" t="s">
        <v>32</v>
      </c>
      <c r="C159" s="4" t="n">
        <v>2000</v>
      </c>
      <c r="D159" s="4" t="n">
        <v>28</v>
      </c>
      <c r="E159" s="4" t="n">
        <v>12</v>
      </c>
      <c r="F159" s="4" t="n">
        <v>42.8571428571429</v>
      </c>
    </row>
    <row r="160" customFormat="false" ht="15" hidden="false" customHeight="false" outlineLevel="0" collapsed="false">
      <c r="A160" s="4" t="s">
        <v>3</v>
      </c>
      <c r="B160" s="4" t="s">
        <v>32</v>
      </c>
      <c r="C160" s="4" t="n">
        <v>2001</v>
      </c>
      <c r="D160" s="4" t="n">
        <v>148</v>
      </c>
      <c r="E160" s="4" t="n">
        <v>96</v>
      </c>
      <c r="F160" s="4" t="n">
        <v>64.8648648648649</v>
      </c>
    </row>
    <row r="161" customFormat="false" ht="15" hidden="false" customHeight="false" outlineLevel="0" collapsed="false">
      <c r="A161" s="4" t="s">
        <v>3</v>
      </c>
      <c r="B161" s="4" t="s">
        <v>32</v>
      </c>
      <c r="C161" s="4" t="n">
        <v>2002</v>
      </c>
      <c r="D161" s="4" t="n">
        <v>236</v>
      </c>
      <c r="E161" s="4" t="n">
        <v>76</v>
      </c>
      <c r="F161" s="4" t="n">
        <v>32.2033898305085</v>
      </c>
    </row>
    <row r="162" customFormat="false" ht="15" hidden="false" customHeight="false" outlineLevel="0" collapsed="false">
      <c r="A162" s="4" t="s">
        <v>3</v>
      </c>
      <c r="B162" s="4" t="s">
        <v>32</v>
      </c>
      <c r="C162" s="4" t="n">
        <v>2003</v>
      </c>
      <c r="D162" s="4" t="n">
        <v>3492</v>
      </c>
      <c r="E162" s="4" t="n">
        <v>780</v>
      </c>
      <c r="F162" s="4" t="n">
        <v>22.3367697594502</v>
      </c>
    </row>
    <row r="163" customFormat="false" ht="15" hidden="false" customHeight="false" outlineLevel="0" collapsed="false">
      <c r="A163" s="4" t="s">
        <v>3</v>
      </c>
      <c r="B163" s="4" t="s">
        <v>32</v>
      </c>
      <c r="C163" s="4" t="n">
        <v>2004</v>
      </c>
      <c r="D163" s="4" t="n">
        <v>352</v>
      </c>
      <c r="E163" s="4" t="n">
        <v>248</v>
      </c>
      <c r="F163" s="4" t="n">
        <v>70.4545454545455</v>
      </c>
    </row>
    <row r="164" customFormat="false" ht="15" hidden="false" customHeight="false" outlineLevel="0" collapsed="false">
      <c r="A164" s="4" t="s">
        <v>3</v>
      </c>
      <c r="B164" s="4" t="s">
        <v>32</v>
      </c>
      <c r="C164" s="4" t="n">
        <v>2005</v>
      </c>
      <c r="D164" s="4" t="n">
        <v>746</v>
      </c>
      <c r="E164" s="4" t="n">
        <v>452</v>
      </c>
      <c r="F164" s="4" t="n">
        <v>60.5898123324397</v>
      </c>
    </row>
    <row r="165" customFormat="false" ht="15" hidden="false" customHeight="false" outlineLevel="0" collapsed="false">
      <c r="A165" s="4" t="s">
        <v>3</v>
      </c>
      <c r="B165" s="4" t="s">
        <v>32</v>
      </c>
      <c r="C165" s="4" t="n">
        <v>2006</v>
      </c>
      <c r="D165" s="4" t="n">
        <v>848</v>
      </c>
      <c r="E165" s="4" t="n">
        <v>488</v>
      </c>
      <c r="F165" s="4" t="n">
        <v>57.5471698113208</v>
      </c>
    </row>
    <row r="166" customFormat="false" ht="15" hidden="false" customHeight="false" outlineLevel="0" collapsed="false">
      <c r="A166" s="4" t="s">
        <v>3</v>
      </c>
      <c r="B166" s="4" t="s">
        <v>32</v>
      </c>
      <c r="C166" s="4" t="n">
        <v>2007</v>
      </c>
      <c r="D166" s="4" t="n">
        <v>2186</v>
      </c>
      <c r="E166" s="4" t="n">
        <v>1152</v>
      </c>
      <c r="F166" s="4" t="n">
        <v>52.6989935956084</v>
      </c>
    </row>
    <row r="167" customFormat="false" ht="15" hidden="false" customHeight="false" outlineLevel="0" collapsed="false">
      <c r="A167" s="4" t="s">
        <v>3</v>
      </c>
      <c r="B167" s="4" t="s">
        <v>32</v>
      </c>
      <c r="C167" s="4" t="n">
        <v>2008</v>
      </c>
      <c r="D167" s="4" t="n">
        <v>5936</v>
      </c>
      <c r="E167" s="4" t="n">
        <v>3430</v>
      </c>
      <c r="F167" s="4" t="n">
        <v>57.7830188679245</v>
      </c>
    </row>
    <row r="168" customFormat="false" ht="15" hidden="false" customHeight="false" outlineLevel="0" collapsed="false">
      <c r="A168" s="4" t="s">
        <v>3</v>
      </c>
      <c r="B168" s="4" t="s">
        <v>32</v>
      </c>
      <c r="C168" s="4" t="n">
        <v>2009</v>
      </c>
      <c r="D168" s="4" t="n">
        <v>10822</v>
      </c>
      <c r="E168" s="4" t="n">
        <v>3130</v>
      </c>
      <c r="F168" s="4" t="n">
        <v>28.9225651450749</v>
      </c>
    </row>
    <row r="169" customFormat="false" ht="15" hidden="false" customHeight="false" outlineLevel="0" collapsed="false">
      <c r="A169" s="4" t="s">
        <v>3</v>
      </c>
      <c r="B169" s="4" t="s">
        <v>32</v>
      </c>
      <c r="C169" s="4" t="n">
        <v>2010</v>
      </c>
      <c r="D169" s="4" t="n">
        <v>1406</v>
      </c>
      <c r="E169" s="4" t="n">
        <v>730</v>
      </c>
      <c r="F169" s="4" t="n">
        <v>51.9203413940256</v>
      </c>
    </row>
    <row r="170" customFormat="false" ht="15" hidden="false" customHeight="false" outlineLevel="0" collapsed="false">
      <c r="A170" s="4" t="s">
        <v>3</v>
      </c>
      <c r="B170" s="4" t="s">
        <v>32</v>
      </c>
      <c r="C170" s="4" t="n">
        <v>2011</v>
      </c>
      <c r="D170" s="4" t="n">
        <v>670</v>
      </c>
      <c r="E170" s="4" t="n">
        <v>366</v>
      </c>
      <c r="F170" s="4" t="n">
        <v>54.6268656716418</v>
      </c>
    </row>
    <row r="171" customFormat="false" ht="15" hidden="false" customHeight="false" outlineLevel="0" collapsed="false">
      <c r="A171" s="4" t="s">
        <v>3</v>
      </c>
      <c r="B171" s="4" t="s">
        <v>32</v>
      </c>
      <c r="C171" s="4" t="n">
        <v>2012</v>
      </c>
      <c r="D171" s="4" t="n">
        <v>2712</v>
      </c>
      <c r="E171" s="4" t="n">
        <v>822</v>
      </c>
      <c r="F171" s="4" t="n">
        <v>30.3097345132743</v>
      </c>
    </row>
    <row r="172" customFormat="false" ht="15" hidden="false" customHeight="false" outlineLevel="0" collapsed="false">
      <c r="A172" s="4" t="s">
        <v>3</v>
      </c>
      <c r="B172" s="4" t="s">
        <v>32</v>
      </c>
      <c r="C172" s="4" t="n">
        <v>2013</v>
      </c>
      <c r="D172" s="4" t="n">
        <v>1882</v>
      </c>
      <c r="E172" s="4" t="n">
        <v>1046</v>
      </c>
      <c r="F172" s="4" t="n">
        <v>55.5791710945802</v>
      </c>
    </row>
    <row r="173" customFormat="false" ht="15" hidden="false" customHeight="false" outlineLevel="0" collapsed="false">
      <c r="A173" s="4" t="s">
        <v>3</v>
      </c>
      <c r="B173" s="4" t="s">
        <v>32</v>
      </c>
      <c r="C173" s="4" t="n">
        <v>2014</v>
      </c>
      <c r="D173" s="4" t="n">
        <v>1176</v>
      </c>
      <c r="E173" s="4" t="n">
        <v>834</v>
      </c>
      <c r="F173" s="4" t="n">
        <v>70.9183673469388</v>
      </c>
    </row>
    <row r="174" customFormat="false" ht="15" hidden="false" customHeight="false" outlineLevel="0" collapsed="false">
      <c r="A174" s="4" t="s">
        <v>3</v>
      </c>
      <c r="B174" s="4" t="s">
        <v>32</v>
      </c>
      <c r="C174" s="4" t="n">
        <v>2015</v>
      </c>
      <c r="D174" s="4" t="n">
        <v>20</v>
      </c>
      <c r="E174" s="4" t="n">
        <v>4</v>
      </c>
      <c r="F174" s="4" t="n">
        <v>20</v>
      </c>
    </row>
    <row r="175" customFormat="false" ht="15" hidden="false" customHeight="false" outlineLevel="0" collapsed="false">
      <c r="A175" s="4" t="s">
        <v>3</v>
      </c>
      <c r="B175" s="4" t="s">
        <v>32</v>
      </c>
      <c r="C175" s="4" t="n">
        <v>2016</v>
      </c>
      <c r="D175" s="4" t="n">
        <v>60</v>
      </c>
      <c r="E175" s="4" t="n">
        <v>34</v>
      </c>
      <c r="F175" s="4" t="n">
        <v>56.6666666666667</v>
      </c>
    </row>
    <row r="176" customFormat="false" ht="15" hidden="false" customHeight="false" outlineLevel="0" collapsed="false">
      <c r="A176" s="4" t="s">
        <v>3</v>
      </c>
      <c r="B176" s="4" t="s">
        <v>32</v>
      </c>
      <c r="C176" s="4" t="n">
        <v>2017</v>
      </c>
      <c r="D176" s="4" t="n">
        <v>2674</v>
      </c>
      <c r="E176" s="4" t="n">
        <v>1508</v>
      </c>
      <c r="F176" s="4" t="n">
        <v>56.394913986537</v>
      </c>
    </row>
    <row r="177" customFormat="false" ht="15" hidden="false" customHeight="false" outlineLevel="0" collapsed="false">
      <c r="A177" s="4" t="s">
        <v>3</v>
      </c>
      <c r="B177" s="4" t="s">
        <v>32</v>
      </c>
      <c r="C177" s="4" t="n">
        <v>2018</v>
      </c>
      <c r="D177" s="4" t="n">
        <v>1882</v>
      </c>
      <c r="E177" s="4" t="n">
        <v>912</v>
      </c>
      <c r="F177" s="4" t="n">
        <v>48.4590860786397</v>
      </c>
    </row>
    <row r="178" customFormat="false" ht="15" hidden="false" customHeight="false" outlineLevel="0" collapsed="false">
      <c r="A178" s="4" t="s">
        <v>3</v>
      </c>
      <c r="B178" s="4" t="s">
        <v>32</v>
      </c>
      <c r="C178" s="4" t="n">
        <v>2019</v>
      </c>
      <c r="D178" s="4" t="n">
        <v>42</v>
      </c>
      <c r="E178" s="4" t="n">
        <v>12</v>
      </c>
      <c r="F178" s="4" t="n">
        <v>28.5714285714286</v>
      </c>
    </row>
    <row r="179" customFormat="false" ht="15" hidden="false" customHeight="false" outlineLevel="0" collapsed="false">
      <c r="A179" s="4" t="s">
        <v>3</v>
      </c>
      <c r="B179" s="4" t="s">
        <v>32</v>
      </c>
      <c r="C179" s="4" t="n">
        <v>2020</v>
      </c>
      <c r="D179" s="4" t="n">
        <v>24</v>
      </c>
      <c r="E179" s="4" t="n">
        <v>4</v>
      </c>
      <c r="F179" s="4" t="n">
        <v>16.6666666666667</v>
      </c>
    </row>
    <row r="180" customFormat="false" ht="15" hidden="false" customHeight="false" outlineLevel="0" collapsed="false">
      <c r="A180" s="4" t="s">
        <v>3</v>
      </c>
      <c r="B180" s="4" t="s">
        <v>32</v>
      </c>
      <c r="C180" s="4" t="n">
        <v>2021</v>
      </c>
      <c r="D180" s="4" t="n">
        <v>22</v>
      </c>
      <c r="E180" s="4" t="n">
        <v>6</v>
      </c>
      <c r="F180" s="4" t="n">
        <v>27.2727272727273</v>
      </c>
    </row>
    <row r="181" customFormat="false" ht="15" hidden="false" customHeight="false" outlineLevel="0" collapsed="false">
      <c r="A181" s="4" t="s">
        <v>3</v>
      </c>
      <c r="B181" s="4" t="s">
        <v>32</v>
      </c>
      <c r="C181" s="4" t="n">
        <v>2022</v>
      </c>
      <c r="D181" s="4" t="n">
        <v>2</v>
      </c>
      <c r="E181" s="4" t="n">
        <v>0</v>
      </c>
      <c r="F181" s="4" t="n">
        <v>0</v>
      </c>
    </row>
    <row r="182" customFormat="false" ht="15" hidden="false" customHeight="false" outlineLevel="0" collapsed="false">
      <c r="A182" s="4" t="s">
        <v>3</v>
      </c>
      <c r="B182" s="4" t="s">
        <v>32</v>
      </c>
      <c r="C182" s="4" t="n">
        <v>2023</v>
      </c>
      <c r="D182" s="4" t="n">
        <v>2</v>
      </c>
      <c r="E182" s="4" t="n">
        <v>0</v>
      </c>
      <c r="F182" s="4" t="n">
        <v>0</v>
      </c>
    </row>
    <row r="183" customFormat="false" ht="15" hidden="false" customHeight="false" outlineLevel="0" collapsed="false">
      <c r="A183" s="4" t="s">
        <v>3</v>
      </c>
      <c r="B183" s="4" t="s">
        <v>32</v>
      </c>
      <c r="C183" s="4" t="n">
        <v>2024</v>
      </c>
      <c r="D183" s="4" t="n">
        <v>18</v>
      </c>
      <c r="E183" s="4" t="n">
        <v>0</v>
      </c>
      <c r="F183" s="4" t="n">
        <v>0</v>
      </c>
    </row>
    <row r="184" customFormat="false" ht="15" hidden="false" customHeight="false" outlineLevel="0" collapsed="false">
      <c r="A184" s="4" t="s">
        <v>3</v>
      </c>
      <c r="B184" s="4" t="s">
        <v>33</v>
      </c>
      <c r="C184" s="4" t="n">
        <v>1995</v>
      </c>
      <c r="D184" s="4" t="n">
        <v>1</v>
      </c>
      <c r="E184" s="4" t="n">
        <v>0</v>
      </c>
      <c r="F184" s="4" t="n">
        <v>0</v>
      </c>
    </row>
    <row r="185" customFormat="false" ht="15" hidden="false" customHeight="false" outlineLevel="0" collapsed="false">
      <c r="A185" s="4" t="s">
        <v>3</v>
      </c>
      <c r="B185" s="4" t="s">
        <v>33</v>
      </c>
      <c r="C185" s="4" t="n">
        <v>1996</v>
      </c>
      <c r="D185" s="4" t="n">
        <v>1</v>
      </c>
      <c r="E185" s="4" t="n">
        <v>0</v>
      </c>
      <c r="F185" s="4" t="n">
        <v>0</v>
      </c>
    </row>
    <row r="186" customFormat="false" ht="15" hidden="false" customHeight="false" outlineLevel="0" collapsed="false">
      <c r="A186" s="4" t="s">
        <v>3</v>
      </c>
      <c r="B186" s="4" t="s">
        <v>33</v>
      </c>
      <c r="C186" s="4" t="n">
        <v>1998</v>
      </c>
      <c r="D186" s="4" t="n">
        <v>1</v>
      </c>
      <c r="E186" s="4" t="n">
        <v>0</v>
      </c>
      <c r="F186" s="4" t="n">
        <v>0</v>
      </c>
    </row>
    <row r="187" customFormat="false" ht="15" hidden="false" customHeight="false" outlineLevel="0" collapsed="false">
      <c r="A187" s="4" t="s">
        <v>3</v>
      </c>
      <c r="B187" s="4" t="s">
        <v>33</v>
      </c>
      <c r="C187" s="4" t="n">
        <v>1999</v>
      </c>
      <c r="D187" s="4" t="n">
        <v>1</v>
      </c>
      <c r="E187" s="4" t="n">
        <v>0</v>
      </c>
      <c r="F187" s="4" t="n">
        <v>0</v>
      </c>
    </row>
    <row r="188" customFormat="false" ht="15" hidden="false" customHeight="false" outlineLevel="0" collapsed="false">
      <c r="A188" s="4" t="s">
        <v>3</v>
      </c>
      <c r="B188" s="4" t="s">
        <v>33</v>
      </c>
      <c r="C188" s="4" t="n">
        <v>2000</v>
      </c>
      <c r="D188" s="4" t="n">
        <v>1</v>
      </c>
      <c r="E188" s="4" t="n">
        <v>0</v>
      </c>
      <c r="F188" s="4" t="n">
        <v>0</v>
      </c>
    </row>
    <row r="189" customFormat="false" ht="15" hidden="false" customHeight="false" outlineLevel="0" collapsed="false">
      <c r="A189" s="4" t="s">
        <v>3</v>
      </c>
      <c r="B189" s="4" t="s">
        <v>33</v>
      </c>
      <c r="C189" s="4" t="n">
        <v>2001</v>
      </c>
      <c r="D189" s="4" t="n">
        <v>1</v>
      </c>
      <c r="E189" s="4" t="n">
        <v>0</v>
      </c>
      <c r="F189" s="4" t="n">
        <v>0</v>
      </c>
    </row>
    <row r="190" customFormat="false" ht="15" hidden="false" customHeight="false" outlineLevel="0" collapsed="false">
      <c r="A190" s="4" t="s">
        <v>3</v>
      </c>
      <c r="B190" s="4" t="s">
        <v>33</v>
      </c>
      <c r="C190" s="4" t="n">
        <v>2002</v>
      </c>
      <c r="D190" s="4" t="n">
        <v>1</v>
      </c>
      <c r="E190" s="4" t="n">
        <v>0</v>
      </c>
      <c r="F190" s="4" t="n">
        <v>0</v>
      </c>
    </row>
    <row r="191" customFormat="false" ht="15" hidden="false" customHeight="false" outlineLevel="0" collapsed="false">
      <c r="A191" s="4" t="s">
        <v>3</v>
      </c>
      <c r="B191" s="4" t="s">
        <v>33</v>
      </c>
      <c r="C191" s="4" t="n">
        <v>2003</v>
      </c>
      <c r="D191" s="4" t="n">
        <v>6</v>
      </c>
      <c r="E191" s="4" t="n">
        <v>0</v>
      </c>
      <c r="F191" s="4" t="n">
        <v>0</v>
      </c>
    </row>
    <row r="192" customFormat="false" ht="15" hidden="false" customHeight="false" outlineLevel="0" collapsed="false">
      <c r="A192" s="4" t="s">
        <v>3</v>
      </c>
      <c r="B192" s="4" t="s">
        <v>33</v>
      </c>
      <c r="C192" s="4" t="n">
        <v>2004</v>
      </c>
      <c r="D192" s="4" t="n">
        <v>2</v>
      </c>
      <c r="E192" s="4" t="n">
        <v>0</v>
      </c>
      <c r="F192" s="4" t="n">
        <v>0</v>
      </c>
    </row>
    <row r="193" customFormat="false" ht="15" hidden="false" customHeight="false" outlineLevel="0" collapsed="false">
      <c r="A193" s="4" t="s">
        <v>3</v>
      </c>
      <c r="B193" s="4" t="s">
        <v>33</v>
      </c>
      <c r="C193" s="4" t="n">
        <v>2005</v>
      </c>
      <c r="D193" s="4" t="n">
        <v>54</v>
      </c>
      <c r="E193" s="4" t="n">
        <v>22</v>
      </c>
      <c r="F193" s="4" t="n">
        <v>40.7407407407407</v>
      </c>
    </row>
    <row r="194" customFormat="false" ht="15" hidden="false" customHeight="false" outlineLevel="0" collapsed="false">
      <c r="A194" s="4" t="s">
        <v>3</v>
      </c>
      <c r="B194" s="4" t="s">
        <v>33</v>
      </c>
      <c r="C194" s="4" t="n">
        <v>2006</v>
      </c>
      <c r="D194" s="4" t="n">
        <v>88</v>
      </c>
      <c r="E194" s="4" t="n">
        <v>7</v>
      </c>
      <c r="F194" s="4" t="n">
        <v>7.95454545454545</v>
      </c>
    </row>
    <row r="195" customFormat="false" ht="15" hidden="false" customHeight="false" outlineLevel="0" collapsed="false">
      <c r="A195" s="4" t="s">
        <v>3</v>
      </c>
      <c r="B195" s="4" t="s">
        <v>33</v>
      </c>
      <c r="C195" s="4" t="n">
        <v>2007</v>
      </c>
      <c r="D195" s="4" t="n">
        <v>584</v>
      </c>
      <c r="E195" s="4" t="n">
        <v>37</v>
      </c>
      <c r="F195" s="4" t="n">
        <v>6.33561643835617</v>
      </c>
    </row>
    <row r="196" customFormat="false" ht="15" hidden="false" customHeight="false" outlineLevel="0" collapsed="false">
      <c r="A196" s="4" t="s">
        <v>3</v>
      </c>
      <c r="B196" s="4" t="s">
        <v>33</v>
      </c>
      <c r="C196" s="4" t="n">
        <v>2008</v>
      </c>
      <c r="D196" s="4" t="n">
        <v>93</v>
      </c>
      <c r="E196" s="4" t="n">
        <v>20</v>
      </c>
      <c r="F196" s="4" t="n">
        <v>21.505376344086</v>
      </c>
    </row>
    <row r="197" customFormat="false" ht="15" hidden="false" customHeight="false" outlineLevel="0" collapsed="false">
      <c r="A197" s="4" t="s">
        <v>3</v>
      </c>
      <c r="B197" s="4" t="s">
        <v>33</v>
      </c>
      <c r="C197" s="4" t="n">
        <v>2009</v>
      </c>
      <c r="D197" s="4" t="n">
        <v>41</v>
      </c>
      <c r="E197" s="4" t="n">
        <v>13</v>
      </c>
      <c r="F197" s="4" t="n">
        <v>31.7073170731707</v>
      </c>
    </row>
    <row r="198" customFormat="false" ht="15" hidden="false" customHeight="false" outlineLevel="0" collapsed="false">
      <c r="A198" s="4" t="s">
        <v>3</v>
      </c>
      <c r="B198" s="4" t="s">
        <v>33</v>
      </c>
      <c r="C198" s="4" t="n">
        <v>2010</v>
      </c>
      <c r="D198" s="4" t="n">
        <v>115</v>
      </c>
      <c r="E198" s="4" t="n">
        <v>61</v>
      </c>
      <c r="F198" s="4" t="n">
        <v>53.0434782608696</v>
      </c>
    </row>
    <row r="199" customFormat="false" ht="15" hidden="false" customHeight="false" outlineLevel="0" collapsed="false">
      <c r="A199" s="4" t="s">
        <v>3</v>
      </c>
      <c r="B199" s="4" t="s">
        <v>33</v>
      </c>
      <c r="C199" s="4" t="n">
        <v>2011</v>
      </c>
      <c r="D199" s="4" t="n">
        <v>97</v>
      </c>
      <c r="E199" s="4" t="n">
        <v>50</v>
      </c>
      <c r="F199" s="4" t="n">
        <v>51.5463917525773</v>
      </c>
    </row>
    <row r="200" customFormat="false" ht="15" hidden="false" customHeight="false" outlineLevel="0" collapsed="false">
      <c r="A200" s="4" t="s">
        <v>3</v>
      </c>
      <c r="B200" s="4" t="s">
        <v>33</v>
      </c>
      <c r="C200" s="4" t="n">
        <v>2012</v>
      </c>
      <c r="D200" s="4" t="n">
        <v>355</v>
      </c>
      <c r="E200" s="4" t="n">
        <v>111</v>
      </c>
      <c r="F200" s="4" t="n">
        <v>31.2676056338028</v>
      </c>
    </row>
    <row r="201" customFormat="false" ht="15" hidden="false" customHeight="false" outlineLevel="0" collapsed="false">
      <c r="A201" s="4" t="s">
        <v>3</v>
      </c>
      <c r="B201" s="4" t="s">
        <v>33</v>
      </c>
      <c r="C201" s="4" t="n">
        <v>2013</v>
      </c>
      <c r="D201" s="4" t="n">
        <v>307</v>
      </c>
      <c r="E201" s="4" t="n">
        <v>94</v>
      </c>
      <c r="F201" s="4" t="n">
        <v>30.6188925081433</v>
      </c>
    </row>
    <row r="202" customFormat="false" ht="15" hidden="false" customHeight="false" outlineLevel="0" collapsed="false">
      <c r="A202" s="4" t="s">
        <v>3</v>
      </c>
      <c r="B202" s="4" t="s">
        <v>33</v>
      </c>
      <c r="C202" s="4" t="n">
        <v>2017</v>
      </c>
      <c r="D202" s="4" t="n">
        <v>1219</v>
      </c>
      <c r="E202" s="4" t="n">
        <v>166</v>
      </c>
      <c r="F202" s="4" t="n">
        <v>13.6177194421657</v>
      </c>
    </row>
    <row r="203" customFormat="false" ht="15" hidden="false" customHeight="false" outlineLevel="0" collapsed="false">
      <c r="A203" s="4" t="s">
        <v>3</v>
      </c>
      <c r="B203" s="4" t="s">
        <v>33</v>
      </c>
      <c r="C203" s="4" t="n">
        <v>2018</v>
      </c>
      <c r="D203" s="4" t="n">
        <v>842</v>
      </c>
      <c r="E203" s="4" t="n">
        <v>70</v>
      </c>
      <c r="F203" s="4" t="n">
        <v>8.31353919239905</v>
      </c>
    </row>
    <row r="204" customFormat="false" ht="15" hidden="false" customHeight="false" outlineLevel="0" collapsed="false">
      <c r="A204" s="4" t="s">
        <v>3</v>
      </c>
      <c r="B204" s="4" t="s">
        <v>33</v>
      </c>
      <c r="C204" s="4" t="n">
        <v>2019</v>
      </c>
      <c r="D204" s="4" t="n">
        <v>1</v>
      </c>
      <c r="E204" s="4" t="n">
        <v>1</v>
      </c>
      <c r="F204" s="4" t="n">
        <v>100</v>
      </c>
    </row>
    <row r="205" customFormat="false" ht="15" hidden="false" customHeight="false" outlineLevel="0" collapsed="false">
      <c r="A205" s="4" t="s">
        <v>3</v>
      </c>
      <c r="B205" s="4" t="s">
        <v>33</v>
      </c>
      <c r="C205" s="4" t="n">
        <v>2021</v>
      </c>
      <c r="D205" s="4" t="n">
        <v>1</v>
      </c>
      <c r="E205" s="4" t="n">
        <v>0</v>
      </c>
      <c r="F205" s="4" t="n">
        <v>0</v>
      </c>
    </row>
    <row r="206" customFormat="false" ht="15" hidden="false" customHeight="false" outlineLevel="0" collapsed="false">
      <c r="A206" s="4" t="s">
        <v>3</v>
      </c>
      <c r="B206" s="4" t="s">
        <v>34</v>
      </c>
      <c r="C206" s="4" t="n">
        <v>1999</v>
      </c>
      <c r="D206" s="4" t="n">
        <v>2</v>
      </c>
      <c r="E206" s="4" t="n">
        <v>0</v>
      </c>
      <c r="F206" s="4" t="n">
        <v>0</v>
      </c>
    </row>
    <row r="207" customFormat="false" ht="15" hidden="false" customHeight="false" outlineLevel="0" collapsed="false">
      <c r="A207" s="4" t="s">
        <v>3</v>
      </c>
      <c r="B207" s="4" t="s">
        <v>34</v>
      </c>
      <c r="C207" s="4" t="n">
        <v>2017</v>
      </c>
      <c r="D207" s="4" t="n">
        <v>2408</v>
      </c>
      <c r="E207" s="4" t="n">
        <v>1930</v>
      </c>
      <c r="F207" s="4" t="n">
        <v>80.1495016611296</v>
      </c>
    </row>
    <row r="208" customFormat="false" ht="15" hidden="false" customHeight="false" outlineLevel="0" collapsed="false">
      <c r="A208" s="4" t="s">
        <v>3</v>
      </c>
      <c r="B208" s="4" t="s">
        <v>34</v>
      </c>
      <c r="C208" s="4" t="n">
        <v>2018</v>
      </c>
      <c r="D208" s="4" t="n">
        <v>1668</v>
      </c>
      <c r="E208" s="4" t="n">
        <v>1148</v>
      </c>
      <c r="F208" s="4" t="n">
        <v>68.8249400479616</v>
      </c>
    </row>
    <row r="209" customFormat="false" ht="15" hidden="false" customHeight="false" outlineLevel="0" collapsed="false">
      <c r="A209" s="4" t="s">
        <v>3</v>
      </c>
      <c r="B209" s="4" t="s">
        <v>35</v>
      </c>
      <c r="C209" s="4" t="n">
        <v>2017</v>
      </c>
      <c r="D209" s="4" t="n">
        <v>3612</v>
      </c>
      <c r="E209" s="4" t="n">
        <v>426</v>
      </c>
      <c r="F209" s="4" t="n">
        <v>11.7940199335548</v>
      </c>
    </row>
    <row r="210" customFormat="false" ht="15" hidden="false" customHeight="false" outlineLevel="0" collapsed="false">
      <c r="A210" s="4" t="s">
        <v>3</v>
      </c>
      <c r="B210" s="4" t="s">
        <v>35</v>
      </c>
      <c r="C210" s="4" t="n">
        <v>2018</v>
      </c>
      <c r="D210" s="4" t="n">
        <v>2502</v>
      </c>
      <c r="E210" s="4" t="n">
        <v>195</v>
      </c>
      <c r="F210" s="4" t="n">
        <v>7.79376498800959</v>
      </c>
    </row>
    <row r="211" customFormat="false" ht="15" hidden="false" customHeight="false" outlineLevel="0" collapsed="false">
      <c r="A211" s="4" t="s">
        <v>3</v>
      </c>
      <c r="B211" s="4" t="s">
        <v>36</v>
      </c>
      <c r="C211" s="4" t="n">
        <v>1991</v>
      </c>
      <c r="D211" s="4" t="n">
        <v>1</v>
      </c>
      <c r="E211" s="4" t="n">
        <v>0</v>
      </c>
      <c r="F211" s="4" t="n">
        <v>0</v>
      </c>
    </row>
    <row r="212" customFormat="false" ht="15" hidden="false" customHeight="false" outlineLevel="0" collapsed="false">
      <c r="A212" s="4" t="s">
        <v>3</v>
      </c>
      <c r="B212" s="4" t="s">
        <v>36</v>
      </c>
      <c r="C212" s="4" t="n">
        <v>1993</v>
      </c>
      <c r="D212" s="4" t="n">
        <v>1</v>
      </c>
      <c r="E212" s="4" t="n">
        <v>1</v>
      </c>
      <c r="F212" s="4" t="n">
        <v>100</v>
      </c>
    </row>
    <row r="213" customFormat="false" ht="15" hidden="false" customHeight="false" outlineLevel="0" collapsed="false">
      <c r="A213" s="4" t="s">
        <v>3</v>
      </c>
      <c r="B213" s="4" t="s">
        <v>36</v>
      </c>
      <c r="C213" s="4" t="n">
        <v>1995</v>
      </c>
      <c r="D213" s="4" t="n">
        <v>1</v>
      </c>
      <c r="E213" s="4" t="n">
        <v>0</v>
      </c>
      <c r="F213" s="4" t="n">
        <v>0</v>
      </c>
    </row>
    <row r="214" customFormat="false" ht="15" hidden="false" customHeight="false" outlineLevel="0" collapsed="false">
      <c r="A214" s="4" t="s">
        <v>3</v>
      </c>
      <c r="B214" s="4" t="s">
        <v>36</v>
      </c>
      <c r="C214" s="4" t="n">
        <v>1996</v>
      </c>
      <c r="D214" s="4" t="n">
        <v>1</v>
      </c>
      <c r="E214" s="4" t="n">
        <v>0</v>
      </c>
      <c r="F214" s="4" t="n">
        <v>0</v>
      </c>
    </row>
    <row r="215" customFormat="false" ht="15" hidden="false" customHeight="false" outlineLevel="0" collapsed="false">
      <c r="A215" s="4" t="s">
        <v>3</v>
      </c>
      <c r="B215" s="4" t="s">
        <v>36</v>
      </c>
      <c r="C215" s="4" t="n">
        <v>1999</v>
      </c>
      <c r="D215" s="4" t="n">
        <v>1</v>
      </c>
      <c r="E215" s="4" t="n">
        <v>0</v>
      </c>
      <c r="F215" s="4" t="n">
        <v>0</v>
      </c>
    </row>
    <row r="216" customFormat="false" ht="15" hidden="false" customHeight="false" outlineLevel="0" collapsed="false">
      <c r="A216" s="4" t="s">
        <v>3</v>
      </c>
      <c r="B216" s="4" t="s">
        <v>36</v>
      </c>
      <c r="C216" s="4" t="n">
        <v>2000</v>
      </c>
      <c r="D216" s="4" t="n">
        <v>1</v>
      </c>
      <c r="E216" s="4" t="n">
        <v>0</v>
      </c>
      <c r="F216" s="4" t="n">
        <v>0</v>
      </c>
    </row>
    <row r="217" customFormat="false" ht="15" hidden="false" customHeight="false" outlineLevel="0" collapsed="false">
      <c r="A217" s="4" t="s">
        <v>3</v>
      </c>
      <c r="B217" s="4" t="s">
        <v>36</v>
      </c>
      <c r="C217" s="4" t="n">
        <v>2003</v>
      </c>
      <c r="D217" s="4" t="n">
        <v>61</v>
      </c>
      <c r="E217" s="4" t="n">
        <v>19</v>
      </c>
      <c r="F217" s="4" t="n">
        <v>31.1475409836066</v>
      </c>
    </row>
    <row r="218" customFormat="false" ht="15" hidden="false" customHeight="false" outlineLevel="0" collapsed="false">
      <c r="A218" s="4" t="s">
        <v>3</v>
      </c>
      <c r="B218" s="4" t="s">
        <v>36</v>
      </c>
      <c r="C218" s="4" t="n">
        <v>2004</v>
      </c>
      <c r="D218" s="4" t="n">
        <v>1</v>
      </c>
      <c r="E218" s="4" t="n">
        <v>0</v>
      </c>
      <c r="F218" s="4" t="n">
        <v>0</v>
      </c>
    </row>
    <row r="219" customFormat="false" ht="15" hidden="false" customHeight="false" outlineLevel="0" collapsed="false">
      <c r="A219" s="4" t="s">
        <v>3</v>
      </c>
      <c r="B219" s="4" t="s">
        <v>36</v>
      </c>
      <c r="C219" s="4" t="n">
        <v>2005</v>
      </c>
      <c r="D219" s="4" t="n">
        <v>96</v>
      </c>
      <c r="E219" s="4" t="n">
        <v>29</v>
      </c>
      <c r="F219" s="4" t="n">
        <v>30.2083333333333</v>
      </c>
    </row>
    <row r="220" customFormat="false" ht="15" hidden="false" customHeight="false" outlineLevel="0" collapsed="false">
      <c r="A220" s="4" t="s">
        <v>3</v>
      </c>
      <c r="B220" s="4" t="s">
        <v>36</v>
      </c>
      <c r="C220" s="4" t="n">
        <v>2006</v>
      </c>
      <c r="D220" s="4" t="n">
        <v>65</v>
      </c>
      <c r="E220" s="4" t="n">
        <v>14</v>
      </c>
      <c r="F220" s="4" t="n">
        <v>21.5384615384615</v>
      </c>
    </row>
    <row r="221" customFormat="false" ht="15" hidden="false" customHeight="false" outlineLevel="0" collapsed="false">
      <c r="A221" s="4" t="s">
        <v>3</v>
      </c>
      <c r="B221" s="4" t="s">
        <v>36</v>
      </c>
      <c r="C221" s="4" t="n">
        <v>2007</v>
      </c>
      <c r="D221" s="4" t="n">
        <v>43</v>
      </c>
      <c r="E221" s="4" t="n">
        <v>21</v>
      </c>
      <c r="F221" s="4" t="n">
        <v>48.8372093023256</v>
      </c>
    </row>
    <row r="222" customFormat="false" ht="15" hidden="false" customHeight="false" outlineLevel="0" collapsed="false">
      <c r="A222" s="4" t="s">
        <v>3</v>
      </c>
      <c r="B222" s="4" t="s">
        <v>36</v>
      </c>
      <c r="C222" s="4" t="n">
        <v>2008</v>
      </c>
      <c r="D222" s="4" t="n">
        <v>508</v>
      </c>
      <c r="E222" s="4" t="n">
        <v>135</v>
      </c>
      <c r="F222" s="4" t="n">
        <v>26.5748031496063</v>
      </c>
    </row>
    <row r="223" customFormat="false" ht="15" hidden="false" customHeight="false" outlineLevel="0" collapsed="false">
      <c r="A223" s="4" t="s">
        <v>3</v>
      </c>
      <c r="B223" s="4" t="s">
        <v>36</v>
      </c>
      <c r="C223" s="4" t="n">
        <v>2009</v>
      </c>
      <c r="D223" s="4" t="n">
        <v>261</v>
      </c>
      <c r="E223" s="4" t="n">
        <v>68</v>
      </c>
      <c r="F223" s="4" t="n">
        <v>26.0536398467433</v>
      </c>
    </row>
    <row r="224" customFormat="false" ht="15" hidden="false" customHeight="false" outlineLevel="0" collapsed="false">
      <c r="A224" s="4" t="s">
        <v>3</v>
      </c>
      <c r="B224" s="4" t="s">
        <v>36</v>
      </c>
      <c r="C224" s="4" t="n">
        <v>2010</v>
      </c>
      <c r="D224" s="4" t="n">
        <v>145</v>
      </c>
      <c r="E224" s="4" t="n">
        <v>69</v>
      </c>
      <c r="F224" s="4" t="n">
        <v>47.5862068965517</v>
      </c>
    </row>
    <row r="225" customFormat="false" ht="15" hidden="false" customHeight="false" outlineLevel="0" collapsed="false">
      <c r="A225" s="4" t="s">
        <v>3</v>
      </c>
      <c r="B225" s="4" t="s">
        <v>36</v>
      </c>
      <c r="C225" s="4" t="n">
        <v>2011</v>
      </c>
      <c r="D225" s="4" t="n">
        <v>23</v>
      </c>
      <c r="E225" s="4" t="n">
        <v>5</v>
      </c>
      <c r="F225" s="4" t="n">
        <v>21.7391304347826</v>
      </c>
    </row>
    <row r="226" customFormat="false" ht="15" hidden="false" customHeight="false" outlineLevel="0" collapsed="false">
      <c r="A226" s="4" t="s">
        <v>3</v>
      </c>
      <c r="B226" s="4" t="s">
        <v>36</v>
      </c>
      <c r="C226" s="4" t="n">
        <v>2012</v>
      </c>
      <c r="D226" s="4" t="n">
        <v>26</v>
      </c>
      <c r="E226" s="4" t="n">
        <v>7</v>
      </c>
      <c r="F226" s="4" t="n">
        <v>26.9230769230769</v>
      </c>
    </row>
    <row r="227" customFormat="false" ht="15" hidden="false" customHeight="false" outlineLevel="0" collapsed="false">
      <c r="A227" s="4" t="s">
        <v>3</v>
      </c>
      <c r="B227" s="4" t="s">
        <v>36</v>
      </c>
      <c r="C227" s="4" t="n">
        <v>2013</v>
      </c>
      <c r="D227" s="4" t="n">
        <v>4</v>
      </c>
      <c r="E227" s="4" t="n">
        <v>1</v>
      </c>
      <c r="F227" s="4" t="n">
        <v>25</v>
      </c>
    </row>
    <row r="228" customFormat="false" ht="15" hidden="false" customHeight="false" outlineLevel="0" collapsed="false">
      <c r="A228" s="4" t="s">
        <v>3</v>
      </c>
      <c r="B228" s="4" t="s">
        <v>36</v>
      </c>
      <c r="C228" s="4" t="n">
        <v>2014</v>
      </c>
      <c r="D228" s="4" t="n">
        <v>4</v>
      </c>
      <c r="E228" s="4" t="n">
        <v>3</v>
      </c>
      <c r="F228" s="4" t="n">
        <v>75</v>
      </c>
    </row>
    <row r="229" customFormat="false" ht="15" hidden="false" customHeight="false" outlineLevel="0" collapsed="false">
      <c r="A229" s="4" t="s">
        <v>3</v>
      </c>
      <c r="B229" s="4" t="s">
        <v>36</v>
      </c>
      <c r="C229" s="4" t="n">
        <v>2016</v>
      </c>
      <c r="D229" s="4" t="n">
        <v>9</v>
      </c>
      <c r="E229" s="4" t="n">
        <v>2</v>
      </c>
      <c r="F229" s="4" t="n">
        <v>22.2222222222222</v>
      </c>
    </row>
    <row r="230" customFormat="false" ht="15" hidden="false" customHeight="false" outlineLevel="0" collapsed="false">
      <c r="A230" s="4" t="s">
        <v>3</v>
      </c>
      <c r="B230" s="4" t="s">
        <v>36</v>
      </c>
      <c r="C230" s="4" t="n">
        <v>2017</v>
      </c>
      <c r="D230" s="4" t="n">
        <v>1221</v>
      </c>
      <c r="E230" s="4" t="n">
        <v>578</v>
      </c>
      <c r="F230" s="4" t="n">
        <v>47.3382473382473</v>
      </c>
    </row>
    <row r="231" customFormat="false" ht="15" hidden="false" customHeight="false" outlineLevel="0" collapsed="false">
      <c r="A231" s="4" t="s">
        <v>3</v>
      </c>
      <c r="B231" s="4" t="s">
        <v>36</v>
      </c>
      <c r="C231" s="4" t="n">
        <v>2018</v>
      </c>
      <c r="D231" s="4" t="n">
        <v>844</v>
      </c>
      <c r="E231" s="4" t="n">
        <v>306</v>
      </c>
      <c r="F231" s="4" t="n">
        <v>36.2559241706161</v>
      </c>
    </row>
    <row r="232" customFormat="false" ht="15" hidden="false" customHeight="false" outlineLevel="0" collapsed="false">
      <c r="A232" s="4" t="s">
        <v>3</v>
      </c>
      <c r="B232" s="4" t="s">
        <v>36</v>
      </c>
      <c r="C232" s="4" t="n">
        <v>2019</v>
      </c>
      <c r="D232" s="4" t="n">
        <v>1</v>
      </c>
      <c r="E232" s="4" t="n">
        <v>0</v>
      </c>
      <c r="F232" s="4" t="n">
        <v>0</v>
      </c>
    </row>
    <row r="233" customFormat="false" ht="15" hidden="false" customHeight="false" outlineLevel="0" collapsed="false">
      <c r="A233" s="4" t="s">
        <v>3</v>
      </c>
      <c r="B233" s="4" t="s">
        <v>36</v>
      </c>
      <c r="C233" s="4" t="n">
        <v>2021</v>
      </c>
      <c r="D233" s="4" t="n">
        <v>1</v>
      </c>
      <c r="E233" s="4" t="n">
        <v>0</v>
      </c>
      <c r="F233" s="4" t="n">
        <v>0</v>
      </c>
    </row>
    <row r="234" customFormat="false" ht="15" hidden="false" customHeight="false" outlineLevel="0" collapsed="false">
      <c r="A234" s="4" t="s">
        <v>3</v>
      </c>
      <c r="B234" s="4" t="s">
        <v>37</v>
      </c>
      <c r="C234" s="4" t="n">
        <v>2008</v>
      </c>
      <c r="D234" s="4" t="n">
        <v>59</v>
      </c>
      <c r="E234" s="4" t="n">
        <v>8</v>
      </c>
      <c r="F234" s="4" t="n">
        <v>13.5593220338983</v>
      </c>
    </row>
    <row r="235" customFormat="false" ht="15" hidden="false" customHeight="false" outlineLevel="0" collapsed="false">
      <c r="A235" s="4" t="s">
        <v>3</v>
      </c>
      <c r="B235" s="4" t="s">
        <v>37</v>
      </c>
      <c r="C235" s="4" t="n">
        <v>2009</v>
      </c>
      <c r="D235" s="4" t="n">
        <v>10</v>
      </c>
      <c r="E235" s="4" t="n">
        <v>4</v>
      </c>
      <c r="F235" s="4" t="n">
        <v>40</v>
      </c>
    </row>
    <row r="236" customFormat="false" ht="15" hidden="false" customHeight="false" outlineLevel="0" collapsed="false">
      <c r="A236" s="4" t="s">
        <v>3</v>
      </c>
      <c r="B236" s="4" t="s">
        <v>37</v>
      </c>
      <c r="C236" s="4" t="n">
        <v>2010</v>
      </c>
      <c r="D236" s="4" t="n">
        <v>58</v>
      </c>
      <c r="E236" s="4" t="n">
        <v>38</v>
      </c>
      <c r="F236" s="4" t="n">
        <v>65.5172413793104</v>
      </c>
    </row>
    <row r="237" customFormat="false" ht="15" hidden="false" customHeight="false" outlineLevel="0" collapsed="false">
      <c r="A237" s="4" t="s">
        <v>3</v>
      </c>
      <c r="B237" s="4" t="s">
        <v>37</v>
      </c>
      <c r="C237" s="4" t="n">
        <v>2011</v>
      </c>
      <c r="D237" s="4" t="n">
        <v>32</v>
      </c>
      <c r="E237" s="4" t="n">
        <v>29</v>
      </c>
      <c r="F237" s="4" t="n">
        <v>90.625</v>
      </c>
    </row>
    <row r="238" customFormat="false" ht="15" hidden="false" customHeight="false" outlineLevel="0" collapsed="false">
      <c r="A238" s="4" t="s">
        <v>3</v>
      </c>
      <c r="B238" s="4" t="s">
        <v>37</v>
      </c>
      <c r="C238" s="4" t="n">
        <v>2012</v>
      </c>
      <c r="D238" s="4" t="n">
        <v>5</v>
      </c>
      <c r="E238" s="4" t="n">
        <v>4</v>
      </c>
      <c r="F238" s="4" t="n">
        <v>80</v>
      </c>
    </row>
    <row r="239" customFormat="false" ht="15" hidden="false" customHeight="false" outlineLevel="0" collapsed="false">
      <c r="A239" s="4" t="s">
        <v>3</v>
      </c>
      <c r="B239" s="4" t="s">
        <v>38</v>
      </c>
      <c r="C239" s="4" t="n">
        <v>1991</v>
      </c>
      <c r="D239" s="4" t="n">
        <v>1</v>
      </c>
      <c r="E239" s="4" t="n">
        <v>0</v>
      </c>
      <c r="F239" s="4" t="n">
        <v>0</v>
      </c>
    </row>
    <row r="240" customFormat="false" ht="15" hidden="false" customHeight="false" outlineLevel="0" collapsed="false">
      <c r="A240" s="4" t="s">
        <v>3</v>
      </c>
      <c r="B240" s="4" t="s">
        <v>38</v>
      </c>
      <c r="C240" s="4" t="n">
        <v>1993</v>
      </c>
      <c r="D240" s="4" t="n">
        <v>1</v>
      </c>
      <c r="E240" s="4" t="n">
        <v>0</v>
      </c>
      <c r="F240" s="4" t="n">
        <v>0</v>
      </c>
    </row>
    <row r="241" customFormat="false" ht="15" hidden="false" customHeight="false" outlineLevel="0" collapsed="false">
      <c r="A241" s="4" t="s">
        <v>3</v>
      </c>
      <c r="B241" s="4" t="s">
        <v>38</v>
      </c>
      <c r="C241" s="4" t="n">
        <v>1996</v>
      </c>
      <c r="D241" s="4" t="n">
        <v>1</v>
      </c>
      <c r="E241" s="4" t="n">
        <v>0</v>
      </c>
      <c r="F241" s="4" t="n">
        <v>0</v>
      </c>
    </row>
    <row r="242" customFormat="false" ht="15" hidden="false" customHeight="false" outlineLevel="0" collapsed="false">
      <c r="A242" s="4" t="s">
        <v>3</v>
      </c>
      <c r="B242" s="4" t="s">
        <v>38</v>
      </c>
      <c r="C242" s="4" t="n">
        <v>1997</v>
      </c>
      <c r="D242" s="4" t="n">
        <v>3</v>
      </c>
      <c r="E242" s="4" t="n">
        <v>0</v>
      </c>
      <c r="F242" s="4" t="n">
        <v>0</v>
      </c>
    </row>
    <row r="243" customFormat="false" ht="15" hidden="false" customHeight="false" outlineLevel="0" collapsed="false">
      <c r="A243" s="4" t="s">
        <v>3</v>
      </c>
      <c r="B243" s="4" t="s">
        <v>38</v>
      </c>
      <c r="C243" s="4" t="n">
        <v>1998</v>
      </c>
      <c r="D243" s="4" t="n">
        <v>8</v>
      </c>
      <c r="E243" s="4" t="n">
        <v>2</v>
      </c>
      <c r="F243" s="4" t="n">
        <v>25</v>
      </c>
    </row>
    <row r="244" customFormat="false" ht="15" hidden="false" customHeight="false" outlineLevel="0" collapsed="false">
      <c r="A244" s="4" t="s">
        <v>3</v>
      </c>
      <c r="B244" s="4" t="s">
        <v>38</v>
      </c>
      <c r="C244" s="4" t="n">
        <v>1999</v>
      </c>
      <c r="D244" s="4" t="n">
        <v>2</v>
      </c>
      <c r="E244" s="4" t="n">
        <v>0</v>
      </c>
      <c r="F244" s="4" t="n">
        <v>0</v>
      </c>
    </row>
    <row r="245" customFormat="false" ht="15" hidden="false" customHeight="false" outlineLevel="0" collapsed="false">
      <c r="A245" s="4" t="s">
        <v>3</v>
      </c>
      <c r="B245" s="4" t="s">
        <v>38</v>
      </c>
      <c r="C245" s="4" t="n">
        <v>2000</v>
      </c>
      <c r="D245" s="4" t="n">
        <v>2</v>
      </c>
      <c r="E245" s="4" t="n">
        <v>0</v>
      </c>
      <c r="F245" s="4" t="n">
        <v>0</v>
      </c>
    </row>
    <row r="246" customFormat="false" ht="15" hidden="false" customHeight="false" outlineLevel="0" collapsed="false">
      <c r="A246" s="4" t="s">
        <v>3</v>
      </c>
      <c r="B246" s="4" t="s">
        <v>38</v>
      </c>
      <c r="C246" s="4" t="n">
        <v>2001</v>
      </c>
      <c r="D246" s="4" t="n">
        <v>42</v>
      </c>
      <c r="E246" s="4" t="n">
        <v>5</v>
      </c>
      <c r="F246" s="4" t="n">
        <v>11.9047619047619</v>
      </c>
    </row>
    <row r="247" customFormat="false" ht="15" hidden="false" customHeight="false" outlineLevel="0" collapsed="false">
      <c r="A247" s="4" t="s">
        <v>3</v>
      </c>
      <c r="B247" s="4" t="s">
        <v>38</v>
      </c>
      <c r="C247" s="4" t="n">
        <v>2002</v>
      </c>
      <c r="D247" s="4" t="n">
        <v>12</v>
      </c>
      <c r="E247" s="4" t="n">
        <v>0</v>
      </c>
      <c r="F247" s="4" t="n">
        <v>0</v>
      </c>
    </row>
    <row r="248" customFormat="false" ht="15" hidden="false" customHeight="false" outlineLevel="0" collapsed="false">
      <c r="A248" s="4" t="s">
        <v>3</v>
      </c>
      <c r="B248" s="4" t="s">
        <v>38</v>
      </c>
      <c r="C248" s="4" t="n">
        <v>2003</v>
      </c>
      <c r="D248" s="4" t="n">
        <v>80</v>
      </c>
      <c r="E248" s="4" t="n">
        <v>27</v>
      </c>
      <c r="F248" s="4" t="n">
        <v>33.75</v>
      </c>
    </row>
    <row r="249" customFormat="false" ht="15" hidden="false" customHeight="false" outlineLevel="0" collapsed="false">
      <c r="A249" s="4" t="s">
        <v>3</v>
      </c>
      <c r="B249" s="4" t="s">
        <v>38</v>
      </c>
      <c r="C249" s="4" t="n">
        <v>2004</v>
      </c>
      <c r="D249" s="4" t="n">
        <v>99</v>
      </c>
      <c r="E249" s="4" t="n">
        <v>0</v>
      </c>
      <c r="F249" s="4" t="n">
        <v>0</v>
      </c>
    </row>
    <row r="250" customFormat="false" ht="15" hidden="false" customHeight="false" outlineLevel="0" collapsed="false">
      <c r="A250" s="4" t="s">
        <v>3</v>
      </c>
      <c r="B250" s="4" t="s">
        <v>38</v>
      </c>
      <c r="C250" s="4" t="n">
        <v>2005</v>
      </c>
      <c r="D250" s="4" t="n">
        <v>148</v>
      </c>
      <c r="E250" s="4" t="n">
        <v>31</v>
      </c>
      <c r="F250" s="4" t="n">
        <v>20.945945945946</v>
      </c>
    </row>
    <row r="251" customFormat="false" ht="15" hidden="false" customHeight="false" outlineLevel="0" collapsed="false">
      <c r="A251" s="4" t="s">
        <v>3</v>
      </c>
      <c r="B251" s="4" t="s">
        <v>38</v>
      </c>
      <c r="C251" s="4" t="n">
        <v>2006</v>
      </c>
      <c r="D251" s="4" t="n">
        <v>77</v>
      </c>
      <c r="E251" s="4" t="n">
        <v>15</v>
      </c>
      <c r="F251" s="4" t="n">
        <v>19.4805194805195</v>
      </c>
    </row>
    <row r="252" customFormat="false" ht="15" hidden="false" customHeight="false" outlineLevel="0" collapsed="false">
      <c r="A252" s="4" t="s">
        <v>3</v>
      </c>
      <c r="B252" s="4" t="s">
        <v>38</v>
      </c>
      <c r="C252" s="4" t="n">
        <v>2007</v>
      </c>
      <c r="D252" s="4" t="n">
        <v>601</v>
      </c>
      <c r="E252" s="4" t="n">
        <v>101</v>
      </c>
      <c r="F252" s="4" t="n">
        <v>16.8053244592346</v>
      </c>
    </row>
    <row r="253" customFormat="false" ht="15" hidden="false" customHeight="false" outlineLevel="0" collapsed="false">
      <c r="A253" s="4" t="s">
        <v>3</v>
      </c>
      <c r="B253" s="4" t="s">
        <v>38</v>
      </c>
      <c r="C253" s="4" t="n">
        <v>2008</v>
      </c>
      <c r="D253" s="4" t="n">
        <v>666</v>
      </c>
      <c r="E253" s="4" t="n">
        <v>165</v>
      </c>
      <c r="F253" s="4" t="n">
        <v>24.7747747747748</v>
      </c>
    </row>
    <row r="254" customFormat="false" ht="15" hidden="false" customHeight="false" outlineLevel="0" collapsed="false">
      <c r="A254" s="4" t="s">
        <v>3</v>
      </c>
      <c r="B254" s="4" t="s">
        <v>38</v>
      </c>
      <c r="C254" s="4" t="n">
        <v>2009</v>
      </c>
      <c r="D254" s="4" t="n">
        <v>318</v>
      </c>
      <c r="E254" s="4" t="n">
        <v>108</v>
      </c>
      <c r="F254" s="4" t="n">
        <v>33.9622641509434</v>
      </c>
    </row>
    <row r="255" customFormat="false" ht="15" hidden="false" customHeight="false" outlineLevel="0" collapsed="false">
      <c r="A255" s="4" t="s">
        <v>3</v>
      </c>
      <c r="B255" s="4" t="s">
        <v>38</v>
      </c>
      <c r="C255" s="4" t="n">
        <v>2010</v>
      </c>
      <c r="D255" s="4" t="n">
        <v>210</v>
      </c>
      <c r="E255" s="4" t="n">
        <v>80</v>
      </c>
      <c r="F255" s="4" t="n">
        <v>38.0952380952381</v>
      </c>
    </row>
    <row r="256" customFormat="false" ht="15" hidden="false" customHeight="false" outlineLevel="0" collapsed="false">
      <c r="A256" s="4" t="s">
        <v>3</v>
      </c>
      <c r="B256" s="4" t="s">
        <v>38</v>
      </c>
      <c r="C256" s="4" t="n">
        <v>2011</v>
      </c>
      <c r="D256" s="4" t="n">
        <v>101</v>
      </c>
      <c r="E256" s="4" t="n">
        <v>42</v>
      </c>
      <c r="F256" s="4" t="n">
        <v>41.5841584158416</v>
      </c>
    </row>
    <row r="257" customFormat="false" ht="15" hidden="false" customHeight="false" outlineLevel="0" collapsed="false">
      <c r="A257" s="4" t="s">
        <v>3</v>
      </c>
      <c r="B257" s="4" t="s">
        <v>38</v>
      </c>
      <c r="C257" s="4" t="n">
        <v>2012</v>
      </c>
      <c r="D257" s="4" t="n">
        <v>149</v>
      </c>
      <c r="E257" s="4" t="n">
        <v>74</v>
      </c>
      <c r="F257" s="4" t="n">
        <v>49.6644295302014</v>
      </c>
    </row>
    <row r="258" customFormat="false" ht="15" hidden="false" customHeight="false" outlineLevel="0" collapsed="false">
      <c r="A258" s="4" t="s">
        <v>3</v>
      </c>
      <c r="B258" s="4" t="s">
        <v>38</v>
      </c>
      <c r="C258" s="4" t="n">
        <v>2013</v>
      </c>
      <c r="D258" s="4" t="n">
        <v>303</v>
      </c>
      <c r="E258" s="4" t="n">
        <v>111</v>
      </c>
      <c r="F258" s="4" t="n">
        <v>36.6336633663366</v>
      </c>
    </row>
    <row r="259" customFormat="false" ht="15" hidden="false" customHeight="false" outlineLevel="0" collapsed="false">
      <c r="A259" s="4" t="s">
        <v>3</v>
      </c>
      <c r="B259" s="4" t="s">
        <v>38</v>
      </c>
      <c r="C259" s="4" t="n">
        <v>2014</v>
      </c>
      <c r="D259" s="4" t="n">
        <v>6</v>
      </c>
      <c r="E259" s="4" t="n">
        <v>3</v>
      </c>
      <c r="F259" s="4" t="n">
        <v>50</v>
      </c>
    </row>
    <row r="260" customFormat="false" ht="15" hidden="false" customHeight="false" outlineLevel="0" collapsed="false">
      <c r="A260" s="4" t="s">
        <v>3</v>
      </c>
      <c r="B260" s="4" t="s">
        <v>38</v>
      </c>
      <c r="C260" s="4" t="n">
        <v>2016</v>
      </c>
      <c r="D260" s="4" t="n">
        <v>12</v>
      </c>
      <c r="E260" s="4" t="n">
        <v>5</v>
      </c>
      <c r="F260" s="4" t="n">
        <v>41.6666666666667</v>
      </c>
    </row>
    <row r="261" customFormat="false" ht="15" hidden="false" customHeight="false" outlineLevel="0" collapsed="false">
      <c r="A261" s="4" t="s">
        <v>3</v>
      </c>
      <c r="B261" s="4" t="s">
        <v>38</v>
      </c>
      <c r="C261" s="4" t="n">
        <v>2017</v>
      </c>
      <c r="D261" s="4" t="n">
        <v>2</v>
      </c>
      <c r="E261" s="4" t="n">
        <v>0</v>
      </c>
      <c r="F261" s="4" t="n">
        <v>0</v>
      </c>
    </row>
    <row r="262" customFormat="false" ht="15" hidden="false" customHeight="false" outlineLevel="0" collapsed="false">
      <c r="A262" s="4" t="s">
        <v>3</v>
      </c>
      <c r="B262" s="4" t="s">
        <v>38</v>
      </c>
      <c r="C262" s="4" t="n">
        <v>2018</v>
      </c>
      <c r="D262" s="4" t="n">
        <v>1</v>
      </c>
      <c r="E262" s="4" t="n">
        <v>0</v>
      </c>
      <c r="F262" s="4" t="n">
        <v>0</v>
      </c>
    </row>
    <row r="263" customFormat="false" ht="15" hidden="false" customHeight="false" outlineLevel="0" collapsed="false">
      <c r="A263" s="4" t="s">
        <v>3</v>
      </c>
      <c r="B263" s="4" t="s">
        <v>39</v>
      </c>
      <c r="C263" s="4" t="n">
        <v>1998</v>
      </c>
      <c r="D263" s="4" t="n">
        <v>4</v>
      </c>
      <c r="E263" s="4" t="n">
        <v>3</v>
      </c>
      <c r="F263" s="4" t="n">
        <v>75</v>
      </c>
    </row>
    <row r="264" customFormat="false" ht="15" hidden="false" customHeight="false" outlineLevel="0" collapsed="false">
      <c r="A264" s="4" t="s">
        <v>3</v>
      </c>
      <c r="B264" s="4" t="s">
        <v>39</v>
      </c>
      <c r="C264" s="4" t="n">
        <v>2002</v>
      </c>
      <c r="D264" s="4" t="n">
        <v>1</v>
      </c>
      <c r="E264" s="4" t="n">
        <v>0</v>
      </c>
      <c r="F264" s="4" t="n">
        <v>0</v>
      </c>
    </row>
    <row r="265" customFormat="false" ht="15" hidden="false" customHeight="false" outlineLevel="0" collapsed="false">
      <c r="A265" s="4" t="s">
        <v>3</v>
      </c>
      <c r="B265" s="4" t="s">
        <v>39</v>
      </c>
      <c r="C265" s="4" t="n">
        <v>2003</v>
      </c>
      <c r="D265" s="4" t="n">
        <v>5</v>
      </c>
      <c r="E265" s="4" t="n">
        <v>0</v>
      </c>
      <c r="F265" s="4" t="n">
        <v>0</v>
      </c>
    </row>
    <row r="266" customFormat="false" ht="15" hidden="false" customHeight="false" outlineLevel="0" collapsed="false">
      <c r="A266" s="4" t="s">
        <v>3</v>
      </c>
      <c r="B266" s="4" t="s">
        <v>39</v>
      </c>
      <c r="C266" s="4" t="n">
        <v>2004</v>
      </c>
      <c r="D266" s="4" t="n">
        <v>87</v>
      </c>
      <c r="E266" s="4" t="n">
        <v>0</v>
      </c>
      <c r="F266" s="4" t="n">
        <v>0</v>
      </c>
    </row>
    <row r="267" customFormat="false" ht="15" hidden="false" customHeight="false" outlineLevel="0" collapsed="false">
      <c r="A267" s="4" t="s">
        <v>3</v>
      </c>
      <c r="B267" s="4" t="s">
        <v>39</v>
      </c>
      <c r="C267" s="4" t="n">
        <v>2005</v>
      </c>
      <c r="D267" s="4" t="n">
        <v>134</v>
      </c>
      <c r="E267" s="4" t="n">
        <v>28</v>
      </c>
      <c r="F267" s="4" t="n">
        <v>20.8955223880597</v>
      </c>
    </row>
    <row r="268" customFormat="false" ht="15" hidden="false" customHeight="false" outlineLevel="0" collapsed="false">
      <c r="A268" s="4" t="s">
        <v>3</v>
      </c>
      <c r="B268" s="4" t="s">
        <v>39</v>
      </c>
      <c r="C268" s="4" t="n">
        <v>2006</v>
      </c>
      <c r="D268" s="4" t="n">
        <v>52</v>
      </c>
      <c r="E268" s="4" t="n">
        <v>7</v>
      </c>
      <c r="F268" s="4" t="n">
        <v>13.4615384615385</v>
      </c>
    </row>
    <row r="269" customFormat="false" ht="15" hidden="false" customHeight="false" outlineLevel="0" collapsed="false">
      <c r="A269" s="4" t="s">
        <v>3</v>
      </c>
      <c r="B269" s="4" t="s">
        <v>39</v>
      </c>
      <c r="C269" s="4" t="n">
        <v>2007</v>
      </c>
      <c r="D269" s="4" t="n">
        <v>28</v>
      </c>
      <c r="E269" s="4" t="n">
        <v>14</v>
      </c>
      <c r="F269" s="4" t="n">
        <v>50</v>
      </c>
    </row>
    <row r="270" customFormat="false" ht="15" hidden="false" customHeight="false" outlineLevel="0" collapsed="false">
      <c r="A270" s="4" t="s">
        <v>3</v>
      </c>
      <c r="B270" s="4" t="s">
        <v>39</v>
      </c>
      <c r="C270" s="4" t="n">
        <v>2008</v>
      </c>
      <c r="D270" s="4" t="n">
        <v>14</v>
      </c>
      <c r="E270" s="4" t="n">
        <v>6</v>
      </c>
      <c r="F270" s="4" t="n">
        <v>42.8571428571429</v>
      </c>
    </row>
    <row r="271" customFormat="false" ht="15" hidden="false" customHeight="false" outlineLevel="0" collapsed="false">
      <c r="A271" s="4" t="s">
        <v>3</v>
      </c>
      <c r="B271" s="4" t="s">
        <v>39</v>
      </c>
      <c r="C271" s="4" t="n">
        <v>2009</v>
      </c>
      <c r="D271" s="4" t="n">
        <v>14</v>
      </c>
      <c r="E271" s="4" t="n">
        <v>1</v>
      </c>
      <c r="F271" s="4" t="n">
        <v>7.14285714285714</v>
      </c>
    </row>
    <row r="272" customFormat="false" ht="15" hidden="false" customHeight="false" outlineLevel="0" collapsed="false">
      <c r="A272" s="4" t="s">
        <v>3</v>
      </c>
      <c r="B272" s="4" t="s">
        <v>39</v>
      </c>
      <c r="C272" s="4" t="n">
        <v>2010</v>
      </c>
      <c r="D272" s="4" t="n">
        <v>31</v>
      </c>
      <c r="E272" s="4" t="n">
        <v>2</v>
      </c>
      <c r="F272" s="4" t="n">
        <v>6.45161290322581</v>
      </c>
    </row>
    <row r="273" customFormat="false" ht="15" hidden="false" customHeight="false" outlineLevel="0" collapsed="false">
      <c r="A273" s="4" t="s">
        <v>3</v>
      </c>
      <c r="B273" s="4" t="s">
        <v>39</v>
      </c>
      <c r="C273" s="4" t="n">
        <v>2011</v>
      </c>
      <c r="D273" s="4" t="n">
        <v>29</v>
      </c>
      <c r="E273" s="4" t="n">
        <v>4</v>
      </c>
      <c r="F273" s="4" t="n">
        <v>13.7931034482759</v>
      </c>
    </row>
    <row r="274" customFormat="false" ht="15" hidden="false" customHeight="false" outlineLevel="0" collapsed="false">
      <c r="A274" s="4" t="s">
        <v>3</v>
      </c>
      <c r="B274" s="4" t="s">
        <v>39</v>
      </c>
      <c r="C274" s="4" t="n">
        <v>2012</v>
      </c>
      <c r="D274" s="4" t="n">
        <v>76</v>
      </c>
      <c r="E274" s="4" t="n">
        <v>16</v>
      </c>
      <c r="F274" s="4" t="n">
        <v>21.0526315789474</v>
      </c>
    </row>
    <row r="275" customFormat="false" ht="15" hidden="false" customHeight="false" outlineLevel="0" collapsed="false">
      <c r="A275" s="4" t="s">
        <v>3</v>
      </c>
      <c r="B275" s="4" t="s">
        <v>39</v>
      </c>
      <c r="C275" s="4" t="n">
        <v>2013</v>
      </c>
      <c r="D275" s="4" t="n">
        <v>25</v>
      </c>
      <c r="E275" s="4" t="n">
        <v>4</v>
      </c>
      <c r="F275" s="4" t="n">
        <v>16</v>
      </c>
    </row>
    <row r="276" customFormat="false" ht="15" hidden="false" customHeight="false" outlineLevel="0" collapsed="false">
      <c r="A276" s="4" t="s">
        <v>3</v>
      </c>
      <c r="B276" s="4" t="s">
        <v>39</v>
      </c>
      <c r="C276" s="4" t="n">
        <v>2016</v>
      </c>
      <c r="D276" s="4" t="n">
        <v>2</v>
      </c>
      <c r="E276" s="4" t="n">
        <v>0</v>
      </c>
      <c r="F276" s="4" t="n">
        <v>0</v>
      </c>
    </row>
    <row r="277" customFormat="false" ht="15" hidden="false" customHeight="false" outlineLevel="0" collapsed="false">
      <c r="A277" s="4" t="s">
        <v>3</v>
      </c>
      <c r="B277" s="4" t="s">
        <v>39</v>
      </c>
      <c r="C277" s="4" t="n">
        <v>2017</v>
      </c>
      <c r="D277" s="4" t="n">
        <v>1204</v>
      </c>
      <c r="E277" s="4" t="n">
        <v>207</v>
      </c>
      <c r="F277" s="4" t="n">
        <v>17.1926910299003</v>
      </c>
    </row>
    <row r="278" customFormat="false" ht="15" hidden="false" customHeight="false" outlineLevel="0" collapsed="false">
      <c r="A278" s="4" t="s">
        <v>3</v>
      </c>
      <c r="B278" s="4" t="s">
        <v>39</v>
      </c>
      <c r="C278" s="4" t="n">
        <v>2018</v>
      </c>
      <c r="D278" s="4" t="n">
        <v>834</v>
      </c>
      <c r="E278" s="4" t="n">
        <v>130</v>
      </c>
      <c r="F278" s="4" t="n">
        <v>15.5875299760192</v>
      </c>
    </row>
    <row r="279" customFormat="false" ht="15" hidden="false" customHeight="false" outlineLevel="0" collapsed="false">
      <c r="A279" s="4" t="s">
        <v>3</v>
      </c>
      <c r="B279" s="4" t="s">
        <v>40</v>
      </c>
      <c r="C279" s="4" t="n">
        <v>1991</v>
      </c>
      <c r="D279" s="4" t="n">
        <v>1</v>
      </c>
      <c r="E279" s="4" t="n">
        <v>0</v>
      </c>
      <c r="F279" s="4" t="n">
        <v>0</v>
      </c>
    </row>
    <row r="280" customFormat="false" ht="15" hidden="false" customHeight="false" outlineLevel="0" collapsed="false">
      <c r="A280" s="4" t="s">
        <v>3</v>
      </c>
      <c r="B280" s="4" t="s">
        <v>40</v>
      </c>
      <c r="C280" s="4" t="n">
        <v>1993</v>
      </c>
      <c r="D280" s="4" t="n">
        <v>1</v>
      </c>
      <c r="E280" s="4" t="n">
        <v>1</v>
      </c>
      <c r="F280" s="4" t="n">
        <v>100</v>
      </c>
    </row>
    <row r="281" customFormat="false" ht="15" hidden="false" customHeight="false" outlineLevel="0" collapsed="false">
      <c r="A281" s="4" t="s">
        <v>3</v>
      </c>
      <c r="B281" s="4" t="s">
        <v>40</v>
      </c>
      <c r="C281" s="4" t="n">
        <v>1996</v>
      </c>
      <c r="D281" s="4" t="n">
        <v>4</v>
      </c>
      <c r="E281" s="4" t="n">
        <v>0</v>
      </c>
      <c r="F281" s="4" t="n">
        <v>0</v>
      </c>
    </row>
    <row r="282" customFormat="false" ht="15" hidden="false" customHeight="false" outlineLevel="0" collapsed="false">
      <c r="A282" s="4" t="s">
        <v>3</v>
      </c>
      <c r="B282" s="4" t="s">
        <v>40</v>
      </c>
      <c r="C282" s="4" t="n">
        <v>1997</v>
      </c>
      <c r="D282" s="4" t="n">
        <v>3</v>
      </c>
      <c r="E282" s="4" t="n">
        <v>2</v>
      </c>
      <c r="F282" s="4" t="n">
        <v>66.6666666666667</v>
      </c>
    </row>
    <row r="283" customFormat="false" ht="15" hidden="false" customHeight="false" outlineLevel="0" collapsed="false">
      <c r="A283" s="4" t="s">
        <v>3</v>
      </c>
      <c r="B283" s="4" t="s">
        <v>40</v>
      </c>
      <c r="C283" s="4" t="n">
        <v>1998</v>
      </c>
      <c r="D283" s="4" t="n">
        <v>7</v>
      </c>
      <c r="E283" s="4" t="n">
        <v>4</v>
      </c>
      <c r="F283" s="4" t="n">
        <v>57.1428571428571</v>
      </c>
    </row>
    <row r="284" customFormat="false" ht="15" hidden="false" customHeight="false" outlineLevel="0" collapsed="false">
      <c r="A284" s="4" t="s">
        <v>3</v>
      </c>
      <c r="B284" s="4" t="s">
        <v>40</v>
      </c>
      <c r="C284" s="4" t="n">
        <v>2000</v>
      </c>
      <c r="D284" s="4" t="n">
        <v>1</v>
      </c>
      <c r="E284" s="4" t="n">
        <v>0</v>
      </c>
      <c r="F284" s="4" t="n">
        <v>0</v>
      </c>
    </row>
    <row r="285" customFormat="false" ht="15" hidden="false" customHeight="false" outlineLevel="0" collapsed="false">
      <c r="A285" s="4" t="s">
        <v>3</v>
      </c>
      <c r="B285" s="4" t="s">
        <v>40</v>
      </c>
      <c r="C285" s="4" t="n">
        <v>2001</v>
      </c>
      <c r="D285" s="4" t="n">
        <v>40</v>
      </c>
      <c r="E285" s="4" t="n">
        <v>30</v>
      </c>
      <c r="F285" s="4" t="n">
        <v>75</v>
      </c>
    </row>
    <row r="286" customFormat="false" ht="15" hidden="false" customHeight="false" outlineLevel="0" collapsed="false">
      <c r="A286" s="4" t="s">
        <v>3</v>
      </c>
      <c r="B286" s="4" t="s">
        <v>40</v>
      </c>
      <c r="C286" s="4" t="n">
        <v>2002</v>
      </c>
      <c r="D286" s="4" t="n">
        <v>11</v>
      </c>
      <c r="E286" s="4" t="n">
        <v>7</v>
      </c>
      <c r="F286" s="4" t="n">
        <v>63.6363636363636</v>
      </c>
    </row>
    <row r="287" customFormat="false" ht="15" hidden="false" customHeight="false" outlineLevel="0" collapsed="false">
      <c r="A287" s="4" t="s">
        <v>3</v>
      </c>
      <c r="B287" s="4" t="s">
        <v>40</v>
      </c>
      <c r="C287" s="4" t="n">
        <v>2003</v>
      </c>
      <c r="D287" s="4" t="n">
        <v>73</v>
      </c>
      <c r="E287" s="4" t="n">
        <v>23</v>
      </c>
      <c r="F287" s="4" t="n">
        <v>31.5068493150685</v>
      </c>
    </row>
    <row r="288" customFormat="false" ht="15" hidden="false" customHeight="false" outlineLevel="0" collapsed="false">
      <c r="A288" s="4" t="s">
        <v>3</v>
      </c>
      <c r="B288" s="4" t="s">
        <v>40</v>
      </c>
      <c r="C288" s="4" t="n">
        <v>2004</v>
      </c>
      <c r="D288" s="4" t="n">
        <v>95</v>
      </c>
      <c r="E288" s="4" t="n">
        <v>11</v>
      </c>
      <c r="F288" s="4" t="n">
        <v>11.5789473684211</v>
      </c>
    </row>
    <row r="289" customFormat="false" ht="15" hidden="false" customHeight="false" outlineLevel="0" collapsed="false">
      <c r="A289" s="4" t="s">
        <v>3</v>
      </c>
      <c r="B289" s="4" t="s">
        <v>40</v>
      </c>
      <c r="C289" s="4" t="n">
        <v>2005</v>
      </c>
      <c r="D289" s="4" t="n">
        <v>106</v>
      </c>
      <c r="E289" s="4" t="n">
        <v>14</v>
      </c>
      <c r="F289" s="4" t="n">
        <v>13.2075471698113</v>
      </c>
    </row>
    <row r="290" customFormat="false" ht="15" hidden="false" customHeight="false" outlineLevel="0" collapsed="false">
      <c r="A290" s="4" t="s">
        <v>3</v>
      </c>
      <c r="B290" s="4" t="s">
        <v>40</v>
      </c>
      <c r="C290" s="4" t="n">
        <v>2006</v>
      </c>
      <c r="D290" s="4" t="n">
        <v>40</v>
      </c>
      <c r="E290" s="4" t="n">
        <v>9</v>
      </c>
      <c r="F290" s="4" t="n">
        <v>22.5</v>
      </c>
    </row>
    <row r="291" customFormat="false" ht="15" hidden="false" customHeight="false" outlineLevel="0" collapsed="false">
      <c r="A291" s="4" t="s">
        <v>3</v>
      </c>
      <c r="B291" s="4" t="s">
        <v>40</v>
      </c>
      <c r="C291" s="4" t="n">
        <v>2007</v>
      </c>
      <c r="D291" s="4" t="n">
        <v>4</v>
      </c>
      <c r="E291" s="4" t="n">
        <v>2</v>
      </c>
      <c r="F291" s="4" t="n">
        <v>50</v>
      </c>
    </row>
    <row r="292" customFormat="false" ht="15" hidden="false" customHeight="false" outlineLevel="0" collapsed="false">
      <c r="A292" s="4" t="s">
        <v>3</v>
      </c>
      <c r="B292" s="4" t="s">
        <v>40</v>
      </c>
      <c r="C292" s="4" t="n">
        <v>2008</v>
      </c>
      <c r="D292" s="4" t="n">
        <v>550</v>
      </c>
      <c r="E292" s="4" t="n">
        <v>209</v>
      </c>
      <c r="F292" s="4" t="n">
        <v>38</v>
      </c>
    </row>
    <row r="293" customFormat="false" ht="15" hidden="false" customHeight="false" outlineLevel="0" collapsed="false">
      <c r="A293" s="4" t="s">
        <v>3</v>
      </c>
      <c r="B293" s="4" t="s">
        <v>40</v>
      </c>
      <c r="C293" s="4" t="n">
        <v>2009</v>
      </c>
      <c r="D293" s="4" t="n">
        <v>269</v>
      </c>
      <c r="E293" s="4" t="n">
        <v>108</v>
      </c>
      <c r="F293" s="4" t="n">
        <v>40.1486988847584</v>
      </c>
    </row>
    <row r="294" customFormat="false" ht="15" hidden="false" customHeight="false" outlineLevel="0" collapsed="false">
      <c r="A294" s="4" t="s">
        <v>3</v>
      </c>
      <c r="B294" s="4" t="s">
        <v>40</v>
      </c>
      <c r="C294" s="4" t="n">
        <v>2010</v>
      </c>
      <c r="D294" s="4" t="n">
        <v>97</v>
      </c>
      <c r="E294" s="4" t="n">
        <v>51</v>
      </c>
      <c r="F294" s="4" t="n">
        <v>52.5773195876289</v>
      </c>
    </row>
    <row r="295" customFormat="false" ht="15" hidden="false" customHeight="false" outlineLevel="0" collapsed="false">
      <c r="A295" s="4" t="s">
        <v>3</v>
      </c>
      <c r="B295" s="4" t="s">
        <v>40</v>
      </c>
      <c r="C295" s="4" t="n">
        <v>2011</v>
      </c>
      <c r="D295" s="4" t="n">
        <v>25</v>
      </c>
      <c r="E295" s="4" t="n">
        <v>12</v>
      </c>
      <c r="F295" s="4" t="n">
        <v>48</v>
      </c>
    </row>
    <row r="296" customFormat="false" ht="15" hidden="false" customHeight="false" outlineLevel="0" collapsed="false">
      <c r="A296" s="4" t="s">
        <v>3</v>
      </c>
      <c r="B296" s="4" t="s">
        <v>40</v>
      </c>
      <c r="C296" s="4" t="n">
        <v>2012</v>
      </c>
      <c r="D296" s="4" t="n">
        <v>26</v>
      </c>
      <c r="E296" s="4" t="n">
        <v>12</v>
      </c>
      <c r="F296" s="4" t="n">
        <v>46.1538461538462</v>
      </c>
    </row>
    <row r="297" customFormat="false" ht="15" hidden="false" customHeight="false" outlineLevel="0" collapsed="false">
      <c r="A297" s="4" t="s">
        <v>3</v>
      </c>
      <c r="B297" s="4" t="s">
        <v>40</v>
      </c>
      <c r="C297" s="4" t="n">
        <v>2013</v>
      </c>
      <c r="D297" s="4" t="n">
        <v>4</v>
      </c>
      <c r="E297" s="4" t="n">
        <v>1</v>
      </c>
      <c r="F297" s="4" t="n">
        <v>25</v>
      </c>
    </row>
    <row r="298" customFormat="false" ht="15" hidden="false" customHeight="false" outlineLevel="0" collapsed="false">
      <c r="A298" s="4" t="s">
        <v>3</v>
      </c>
      <c r="B298" s="4" t="s">
        <v>40</v>
      </c>
      <c r="C298" s="4" t="n">
        <v>2014</v>
      </c>
      <c r="D298" s="4" t="n">
        <v>5</v>
      </c>
      <c r="E298" s="4" t="n">
        <v>2</v>
      </c>
      <c r="F298" s="4" t="n">
        <v>40</v>
      </c>
    </row>
    <row r="299" customFormat="false" ht="15" hidden="false" customHeight="false" outlineLevel="0" collapsed="false">
      <c r="A299" s="4" t="s">
        <v>3</v>
      </c>
      <c r="B299" s="4" t="s">
        <v>40</v>
      </c>
      <c r="C299" s="4" t="n">
        <v>2016</v>
      </c>
      <c r="D299" s="4" t="n">
        <v>11</v>
      </c>
      <c r="E299" s="4" t="n">
        <v>7</v>
      </c>
      <c r="F299" s="4" t="n">
        <v>63.6363636363636</v>
      </c>
    </row>
    <row r="300" customFormat="false" ht="15" hidden="false" customHeight="false" outlineLevel="0" collapsed="false">
      <c r="A300" s="4" t="s">
        <v>3</v>
      </c>
      <c r="B300" s="4" t="s">
        <v>40</v>
      </c>
      <c r="C300" s="4" t="n">
        <v>2017</v>
      </c>
      <c r="D300" s="4" t="n">
        <v>3</v>
      </c>
      <c r="E300" s="4" t="n">
        <v>1</v>
      </c>
      <c r="F300" s="4" t="n">
        <v>33.3333333333333</v>
      </c>
    </row>
    <row r="301" customFormat="false" ht="15" hidden="false" customHeight="false" outlineLevel="0" collapsed="false">
      <c r="A301" s="4" t="s">
        <v>3</v>
      </c>
      <c r="B301" s="4" t="s">
        <v>40</v>
      </c>
      <c r="C301" s="4" t="n">
        <v>2018</v>
      </c>
      <c r="D301" s="4" t="n">
        <v>2</v>
      </c>
      <c r="E301" s="4" t="n">
        <v>0</v>
      </c>
      <c r="F301" s="4" t="n">
        <v>0</v>
      </c>
    </row>
    <row r="302" customFormat="false" ht="15" hidden="false" customHeight="false" outlineLevel="0" collapsed="false">
      <c r="A302" s="4" t="s">
        <v>3</v>
      </c>
      <c r="B302" s="4" t="s">
        <v>41</v>
      </c>
      <c r="C302" s="4" t="n">
        <v>1991</v>
      </c>
      <c r="D302" s="4" t="n">
        <v>1</v>
      </c>
      <c r="E302" s="4" t="n">
        <v>0</v>
      </c>
      <c r="F302" s="4" t="n">
        <v>0</v>
      </c>
    </row>
    <row r="303" customFormat="false" ht="15" hidden="false" customHeight="false" outlineLevel="0" collapsed="false">
      <c r="A303" s="4" t="s">
        <v>3</v>
      </c>
      <c r="B303" s="4" t="s">
        <v>41</v>
      </c>
      <c r="C303" s="4" t="n">
        <v>1993</v>
      </c>
      <c r="D303" s="4" t="n">
        <v>578</v>
      </c>
      <c r="E303" s="4" t="n">
        <v>48</v>
      </c>
      <c r="F303" s="4" t="n">
        <v>8.30449826989619</v>
      </c>
    </row>
    <row r="304" customFormat="false" ht="15" hidden="false" customHeight="false" outlineLevel="0" collapsed="false">
      <c r="A304" s="4" t="s">
        <v>3</v>
      </c>
      <c r="B304" s="4" t="s">
        <v>41</v>
      </c>
      <c r="C304" s="4" t="n">
        <v>1995</v>
      </c>
      <c r="D304" s="4" t="n">
        <v>2</v>
      </c>
      <c r="E304" s="4" t="n">
        <v>1</v>
      </c>
      <c r="F304" s="4" t="n">
        <v>50</v>
      </c>
    </row>
    <row r="305" customFormat="false" ht="15" hidden="false" customHeight="false" outlineLevel="0" collapsed="false">
      <c r="A305" s="4" t="s">
        <v>3</v>
      </c>
      <c r="B305" s="4" t="s">
        <v>41</v>
      </c>
      <c r="C305" s="4" t="n">
        <v>1996</v>
      </c>
      <c r="D305" s="4" t="n">
        <v>7</v>
      </c>
      <c r="E305" s="4" t="n">
        <v>3</v>
      </c>
      <c r="F305" s="4" t="n">
        <v>42.8571428571429</v>
      </c>
    </row>
    <row r="306" customFormat="false" ht="15" hidden="false" customHeight="false" outlineLevel="0" collapsed="false">
      <c r="A306" s="4" t="s">
        <v>3</v>
      </c>
      <c r="B306" s="4" t="s">
        <v>41</v>
      </c>
      <c r="C306" s="4" t="n">
        <v>1997</v>
      </c>
      <c r="D306" s="4" t="n">
        <v>184</v>
      </c>
      <c r="E306" s="4" t="n">
        <v>120</v>
      </c>
      <c r="F306" s="4" t="n">
        <v>65.2173913043478</v>
      </c>
    </row>
    <row r="307" customFormat="false" ht="15" hidden="false" customHeight="false" outlineLevel="0" collapsed="false">
      <c r="A307" s="4" t="s">
        <v>3</v>
      </c>
      <c r="B307" s="4" t="s">
        <v>41</v>
      </c>
      <c r="C307" s="4" t="n">
        <v>1998</v>
      </c>
      <c r="D307" s="4" t="n">
        <v>369</v>
      </c>
      <c r="E307" s="4" t="n">
        <v>14</v>
      </c>
      <c r="F307" s="4" t="n">
        <v>3.7940379403794</v>
      </c>
    </row>
    <row r="308" customFormat="false" ht="15" hidden="false" customHeight="false" outlineLevel="0" collapsed="false">
      <c r="A308" s="4" t="s">
        <v>3</v>
      </c>
      <c r="B308" s="4" t="s">
        <v>41</v>
      </c>
      <c r="C308" s="4" t="n">
        <v>1999</v>
      </c>
      <c r="D308" s="4" t="n">
        <v>1</v>
      </c>
      <c r="E308" s="4" t="n">
        <v>0</v>
      </c>
      <c r="F308" s="4" t="n">
        <v>0</v>
      </c>
    </row>
    <row r="309" customFormat="false" ht="15" hidden="false" customHeight="false" outlineLevel="0" collapsed="false">
      <c r="A309" s="4" t="s">
        <v>3</v>
      </c>
      <c r="B309" s="4" t="s">
        <v>41</v>
      </c>
      <c r="C309" s="4" t="n">
        <v>2000</v>
      </c>
      <c r="D309" s="4" t="n">
        <v>4</v>
      </c>
      <c r="E309" s="4" t="n">
        <v>0</v>
      </c>
      <c r="F309" s="4" t="n">
        <v>0</v>
      </c>
    </row>
    <row r="310" customFormat="false" ht="15" hidden="false" customHeight="false" outlineLevel="0" collapsed="false">
      <c r="A310" s="4" t="s">
        <v>3</v>
      </c>
      <c r="B310" s="4" t="s">
        <v>41</v>
      </c>
      <c r="C310" s="4" t="n">
        <v>2001</v>
      </c>
      <c r="D310" s="4" t="n">
        <v>47</v>
      </c>
      <c r="E310" s="4" t="n">
        <v>5</v>
      </c>
      <c r="F310" s="4" t="n">
        <v>10.6382978723404</v>
      </c>
    </row>
    <row r="311" customFormat="false" ht="15" hidden="false" customHeight="false" outlineLevel="0" collapsed="false">
      <c r="A311" s="4" t="s">
        <v>3</v>
      </c>
      <c r="B311" s="4" t="s">
        <v>41</v>
      </c>
      <c r="C311" s="4" t="n">
        <v>2002</v>
      </c>
      <c r="D311" s="4" t="n">
        <v>15</v>
      </c>
      <c r="E311" s="4" t="n">
        <v>4</v>
      </c>
      <c r="F311" s="4" t="n">
        <v>26.6666666666667</v>
      </c>
    </row>
    <row r="312" customFormat="false" ht="15" hidden="false" customHeight="false" outlineLevel="0" collapsed="false">
      <c r="A312" s="4" t="s">
        <v>3</v>
      </c>
      <c r="B312" s="4" t="s">
        <v>41</v>
      </c>
      <c r="C312" s="4" t="n">
        <v>2003</v>
      </c>
      <c r="D312" s="4" t="n">
        <v>443</v>
      </c>
      <c r="E312" s="4" t="n">
        <v>74</v>
      </c>
      <c r="F312" s="4" t="n">
        <v>16.7042889390519</v>
      </c>
    </row>
    <row r="313" customFormat="false" ht="15" hidden="false" customHeight="false" outlineLevel="0" collapsed="false">
      <c r="A313" s="4" t="s">
        <v>3</v>
      </c>
      <c r="B313" s="4" t="s">
        <v>41</v>
      </c>
      <c r="C313" s="4" t="n">
        <v>2004</v>
      </c>
      <c r="D313" s="4" t="n">
        <v>129</v>
      </c>
      <c r="E313" s="4" t="n">
        <v>49</v>
      </c>
      <c r="F313" s="4" t="n">
        <v>37.984496124031</v>
      </c>
    </row>
    <row r="314" customFormat="false" ht="15" hidden="false" customHeight="false" outlineLevel="0" collapsed="false">
      <c r="A314" s="4" t="s">
        <v>3</v>
      </c>
      <c r="B314" s="4" t="s">
        <v>41</v>
      </c>
      <c r="C314" s="4" t="n">
        <v>2005</v>
      </c>
      <c r="D314" s="4" t="n">
        <v>182</v>
      </c>
      <c r="E314" s="4" t="n">
        <v>103</v>
      </c>
      <c r="F314" s="4" t="n">
        <v>56.5934065934066</v>
      </c>
    </row>
    <row r="315" customFormat="false" ht="15" hidden="false" customHeight="false" outlineLevel="0" collapsed="false">
      <c r="A315" s="4" t="s">
        <v>3</v>
      </c>
      <c r="B315" s="4" t="s">
        <v>41</v>
      </c>
      <c r="C315" s="4" t="n">
        <v>2006</v>
      </c>
      <c r="D315" s="4" t="n">
        <v>107</v>
      </c>
      <c r="E315" s="4" t="n">
        <v>47</v>
      </c>
      <c r="F315" s="4" t="n">
        <v>43.9252336448598</v>
      </c>
    </row>
    <row r="316" customFormat="false" ht="15" hidden="false" customHeight="false" outlineLevel="0" collapsed="false">
      <c r="A316" s="4" t="s">
        <v>3</v>
      </c>
      <c r="B316" s="4" t="s">
        <v>41</v>
      </c>
      <c r="C316" s="4" t="n">
        <v>2007</v>
      </c>
      <c r="D316" s="4" t="n">
        <v>249</v>
      </c>
      <c r="E316" s="4" t="n">
        <v>82</v>
      </c>
      <c r="F316" s="4" t="n">
        <v>32.9317269076305</v>
      </c>
    </row>
    <row r="317" customFormat="false" ht="15" hidden="false" customHeight="false" outlineLevel="0" collapsed="false">
      <c r="A317" s="4" t="s">
        <v>3</v>
      </c>
      <c r="B317" s="4" t="s">
        <v>41</v>
      </c>
      <c r="C317" s="4" t="n">
        <v>2008</v>
      </c>
      <c r="D317" s="4" t="n">
        <v>2390</v>
      </c>
      <c r="E317" s="4" t="n">
        <v>547</v>
      </c>
      <c r="F317" s="4" t="n">
        <v>22.8870292887029</v>
      </c>
    </row>
    <row r="318" customFormat="false" ht="15" hidden="false" customHeight="false" outlineLevel="0" collapsed="false">
      <c r="A318" s="4" t="s">
        <v>3</v>
      </c>
      <c r="B318" s="4" t="s">
        <v>41</v>
      </c>
      <c r="C318" s="4" t="n">
        <v>2009</v>
      </c>
      <c r="D318" s="4" t="n">
        <v>4508</v>
      </c>
      <c r="E318" s="4" t="n">
        <v>478</v>
      </c>
      <c r="F318" s="4" t="n">
        <v>10.603371783496</v>
      </c>
    </row>
    <row r="319" customFormat="false" ht="15" hidden="false" customHeight="false" outlineLevel="0" collapsed="false">
      <c r="A319" s="4" t="s">
        <v>3</v>
      </c>
      <c r="B319" s="4" t="s">
        <v>41</v>
      </c>
      <c r="C319" s="4" t="n">
        <v>2010</v>
      </c>
      <c r="D319" s="4" t="n">
        <v>318</v>
      </c>
      <c r="E319" s="4" t="n">
        <v>85</v>
      </c>
      <c r="F319" s="4" t="n">
        <v>26.7295597484277</v>
      </c>
    </row>
    <row r="320" customFormat="false" ht="15" hidden="false" customHeight="false" outlineLevel="0" collapsed="false">
      <c r="A320" s="4" t="s">
        <v>3</v>
      </c>
      <c r="B320" s="4" t="s">
        <v>41</v>
      </c>
      <c r="C320" s="4" t="n">
        <v>2011</v>
      </c>
      <c r="D320" s="4" t="n">
        <v>106</v>
      </c>
      <c r="E320" s="4" t="n">
        <v>35</v>
      </c>
      <c r="F320" s="4" t="n">
        <v>33.0188679245283</v>
      </c>
    </row>
    <row r="321" customFormat="false" ht="15" hidden="false" customHeight="false" outlineLevel="0" collapsed="false">
      <c r="A321" s="4" t="s">
        <v>3</v>
      </c>
      <c r="B321" s="4" t="s">
        <v>41</v>
      </c>
      <c r="C321" s="4" t="n">
        <v>2012</v>
      </c>
      <c r="D321" s="4" t="n">
        <v>960</v>
      </c>
      <c r="E321" s="4" t="n">
        <v>137</v>
      </c>
      <c r="F321" s="4" t="n">
        <v>14.2708333333333</v>
      </c>
    </row>
    <row r="322" customFormat="false" ht="15" hidden="false" customHeight="false" outlineLevel="0" collapsed="false">
      <c r="A322" s="4" t="s">
        <v>3</v>
      </c>
      <c r="B322" s="4" t="s">
        <v>41</v>
      </c>
      <c r="C322" s="4" t="n">
        <v>2013</v>
      </c>
      <c r="D322" s="4" t="n">
        <v>114</v>
      </c>
      <c r="E322" s="4" t="n">
        <v>20</v>
      </c>
      <c r="F322" s="4" t="n">
        <v>17.5438596491228</v>
      </c>
    </row>
    <row r="323" customFormat="false" ht="15" hidden="false" customHeight="false" outlineLevel="0" collapsed="false">
      <c r="A323" s="4" t="s">
        <v>3</v>
      </c>
      <c r="B323" s="4" t="s">
        <v>41</v>
      </c>
      <c r="C323" s="4" t="n">
        <v>2014</v>
      </c>
      <c r="D323" s="4" t="n">
        <v>454</v>
      </c>
      <c r="E323" s="4" t="n">
        <v>153</v>
      </c>
      <c r="F323" s="4" t="n">
        <v>33.7004405286344</v>
      </c>
    </row>
    <row r="324" customFormat="false" ht="15" hidden="false" customHeight="false" outlineLevel="0" collapsed="false">
      <c r="A324" s="4" t="s">
        <v>3</v>
      </c>
      <c r="B324" s="4" t="s">
        <v>41</v>
      </c>
      <c r="C324" s="4" t="n">
        <v>2015</v>
      </c>
      <c r="D324" s="4" t="n">
        <v>10</v>
      </c>
      <c r="E324" s="4" t="n">
        <v>0</v>
      </c>
      <c r="F324" s="4" t="n">
        <v>0</v>
      </c>
    </row>
    <row r="325" customFormat="false" ht="15" hidden="false" customHeight="false" outlineLevel="0" collapsed="false">
      <c r="A325" s="4" t="s">
        <v>3</v>
      </c>
      <c r="B325" s="4" t="s">
        <v>41</v>
      </c>
      <c r="C325" s="4" t="n">
        <v>2016</v>
      </c>
      <c r="D325" s="4" t="n">
        <v>29</v>
      </c>
      <c r="E325" s="4" t="n">
        <v>7</v>
      </c>
      <c r="F325" s="4" t="n">
        <v>24.1379310344828</v>
      </c>
    </row>
    <row r="326" customFormat="false" ht="15" hidden="false" customHeight="false" outlineLevel="0" collapsed="false">
      <c r="A326" s="4" t="s">
        <v>3</v>
      </c>
      <c r="B326" s="4" t="s">
        <v>41</v>
      </c>
      <c r="C326" s="4" t="n">
        <v>2017</v>
      </c>
      <c r="D326" s="4" t="n">
        <v>132</v>
      </c>
      <c r="E326" s="4" t="n">
        <v>9</v>
      </c>
      <c r="F326" s="4" t="n">
        <v>6.81818181818182</v>
      </c>
    </row>
    <row r="327" customFormat="false" ht="15" hidden="false" customHeight="false" outlineLevel="0" collapsed="false">
      <c r="A327" s="4" t="s">
        <v>3</v>
      </c>
      <c r="B327" s="4" t="s">
        <v>41</v>
      </c>
      <c r="C327" s="4" t="n">
        <v>2018</v>
      </c>
      <c r="D327" s="4" t="n">
        <v>107</v>
      </c>
      <c r="E327" s="4" t="n">
        <v>5</v>
      </c>
      <c r="F327" s="4" t="n">
        <v>4.67289719626168</v>
      </c>
    </row>
    <row r="328" customFormat="false" ht="15" hidden="false" customHeight="false" outlineLevel="0" collapsed="false">
      <c r="A328" s="4" t="s">
        <v>3</v>
      </c>
      <c r="B328" s="4" t="s">
        <v>41</v>
      </c>
      <c r="C328" s="4" t="n">
        <v>2019</v>
      </c>
      <c r="D328" s="4" t="n">
        <v>21</v>
      </c>
      <c r="E328" s="4" t="n">
        <v>0</v>
      </c>
      <c r="F328" s="4" t="n">
        <v>0</v>
      </c>
    </row>
    <row r="329" customFormat="false" ht="15" hidden="false" customHeight="false" outlineLevel="0" collapsed="false">
      <c r="A329" s="4" t="s">
        <v>3</v>
      </c>
      <c r="B329" s="4" t="s">
        <v>41</v>
      </c>
      <c r="C329" s="4" t="n">
        <v>2020</v>
      </c>
      <c r="D329" s="4" t="n">
        <v>12</v>
      </c>
      <c r="E329" s="4" t="n">
        <v>0</v>
      </c>
      <c r="F329" s="4" t="n">
        <v>0</v>
      </c>
    </row>
    <row r="330" customFormat="false" ht="15" hidden="false" customHeight="false" outlineLevel="0" collapsed="false">
      <c r="A330" s="4" t="s">
        <v>3</v>
      </c>
      <c r="B330" s="4" t="s">
        <v>41</v>
      </c>
      <c r="C330" s="4" t="n">
        <v>2021</v>
      </c>
      <c r="D330" s="4" t="n">
        <v>11</v>
      </c>
      <c r="E330" s="4" t="n">
        <v>1</v>
      </c>
      <c r="F330" s="4" t="n">
        <v>9.09090909090909</v>
      </c>
    </row>
    <row r="331" customFormat="false" ht="15" hidden="false" customHeight="false" outlineLevel="0" collapsed="false">
      <c r="A331" s="4" t="s">
        <v>3</v>
      </c>
      <c r="B331" s="4" t="s">
        <v>41</v>
      </c>
      <c r="C331" s="4" t="n">
        <v>2022</v>
      </c>
      <c r="D331" s="4" t="n">
        <v>1</v>
      </c>
      <c r="E331" s="4" t="n">
        <v>0</v>
      </c>
      <c r="F331" s="4" t="n">
        <v>0</v>
      </c>
    </row>
    <row r="332" customFormat="false" ht="15" hidden="false" customHeight="false" outlineLevel="0" collapsed="false">
      <c r="A332" s="4" t="s">
        <v>3</v>
      </c>
      <c r="B332" s="4" t="s">
        <v>41</v>
      </c>
      <c r="C332" s="4" t="n">
        <v>2023</v>
      </c>
      <c r="D332" s="4" t="n">
        <v>1</v>
      </c>
      <c r="E332" s="4" t="n">
        <v>0</v>
      </c>
      <c r="F332" s="4" t="n">
        <v>0</v>
      </c>
    </row>
    <row r="333" customFormat="false" ht="15" hidden="false" customHeight="false" outlineLevel="0" collapsed="false">
      <c r="A333" s="4" t="s">
        <v>3</v>
      </c>
      <c r="B333" s="4" t="s">
        <v>41</v>
      </c>
      <c r="C333" s="4" t="n">
        <v>2024</v>
      </c>
      <c r="D333" s="4" t="n">
        <v>9</v>
      </c>
      <c r="E333" s="4" t="n">
        <v>0</v>
      </c>
      <c r="F333" s="4" t="n">
        <v>0</v>
      </c>
    </row>
    <row r="334" customFormat="false" ht="15" hidden="false" customHeight="false" outlineLevel="0" collapsed="false">
      <c r="A334" s="4" t="s">
        <v>3</v>
      </c>
      <c r="B334" s="4" t="s">
        <v>42</v>
      </c>
      <c r="C334" s="4" t="n">
        <v>2005</v>
      </c>
      <c r="D334" s="4" t="n">
        <v>31</v>
      </c>
      <c r="E334" s="4" t="n">
        <v>20</v>
      </c>
      <c r="F334" s="4" t="n">
        <v>64.5161290322581</v>
      </c>
    </row>
    <row r="335" customFormat="false" ht="15" hidden="false" customHeight="false" outlineLevel="0" collapsed="false">
      <c r="A335" s="4" t="s">
        <v>3</v>
      </c>
      <c r="B335" s="4" t="s">
        <v>42</v>
      </c>
      <c r="C335" s="4" t="n">
        <v>2006</v>
      </c>
      <c r="D335" s="4" t="n">
        <v>21</v>
      </c>
      <c r="E335" s="4" t="n">
        <v>3</v>
      </c>
      <c r="F335" s="4" t="n">
        <v>14.2857142857143</v>
      </c>
    </row>
    <row r="336" customFormat="false" ht="15" hidden="false" customHeight="false" outlineLevel="0" collapsed="false">
      <c r="A336" s="4" t="s">
        <v>3</v>
      </c>
      <c r="B336" s="4" t="s">
        <v>42</v>
      </c>
      <c r="C336" s="4" t="n">
        <v>2007</v>
      </c>
      <c r="D336" s="4" t="n">
        <v>14</v>
      </c>
      <c r="E336" s="4" t="n">
        <v>11</v>
      </c>
      <c r="F336" s="4" t="n">
        <v>78.5714285714286</v>
      </c>
    </row>
    <row r="337" customFormat="false" ht="15" hidden="false" customHeight="false" outlineLevel="0" collapsed="false">
      <c r="A337" s="4" t="s">
        <v>3</v>
      </c>
      <c r="B337" s="4" t="s">
        <v>42</v>
      </c>
      <c r="C337" s="4" t="n">
        <v>2008</v>
      </c>
      <c r="D337" s="4" t="n">
        <v>9</v>
      </c>
      <c r="E337" s="4" t="n">
        <v>8</v>
      </c>
      <c r="F337" s="4" t="n">
        <v>88.8888888888889</v>
      </c>
    </row>
    <row r="338" customFormat="false" ht="15" hidden="false" customHeight="false" outlineLevel="0" collapsed="false">
      <c r="A338" s="4" t="s">
        <v>3</v>
      </c>
      <c r="B338" s="4" t="s">
        <v>42</v>
      </c>
      <c r="C338" s="4" t="n">
        <v>2009</v>
      </c>
      <c r="D338" s="4" t="n">
        <v>1</v>
      </c>
      <c r="E338" s="4" t="n">
        <v>0</v>
      </c>
      <c r="F338" s="4" t="n">
        <v>0</v>
      </c>
    </row>
    <row r="339" customFormat="false" ht="15" hidden="false" customHeight="false" outlineLevel="0" collapsed="false">
      <c r="A339" s="4" t="s">
        <v>3</v>
      </c>
      <c r="B339" s="4" t="s">
        <v>42</v>
      </c>
      <c r="C339" s="4" t="n">
        <v>2010</v>
      </c>
      <c r="D339" s="4" t="n">
        <v>2</v>
      </c>
      <c r="E339" s="4" t="n">
        <v>1</v>
      </c>
      <c r="F339" s="4" t="n">
        <v>50</v>
      </c>
    </row>
    <row r="340" customFormat="false" ht="15" hidden="false" customHeight="false" outlineLevel="0" collapsed="false">
      <c r="A340" s="4" t="s">
        <v>3</v>
      </c>
      <c r="B340" s="4" t="s">
        <v>42</v>
      </c>
      <c r="C340" s="4" t="n">
        <v>2017</v>
      </c>
      <c r="D340" s="4" t="n">
        <v>1204</v>
      </c>
      <c r="E340" s="4" t="n">
        <v>617</v>
      </c>
      <c r="F340" s="4" t="n">
        <v>51.2458471760797</v>
      </c>
    </row>
    <row r="341" customFormat="false" ht="15" hidden="false" customHeight="false" outlineLevel="0" collapsed="false">
      <c r="A341" s="4" t="s">
        <v>3</v>
      </c>
      <c r="B341" s="4" t="s">
        <v>42</v>
      </c>
      <c r="C341" s="4" t="n">
        <v>2018</v>
      </c>
      <c r="D341" s="4" t="n">
        <v>834</v>
      </c>
      <c r="E341" s="4" t="n">
        <v>344</v>
      </c>
      <c r="F341" s="4" t="n">
        <v>41.2470023980815</v>
      </c>
    </row>
    <row r="342" customFormat="false" ht="15" hidden="false" customHeight="false" outlineLevel="0" collapsed="false">
      <c r="A342" s="4" t="s">
        <v>3</v>
      </c>
      <c r="B342" s="4" t="s">
        <v>43</v>
      </c>
      <c r="C342" s="4" t="n">
        <v>1991</v>
      </c>
      <c r="D342" s="4" t="n">
        <v>1</v>
      </c>
      <c r="E342" s="4" t="n">
        <v>1</v>
      </c>
      <c r="F342" s="4" t="n">
        <v>100</v>
      </c>
    </row>
    <row r="343" customFormat="false" ht="15" hidden="false" customHeight="false" outlineLevel="0" collapsed="false">
      <c r="A343" s="4" t="s">
        <v>3</v>
      </c>
      <c r="B343" s="4" t="s">
        <v>43</v>
      </c>
      <c r="C343" s="4" t="n">
        <v>1993</v>
      </c>
      <c r="D343" s="4" t="n">
        <v>667</v>
      </c>
      <c r="E343" s="4" t="n">
        <v>152</v>
      </c>
      <c r="F343" s="4" t="n">
        <v>22.7886056971514</v>
      </c>
    </row>
    <row r="344" customFormat="false" ht="15" hidden="false" customHeight="false" outlineLevel="0" collapsed="false">
      <c r="A344" s="4" t="s">
        <v>3</v>
      </c>
      <c r="B344" s="4" t="s">
        <v>43</v>
      </c>
      <c r="C344" s="4" t="n">
        <v>1995</v>
      </c>
      <c r="D344" s="4" t="n">
        <v>2</v>
      </c>
      <c r="E344" s="4" t="n">
        <v>1</v>
      </c>
      <c r="F344" s="4" t="n">
        <v>50</v>
      </c>
    </row>
    <row r="345" customFormat="false" ht="15" hidden="false" customHeight="false" outlineLevel="0" collapsed="false">
      <c r="A345" s="4" t="s">
        <v>3</v>
      </c>
      <c r="B345" s="4" t="s">
        <v>43</v>
      </c>
      <c r="C345" s="4" t="n">
        <v>1996</v>
      </c>
      <c r="D345" s="4" t="n">
        <v>7</v>
      </c>
      <c r="E345" s="4" t="n">
        <v>4</v>
      </c>
      <c r="F345" s="4" t="n">
        <v>57.1428571428571</v>
      </c>
    </row>
    <row r="346" customFormat="false" ht="15" hidden="false" customHeight="false" outlineLevel="0" collapsed="false">
      <c r="A346" s="4" t="s">
        <v>3</v>
      </c>
      <c r="B346" s="4" t="s">
        <v>43</v>
      </c>
      <c r="C346" s="4" t="n">
        <v>1997</v>
      </c>
      <c r="D346" s="4" t="n">
        <v>319</v>
      </c>
      <c r="E346" s="4" t="n">
        <v>218</v>
      </c>
      <c r="F346" s="4" t="n">
        <v>68.3385579937304</v>
      </c>
    </row>
    <row r="347" customFormat="false" ht="15" hidden="false" customHeight="false" outlineLevel="0" collapsed="false">
      <c r="A347" s="4" t="s">
        <v>3</v>
      </c>
      <c r="B347" s="4" t="s">
        <v>43</v>
      </c>
      <c r="C347" s="4" t="n">
        <v>1998</v>
      </c>
      <c r="D347" s="4" t="n">
        <v>623</v>
      </c>
      <c r="E347" s="4" t="n">
        <v>218</v>
      </c>
      <c r="F347" s="4" t="n">
        <v>34.991974317817</v>
      </c>
    </row>
    <row r="348" customFormat="false" ht="15" hidden="false" customHeight="false" outlineLevel="0" collapsed="false">
      <c r="A348" s="4" t="s">
        <v>3</v>
      </c>
      <c r="B348" s="4" t="s">
        <v>43</v>
      </c>
      <c r="C348" s="4" t="n">
        <v>1999</v>
      </c>
      <c r="D348" s="4" t="n">
        <v>2</v>
      </c>
      <c r="E348" s="4" t="n">
        <v>0</v>
      </c>
      <c r="F348" s="4" t="n">
        <v>0</v>
      </c>
    </row>
    <row r="349" customFormat="false" ht="15" hidden="false" customHeight="false" outlineLevel="0" collapsed="false">
      <c r="A349" s="4" t="s">
        <v>3</v>
      </c>
      <c r="B349" s="4" t="s">
        <v>43</v>
      </c>
      <c r="C349" s="4" t="n">
        <v>2000</v>
      </c>
      <c r="D349" s="4" t="n">
        <v>13</v>
      </c>
      <c r="E349" s="4" t="n">
        <v>4</v>
      </c>
      <c r="F349" s="4" t="n">
        <v>30.7692307692308</v>
      </c>
    </row>
    <row r="350" customFormat="false" ht="15" hidden="false" customHeight="false" outlineLevel="0" collapsed="false">
      <c r="A350" s="4" t="s">
        <v>3</v>
      </c>
      <c r="B350" s="4" t="s">
        <v>43</v>
      </c>
      <c r="C350" s="4" t="n">
        <v>2001</v>
      </c>
      <c r="D350" s="4" t="n">
        <v>74</v>
      </c>
      <c r="E350" s="4" t="n">
        <v>45</v>
      </c>
      <c r="F350" s="4" t="n">
        <v>60.8108108108108</v>
      </c>
    </row>
    <row r="351" customFormat="false" ht="15" hidden="false" customHeight="false" outlineLevel="0" collapsed="false">
      <c r="A351" s="4" t="s">
        <v>3</v>
      </c>
      <c r="B351" s="4" t="s">
        <v>43</v>
      </c>
      <c r="C351" s="4" t="n">
        <v>2002</v>
      </c>
      <c r="D351" s="4" t="n">
        <v>117</v>
      </c>
      <c r="E351" s="4" t="n">
        <v>20</v>
      </c>
      <c r="F351" s="4" t="n">
        <v>17.0940170940171</v>
      </c>
    </row>
    <row r="352" customFormat="false" ht="15" hidden="false" customHeight="false" outlineLevel="0" collapsed="false">
      <c r="A352" s="4" t="s">
        <v>3</v>
      </c>
      <c r="B352" s="4" t="s">
        <v>43</v>
      </c>
      <c r="C352" s="4" t="n">
        <v>2003</v>
      </c>
      <c r="D352" s="4" t="n">
        <v>1745</v>
      </c>
      <c r="E352" s="4" t="n">
        <v>204</v>
      </c>
      <c r="F352" s="4" t="n">
        <v>11.6905444126075</v>
      </c>
    </row>
    <row r="353" customFormat="false" ht="15" hidden="false" customHeight="false" outlineLevel="0" collapsed="false">
      <c r="A353" s="4" t="s">
        <v>3</v>
      </c>
      <c r="B353" s="4" t="s">
        <v>43</v>
      </c>
      <c r="C353" s="4" t="n">
        <v>2004</v>
      </c>
      <c r="D353" s="4" t="n">
        <v>174</v>
      </c>
      <c r="E353" s="4" t="n">
        <v>117</v>
      </c>
      <c r="F353" s="4" t="n">
        <v>67.2413793103448</v>
      </c>
    </row>
    <row r="354" customFormat="false" ht="15" hidden="false" customHeight="false" outlineLevel="0" collapsed="false">
      <c r="A354" s="4" t="s">
        <v>3</v>
      </c>
      <c r="B354" s="4" t="s">
        <v>43</v>
      </c>
      <c r="C354" s="4" t="n">
        <v>2005</v>
      </c>
      <c r="D354" s="4" t="n">
        <v>326</v>
      </c>
      <c r="E354" s="4" t="n">
        <v>181</v>
      </c>
      <c r="F354" s="4" t="n">
        <v>55.521472392638</v>
      </c>
    </row>
    <row r="355" customFormat="false" ht="15" hidden="false" customHeight="false" outlineLevel="0" collapsed="false">
      <c r="A355" s="4" t="s">
        <v>3</v>
      </c>
      <c r="B355" s="4" t="s">
        <v>43</v>
      </c>
      <c r="C355" s="4" t="n">
        <v>2006</v>
      </c>
      <c r="D355" s="4" t="n">
        <v>387</v>
      </c>
      <c r="E355" s="4" t="n">
        <v>221</v>
      </c>
      <c r="F355" s="4" t="n">
        <v>57.1059431524548</v>
      </c>
    </row>
    <row r="356" customFormat="false" ht="15" hidden="false" customHeight="false" outlineLevel="0" collapsed="false">
      <c r="A356" s="4" t="s">
        <v>3</v>
      </c>
      <c r="B356" s="4" t="s">
        <v>43</v>
      </c>
      <c r="C356" s="4" t="n">
        <v>2007</v>
      </c>
      <c r="D356" s="4" t="n">
        <v>1050</v>
      </c>
      <c r="E356" s="4" t="n">
        <v>468</v>
      </c>
      <c r="F356" s="4" t="n">
        <v>44.5714285714286</v>
      </c>
    </row>
    <row r="357" customFormat="false" ht="15" hidden="false" customHeight="false" outlineLevel="0" collapsed="false">
      <c r="A357" s="4" t="s">
        <v>3</v>
      </c>
      <c r="B357" s="4" t="s">
        <v>43</v>
      </c>
      <c r="C357" s="4" t="n">
        <v>2008</v>
      </c>
      <c r="D357" s="4" t="n">
        <v>2863</v>
      </c>
      <c r="E357" s="4" t="n">
        <v>1374</v>
      </c>
      <c r="F357" s="4" t="n">
        <v>47.9916171847712</v>
      </c>
    </row>
    <row r="358" customFormat="false" ht="15" hidden="false" customHeight="false" outlineLevel="0" collapsed="false">
      <c r="A358" s="4" t="s">
        <v>3</v>
      </c>
      <c r="B358" s="4" t="s">
        <v>43</v>
      </c>
      <c r="C358" s="4" t="n">
        <v>2009</v>
      </c>
      <c r="D358" s="4" t="n">
        <v>5380</v>
      </c>
      <c r="E358" s="4" t="n">
        <v>1226</v>
      </c>
      <c r="F358" s="4" t="n">
        <v>22.7881040892193</v>
      </c>
    </row>
    <row r="359" customFormat="false" ht="15" hidden="false" customHeight="false" outlineLevel="0" collapsed="false">
      <c r="A359" s="4" t="s">
        <v>3</v>
      </c>
      <c r="B359" s="4" t="s">
        <v>43</v>
      </c>
      <c r="C359" s="4" t="n">
        <v>2010</v>
      </c>
      <c r="D359" s="4" t="n">
        <v>631</v>
      </c>
      <c r="E359" s="4" t="n">
        <v>261</v>
      </c>
      <c r="F359" s="4" t="n">
        <v>41.3629160063392</v>
      </c>
    </row>
    <row r="360" customFormat="false" ht="15" hidden="false" customHeight="false" outlineLevel="0" collapsed="false">
      <c r="A360" s="4" t="s">
        <v>3</v>
      </c>
      <c r="B360" s="4" t="s">
        <v>43</v>
      </c>
      <c r="C360" s="4" t="n">
        <v>2011</v>
      </c>
      <c r="D360" s="4" t="n">
        <v>274</v>
      </c>
      <c r="E360" s="4" t="n">
        <v>106</v>
      </c>
      <c r="F360" s="4" t="n">
        <v>38.6861313868613</v>
      </c>
    </row>
    <row r="361" customFormat="false" ht="15" hidden="false" customHeight="false" outlineLevel="0" collapsed="false">
      <c r="A361" s="4" t="s">
        <v>3</v>
      </c>
      <c r="B361" s="4" t="s">
        <v>43</v>
      </c>
      <c r="C361" s="4" t="n">
        <v>2012</v>
      </c>
      <c r="D361" s="4" t="n">
        <v>1442</v>
      </c>
      <c r="E361" s="4" t="n">
        <v>477</v>
      </c>
      <c r="F361" s="4" t="n">
        <v>33.0790568654646</v>
      </c>
    </row>
    <row r="362" customFormat="false" ht="15" hidden="false" customHeight="false" outlineLevel="0" collapsed="false">
      <c r="A362" s="4" t="s">
        <v>3</v>
      </c>
      <c r="B362" s="4" t="s">
        <v>43</v>
      </c>
      <c r="C362" s="4" t="n">
        <v>2013</v>
      </c>
      <c r="D362" s="4" t="n">
        <v>502</v>
      </c>
      <c r="E362" s="4" t="n">
        <v>224</v>
      </c>
      <c r="F362" s="4" t="n">
        <v>44.6215139442231</v>
      </c>
    </row>
    <row r="363" customFormat="false" ht="15" hidden="false" customHeight="false" outlineLevel="0" collapsed="false">
      <c r="A363" s="4" t="s">
        <v>3</v>
      </c>
      <c r="B363" s="4" t="s">
        <v>43</v>
      </c>
      <c r="C363" s="4" t="n">
        <v>2014</v>
      </c>
      <c r="D363" s="4" t="n">
        <v>556</v>
      </c>
      <c r="E363" s="4" t="n">
        <v>365</v>
      </c>
      <c r="F363" s="4" t="n">
        <v>65.6474820143885</v>
      </c>
    </row>
    <row r="364" customFormat="false" ht="15" hidden="false" customHeight="false" outlineLevel="0" collapsed="false">
      <c r="A364" s="4" t="s">
        <v>3</v>
      </c>
      <c r="B364" s="4" t="s">
        <v>43</v>
      </c>
      <c r="C364" s="4" t="n">
        <v>2015</v>
      </c>
      <c r="D364" s="4" t="n">
        <v>10</v>
      </c>
      <c r="E364" s="4" t="n">
        <v>1</v>
      </c>
      <c r="F364" s="4" t="n">
        <v>10</v>
      </c>
    </row>
    <row r="365" customFormat="false" ht="15" hidden="false" customHeight="false" outlineLevel="0" collapsed="false">
      <c r="A365" s="4" t="s">
        <v>3</v>
      </c>
      <c r="B365" s="4" t="s">
        <v>43</v>
      </c>
      <c r="C365" s="4" t="n">
        <v>2016</v>
      </c>
      <c r="D365" s="4" t="n">
        <v>319</v>
      </c>
      <c r="E365" s="4" t="n">
        <v>27</v>
      </c>
      <c r="F365" s="4" t="n">
        <v>8.46394984326019</v>
      </c>
    </row>
    <row r="366" customFormat="false" ht="15" hidden="false" customHeight="false" outlineLevel="0" collapsed="false">
      <c r="A366" s="4" t="s">
        <v>3</v>
      </c>
      <c r="B366" s="4" t="s">
        <v>43</v>
      </c>
      <c r="C366" s="4" t="n">
        <v>2017</v>
      </c>
      <c r="D366" s="4" t="n">
        <v>1337</v>
      </c>
      <c r="E366" s="4" t="n">
        <v>701</v>
      </c>
      <c r="F366" s="4" t="n">
        <v>52.4308152580404</v>
      </c>
    </row>
    <row r="367" customFormat="false" ht="15" hidden="false" customHeight="false" outlineLevel="0" collapsed="false">
      <c r="A367" s="4" t="s">
        <v>3</v>
      </c>
      <c r="B367" s="4" t="s">
        <v>43</v>
      </c>
      <c r="C367" s="4" t="n">
        <v>2018</v>
      </c>
      <c r="D367" s="4" t="n">
        <v>942</v>
      </c>
      <c r="E367" s="4" t="n">
        <v>415</v>
      </c>
      <c r="F367" s="4" t="n">
        <v>44.0552016985138</v>
      </c>
    </row>
    <row r="368" customFormat="false" ht="15" hidden="false" customHeight="false" outlineLevel="0" collapsed="false">
      <c r="A368" s="4" t="s">
        <v>3</v>
      </c>
      <c r="B368" s="4" t="s">
        <v>43</v>
      </c>
      <c r="C368" s="4" t="n">
        <v>2019</v>
      </c>
      <c r="D368" s="4" t="n">
        <v>21</v>
      </c>
      <c r="E368" s="4" t="n">
        <v>2</v>
      </c>
      <c r="F368" s="4" t="n">
        <v>9.52380952380952</v>
      </c>
    </row>
    <row r="369" customFormat="false" ht="15" hidden="false" customHeight="false" outlineLevel="0" collapsed="false">
      <c r="A369" s="4" t="s">
        <v>3</v>
      </c>
      <c r="B369" s="4" t="s">
        <v>43</v>
      </c>
      <c r="C369" s="4" t="n">
        <v>2020</v>
      </c>
      <c r="D369" s="4" t="n">
        <v>12</v>
      </c>
      <c r="E369" s="4" t="n">
        <v>0</v>
      </c>
      <c r="F369" s="4" t="n">
        <v>0</v>
      </c>
    </row>
    <row r="370" customFormat="false" ht="15" hidden="false" customHeight="false" outlineLevel="0" collapsed="false">
      <c r="A370" s="4" t="s">
        <v>3</v>
      </c>
      <c r="B370" s="4" t="s">
        <v>43</v>
      </c>
      <c r="C370" s="4" t="n">
        <v>2021</v>
      </c>
      <c r="D370" s="4" t="n">
        <v>11</v>
      </c>
      <c r="E370" s="4" t="n">
        <v>2</v>
      </c>
      <c r="F370" s="4" t="n">
        <v>18.1818181818182</v>
      </c>
    </row>
    <row r="371" customFormat="false" ht="15" hidden="false" customHeight="false" outlineLevel="0" collapsed="false">
      <c r="A371" s="4" t="s">
        <v>3</v>
      </c>
      <c r="B371" s="4" t="s">
        <v>43</v>
      </c>
      <c r="C371" s="4" t="n">
        <v>2022</v>
      </c>
      <c r="D371" s="4" t="n">
        <v>1</v>
      </c>
      <c r="E371" s="4" t="n">
        <v>0</v>
      </c>
      <c r="F371" s="4" t="n">
        <v>0</v>
      </c>
    </row>
    <row r="372" customFormat="false" ht="15" hidden="false" customHeight="false" outlineLevel="0" collapsed="false">
      <c r="A372" s="4" t="s">
        <v>3</v>
      </c>
      <c r="B372" s="4" t="s">
        <v>43</v>
      </c>
      <c r="C372" s="4" t="n">
        <v>2023</v>
      </c>
      <c r="D372" s="4" t="n">
        <v>1</v>
      </c>
      <c r="E372" s="4" t="n">
        <v>0</v>
      </c>
      <c r="F372" s="4" t="n">
        <v>0</v>
      </c>
    </row>
    <row r="373" customFormat="false" ht="15" hidden="false" customHeight="false" outlineLevel="0" collapsed="false">
      <c r="A373" s="4" t="s">
        <v>3</v>
      </c>
      <c r="B373" s="4" t="s">
        <v>43</v>
      </c>
      <c r="C373" s="4" t="n">
        <v>2024</v>
      </c>
      <c r="D373" s="4" t="n">
        <v>9</v>
      </c>
      <c r="E373" s="4" t="n">
        <v>0</v>
      </c>
      <c r="F373" s="4" t="n">
        <v>0</v>
      </c>
    </row>
    <row r="374" customFormat="false" ht="15" hidden="false" customHeight="false" outlineLevel="0" collapsed="false">
      <c r="A374" s="4" t="s">
        <v>3</v>
      </c>
      <c r="B374" s="4" t="s">
        <v>44</v>
      </c>
      <c r="C374" s="4" t="n">
        <v>1991</v>
      </c>
      <c r="D374" s="4" t="n">
        <v>1</v>
      </c>
      <c r="E374" s="4" t="n">
        <v>1</v>
      </c>
      <c r="F374" s="4" t="n">
        <v>100</v>
      </c>
    </row>
    <row r="375" customFormat="false" ht="15" hidden="false" customHeight="false" outlineLevel="0" collapsed="false">
      <c r="A375" s="4" t="s">
        <v>3</v>
      </c>
      <c r="B375" s="4" t="s">
        <v>44</v>
      </c>
      <c r="C375" s="4" t="n">
        <v>1993</v>
      </c>
      <c r="D375" s="4" t="n">
        <v>1</v>
      </c>
      <c r="E375" s="4" t="n">
        <v>1</v>
      </c>
      <c r="F375" s="4" t="n">
        <v>100</v>
      </c>
    </row>
    <row r="376" customFormat="false" ht="15" hidden="false" customHeight="false" outlineLevel="0" collapsed="false">
      <c r="A376" s="4" t="s">
        <v>3</v>
      </c>
      <c r="B376" s="4" t="s">
        <v>44</v>
      </c>
      <c r="C376" s="4" t="n">
        <v>1995</v>
      </c>
      <c r="D376" s="4" t="n">
        <v>2</v>
      </c>
      <c r="E376" s="4" t="n">
        <v>2</v>
      </c>
      <c r="F376" s="4" t="n">
        <v>100</v>
      </c>
    </row>
    <row r="377" customFormat="false" ht="15" hidden="false" customHeight="false" outlineLevel="0" collapsed="false">
      <c r="A377" s="4" t="s">
        <v>3</v>
      </c>
      <c r="B377" s="4" t="s">
        <v>44</v>
      </c>
      <c r="C377" s="4" t="n">
        <v>1996</v>
      </c>
      <c r="D377" s="4" t="n">
        <v>6</v>
      </c>
      <c r="E377" s="4" t="n">
        <v>5</v>
      </c>
      <c r="F377" s="4" t="n">
        <v>83.3333333333333</v>
      </c>
    </row>
    <row r="378" customFormat="false" ht="15" hidden="false" customHeight="false" outlineLevel="0" collapsed="false">
      <c r="A378" s="4" t="s">
        <v>3</v>
      </c>
      <c r="B378" s="4" t="s">
        <v>44</v>
      </c>
      <c r="C378" s="4" t="n">
        <v>1997</v>
      </c>
      <c r="D378" s="4" t="n">
        <v>2</v>
      </c>
      <c r="E378" s="4" t="n">
        <v>1</v>
      </c>
      <c r="F378" s="4" t="n">
        <v>50</v>
      </c>
    </row>
    <row r="379" customFormat="false" ht="15" hidden="false" customHeight="false" outlineLevel="0" collapsed="false">
      <c r="A379" s="4" t="s">
        <v>3</v>
      </c>
      <c r="B379" s="4" t="s">
        <v>44</v>
      </c>
      <c r="C379" s="4" t="n">
        <v>1998</v>
      </c>
      <c r="D379" s="4" t="n">
        <v>8</v>
      </c>
      <c r="E379" s="4" t="n">
        <v>8</v>
      </c>
      <c r="F379" s="4" t="n">
        <v>100</v>
      </c>
    </row>
    <row r="380" customFormat="false" ht="15" hidden="false" customHeight="false" outlineLevel="0" collapsed="false">
      <c r="A380" s="4" t="s">
        <v>3</v>
      </c>
      <c r="B380" s="4" t="s">
        <v>44</v>
      </c>
      <c r="C380" s="4" t="n">
        <v>1999</v>
      </c>
      <c r="D380" s="4" t="n">
        <v>2</v>
      </c>
      <c r="E380" s="4" t="n">
        <v>1</v>
      </c>
      <c r="F380" s="4" t="n">
        <v>50</v>
      </c>
    </row>
    <row r="381" customFormat="false" ht="15" hidden="false" customHeight="false" outlineLevel="0" collapsed="false">
      <c r="A381" s="4" t="s">
        <v>3</v>
      </c>
      <c r="B381" s="4" t="s">
        <v>44</v>
      </c>
      <c r="C381" s="4" t="n">
        <v>2000</v>
      </c>
      <c r="D381" s="4" t="n">
        <v>11</v>
      </c>
      <c r="E381" s="4" t="n">
        <v>5</v>
      </c>
      <c r="F381" s="4" t="n">
        <v>45.4545454545455</v>
      </c>
    </row>
    <row r="382" customFormat="false" ht="15" hidden="false" customHeight="false" outlineLevel="0" collapsed="false">
      <c r="A382" s="4" t="s">
        <v>3</v>
      </c>
      <c r="B382" s="4" t="s">
        <v>44</v>
      </c>
      <c r="C382" s="4" t="n">
        <v>2001</v>
      </c>
      <c r="D382" s="4" t="n">
        <v>74</v>
      </c>
      <c r="E382" s="4" t="n">
        <v>46</v>
      </c>
      <c r="F382" s="4" t="n">
        <v>62.1621621621622</v>
      </c>
    </row>
    <row r="383" customFormat="false" ht="15" hidden="false" customHeight="false" outlineLevel="0" collapsed="false">
      <c r="A383" s="4" t="s">
        <v>3</v>
      </c>
      <c r="B383" s="4" t="s">
        <v>44</v>
      </c>
      <c r="C383" s="4" t="n">
        <v>2002</v>
      </c>
      <c r="D383" s="4" t="n">
        <v>113</v>
      </c>
      <c r="E383" s="4" t="n">
        <v>19</v>
      </c>
      <c r="F383" s="4" t="n">
        <v>16.8141592920354</v>
      </c>
    </row>
    <row r="384" customFormat="false" ht="15" hidden="false" customHeight="false" outlineLevel="0" collapsed="false">
      <c r="A384" s="4" t="s">
        <v>3</v>
      </c>
      <c r="B384" s="4" t="s">
        <v>44</v>
      </c>
      <c r="C384" s="4" t="n">
        <v>2003</v>
      </c>
      <c r="D384" s="4" t="n">
        <v>271</v>
      </c>
      <c r="E384" s="4" t="n">
        <v>89</v>
      </c>
      <c r="F384" s="4" t="n">
        <v>32.8413284132841</v>
      </c>
    </row>
    <row r="385" customFormat="false" ht="15" hidden="false" customHeight="false" outlineLevel="0" collapsed="false">
      <c r="A385" s="4" t="s">
        <v>3</v>
      </c>
      <c r="B385" s="4" t="s">
        <v>44</v>
      </c>
      <c r="C385" s="4" t="n">
        <v>2004</v>
      </c>
      <c r="D385" s="4" t="n">
        <v>167</v>
      </c>
      <c r="E385" s="4" t="n">
        <v>113</v>
      </c>
      <c r="F385" s="4" t="n">
        <v>67.6646706586826</v>
      </c>
    </row>
    <row r="386" customFormat="false" ht="15" hidden="false" customHeight="false" outlineLevel="0" collapsed="false">
      <c r="A386" s="4" t="s">
        <v>3</v>
      </c>
      <c r="B386" s="4" t="s">
        <v>44</v>
      </c>
      <c r="C386" s="4" t="n">
        <v>2005</v>
      </c>
      <c r="D386" s="4" t="n">
        <v>346</v>
      </c>
      <c r="E386" s="4" t="n">
        <v>168</v>
      </c>
      <c r="F386" s="4" t="n">
        <v>48.5549132947977</v>
      </c>
    </row>
    <row r="387" customFormat="false" ht="15" hidden="false" customHeight="false" outlineLevel="0" collapsed="false">
      <c r="A387" s="4" t="s">
        <v>3</v>
      </c>
      <c r="B387" s="4" t="s">
        <v>44</v>
      </c>
      <c r="C387" s="4" t="n">
        <v>2006</v>
      </c>
      <c r="D387" s="4" t="n">
        <v>313</v>
      </c>
      <c r="E387" s="4" t="n">
        <v>103</v>
      </c>
      <c r="F387" s="4" t="n">
        <v>32.9073482428115</v>
      </c>
    </row>
    <row r="388" customFormat="false" ht="15" hidden="false" customHeight="false" outlineLevel="0" collapsed="false">
      <c r="A388" s="4" t="s">
        <v>3</v>
      </c>
      <c r="B388" s="4" t="s">
        <v>44</v>
      </c>
      <c r="C388" s="4" t="n">
        <v>2007</v>
      </c>
      <c r="D388" s="4" t="n">
        <v>795</v>
      </c>
      <c r="E388" s="4" t="n">
        <v>256</v>
      </c>
      <c r="F388" s="4" t="n">
        <v>32.2012578616352</v>
      </c>
    </row>
    <row r="389" customFormat="false" ht="15" hidden="false" customHeight="false" outlineLevel="0" collapsed="false">
      <c r="A389" s="4" t="s">
        <v>3</v>
      </c>
      <c r="B389" s="4" t="s">
        <v>44</v>
      </c>
      <c r="C389" s="4" t="n">
        <v>2008</v>
      </c>
      <c r="D389" s="4" t="n">
        <v>1418</v>
      </c>
      <c r="E389" s="4" t="n">
        <v>694</v>
      </c>
      <c r="F389" s="4" t="n">
        <v>48.9421720733427</v>
      </c>
    </row>
    <row r="390" customFormat="false" ht="15" hidden="false" customHeight="false" outlineLevel="0" collapsed="false">
      <c r="A390" s="4" t="s">
        <v>3</v>
      </c>
      <c r="B390" s="4" t="s">
        <v>44</v>
      </c>
      <c r="C390" s="4" t="n">
        <v>2009</v>
      </c>
      <c r="D390" s="4" t="n">
        <v>861</v>
      </c>
      <c r="E390" s="4" t="n">
        <v>365</v>
      </c>
      <c r="F390" s="4" t="n">
        <v>42.3925667828107</v>
      </c>
    </row>
    <row r="391" customFormat="false" ht="15" hidden="false" customHeight="false" outlineLevel="0" collapsed="false">
      <c r="A391" s="4" t="s">
        <v>3</v>
      </c>
      <c r="B391" s="4" t="s">
        <v>44</v>
      </c>
      <c r="C391" s="4" t="n">
        <v>2010</v>
      </c>
      <c r="D391" s="4" t="n">
        <v>573</v>
      </c>
      <c r="E391" s="4" t="n">
        <v>264</v>
      </c>
      <c r="F391" s="4" t="n">
        <v>46.0732984293194</v>
      </c>
    </row>
    <row r="392" customFormat="false" ht="15" hidden="false" customHeight="false" outlineLevel="0" collapsed="false">
      <c r="A392" s="4" t="s">
        <v>3</v>
      </c>
      <c r="B392" s="4" t="s">
        <v>44</v>
      </c>
      <c r="C392" s="4" t="n">
        <v>2011</v>
      </c>
      <c r="D392" s="4" t="n">
        <v>273</v>
      </c>
      <c r="E392" s="4" t="n">
        <v>104</v>
      </c>
      <c r="F392" s="4" t="n">
        <v>38.0952380952381</v>
      </c>
    </row>
    <row r="393" customFormat="false" ht="15" hidden="false" customHeight="false" outlineLevel="0" collapsed="false">
      <c r="A393" s="4" t="s">
        <v>3</v>
      </c>
      <c r="B393" s="4" t="s">
        <v>44</v>
      </c>
      <c r="C393" s="4" t="n">
        <v>2012</v>
      </c>
      <c r="D393" s="4" t="n">
        <v>451</v>
      </c>
      <c r="E393" s="4" t="n">
        <v>148</v>
      </c>
      <c r="F393" s="4" t="n">
        <v>32.8159645232816</v>
      </c>
    </row>
    <row r="394" customFormat="false" ht="15" hidden="false" customHeight="false" outlineLevel="0" collapsed="false">
      <c r="A394" s="4" t="s">
        <v>3</v>
      </c>
      <c r="B394" s="4" t="s">
        <v>44</v>
      </c>
      <c r="C394" s="4" t="n">
        <v>2013</v>
      </c>
      <c r="D394" s="4" t="n">
        <v>435</v>
      </c>
      <c r="E394" s="4" t="n">
        <v>186</v>
      </c>
      <c r="F394" s="4" t="n">
        <v>42.7586206896552</v>
      </c>
    </row>
    <row r="395" customFormat="false" ht="15" hidden="false" customHeight="false" outlineLevel="0" collapsed="false">
      <c r="A395" s="4" t="s">
        <v>3</v>
      </c>
      <c r="B395" s="4" t="s">
        <v>44</v>
      </c>
      <c r="C395" s="4" t="n">
        <v>2014</v>
      </c>
      <c r="D395" s="4" t="n">
        <v>140</v>
      </c>
      <c r="E395" s="4" t="n">
        <v>20</v>
      </c>
      <c r="F395" s="4" t="n">
        <v>14.2857142857143</v>
      </c>
    </row>
    <row r="396" customFormat="false" ht="15" hidden="false" customHeight="false" outlineLevel="0" collapsed="false">
      <c r="A396" s="4" t="s">
        <v>3</v>
      </c>
      <c r="B396" s="4" t="s">
        <v>44</v>
      </c>
      <c r="C396" s="4" t="n">
        <v>2015</v>
      </c>
      <c r="D396" s="4" t="n">
        <v>3</v>
      </c>
      <c r="E396" s="4" t="n">
        <v>1</v>
      </c>
      <c r="F396" s="4" t="n">
        <v>33.3333333333333</v>
      </c>
    </row>
    <row r="397" customFormat="false" ht="15" hidden="false" customHeight="false" outlineLevel="0" collapsed="false">
      <c r="A397" s="4" t="s">
        <v>3</v>
      </c>
      <c r="B397" s="4" t="s">
        <v>44</v>
      </c>
      <c r="C397" s="4" t="n">
        <v>2016</v>
      </c>
      <c r="D397" s="4" t="n">
        <v>30</v>
      </c>
      <c r="E397" s="4" t="n">
        <v>18</v>
      </c>
      <c r="F397" s="4" t="n">
        <v>60</v>
      </c>
    </row>
    <row r="398" customFormat="false" ht="15" hidden="false" customHeight="false" outlineLevel="0" collapsed="false">
      <c r="A398" s="4" t="s">
        <v>3</v>
      </c>
      <c r="B398" s="4" t="s">
        <v>44</v>
      </c>
      <c r="C398" s="4" t="n">
        <v>2017</v>
      </c>
      <c r="D398" s="4" t="n">
        <v>21</v>
      </c>
      <c r="E398" s="4" t="n">
        <v>6</v>
      </c>
      <c r="F398" s="4" t="n">
        <v>28.5714285714286</v>
      </c>
    </row>
    <row r="399" customFormat="false" ht="15" hidden="false" customHeight="false" outlineLevel="0" collapsed="false">
      <c r="A399" s="4" t="s">
        <v>3</v>
      </c>
      <c r="B399" s="4" t="s">
        <v>44</v>
      </c>
      <c r="C399" s="4" t="n">
        <v>2018</v>
      </c>
      <c r="D399" s="4" t="n">
        <v>70</v>
      </c>
      <c r="E399" s="4" t="n">
        <v>11</v>
      </c>
      <c r="F399" s="4" t="n">
        <v>15.7142857142857</v>
      </c>
    </row>
    <row r="400" customFormat="false" ht="15" hidden="false" customHeight="false" outlineLevel="0" collapsed="false">
      <c r="A400" s="4" t="s">
        <v>3</v>
      </c>
      <c r="B400" s="4" t="s">
        <v>44</v>
      </c>
      <c r="C400" s="4" t="n">
        <v>2019</v>
      </c>
      <c r="D400" s="4" t="n">
        <v>8</v>
      </c>
      <c r="E400" s="4" t="n">
        <v>2</v>
      </c>
      <c r="F400" s="4" t="n">
        <v>25</v>
      </c>
    </row>
    <row r="401" customFormat="false" ht="15" hidden="false" customHeight="false" outlineLevel="0" collapsed="false">
      <c r="A401" s="4" t="s">
        <v>3</v>
      </c>
      <c r="B401" s="4" t="s">
        <v>44</v>
      </c>
      <c r="C401" s="4" t="n">
        <v>2020</v>
      </c>
      <c r="D401" s="4" t="n">
        <v>6</v>
      </c>
      <c r="E401" s="4" t="n">
        <v>2</v>
      </c>
      <c r="F401" s="4" t="n">
        <v>33.3333333333333</v>
      </c>
    </row>
    <row r="402" customFormat="false" ht="15" hidden="false" customHeight="false" outlineLevel="0" collapsed="false">
      <c r="A402" s="4" t="s">
        <v>3</v>
      </c>
      <c r="B402" s="4" t="s">
        <v>44</v>
      </c>
      <c r="C402" s="4" t="n">
        <v>2021</v>
      </c>
      <c r="D402" s="4" t="n">
        <v>9</v>
      </c>
      <c r="E402" s="4" t="n">
        <v>1</v>
      </c>
      <c r="F402" s="4" t="n">
        <v>11.1111111111111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45</v>
      </c>
      <c r="B1" s="1" t="s">
        <v>46</v>
      </c>
    </row>
    <row r="2" customFormat="false" ht="15" hidden="false" customHeight="false" outlineLevel="0" collapsed="false">
      <c r="A2" s="1" t="s">
        <v>47</v>
      </c>
      <c r="B2" s="2" t="s">
        <v>48</v>
      </c>
    </row>
    <row r="3" customFormat="false" ht="15" hidden="false" customHeight="false" outlineLevel="0" collapsed="false">
      <c r="A3" s="1" t="s">
        <v>49</v>
      </c>
      <c r="B3" s="2" t="s">
        <v>50</v>
      </c>
    </row>
    <row r="4" customFormat="false" ht="15" hidden="false" customHeight="false" outlineLevel="0" collapsed="false">
      <c r="A4" s="1" t="s">
        <v>51</v>
      </c>
      <c r="B4" s="2" t="s">
        <v>52</v>
      </c>
    </row>
    <row r="5" customFormat="false" ht="15" hidden="false" customHeight="false" outlineLevel="0" collapsed="false">
      <c r="A5" s="1" t="s">
        <v>53</v>
      </c>
      <c r="B5" s="2" t="s">
        <v>54</v>
      </c>
    </row>
    <row r="6" customFormat="false" ht="15" hidden="false" customHeight="false" outlineLevel="0" collapsed="false">
      <c r="A6" s="1" t="s">
        <v>55</v>
      </c>
      <c r="B6" s="2" t="s">
        <v>56</v>
      </c>
    </row>
    <row r="7" customFormat="false" ht="15" hidden="false" customHeight="false" outlineLevel="0" collapsed="false">
      <c r="A7" s="1" t="s">
        <v>57</v>
      </c>
      <c r="B7" s="2" t="s">
        <v>58</v>
      </c>
    </row>
    <row r="8" customFormat="false" ht="15" hidden="false" customHeight="false" outlineLevel="0" collapsed="false">
      <c r="A8" s="1" t="s">
        <v>59</v>
      </c>
      <c r="B8" s="2" t="s">
        <v>60</v>
      </c>
    </row>
    <row r="9" customFormat="false" ht="15" hidden="false" customHeight="false" outlineLevel="0" collapsed="false">
      <c r="A9" s="1" t="s">
        <v>61</v>
      </c>
      <c r="B9" s="2" t="s">
        <v>62</v>
      </c>
    </row>
    <row r="10" customFormat="false" ht="15" hidden="false" customHeight="false" outlineLevel="0" collapsed="false">
      <c r="A10" s="1" t="s">
        <v>63</v>
      </c>
      <c r="B10" s="2" t="s">
        <v>64</v>
      </c>
    </row>
    <row r="11" customFormat="false" ht="15" hidden="false" customHeight="false" outlineLevel="0" collapsed="false">
      <c r="A11" s="1" t="s">
        <v>65</v>
      </c>
      <c r="B11" s="2" t="s">
        <v>66</v>
      </c>
    </row>
    <row r="12" customFormat="false" ht="15" hidden="false" customHeight="false" outlineLevel="0" collapsed="false">
      <c r="A12" s="1" t="s">
        <v>67</v>
      </c>
      <c r="B12" s="2" t="s">
        <v>19</v>
      </c>
    </row>
    <row r="13" customFormat="false" ht="15" hidden="false" customHeight="false" outlineLevel="0" collapsed="false">
      <c r="A13" s="1" t="s">
        <v>68</v>
      </c>
      <c r="B13" s="2" t="s">
        <v>69</v>
      </c>
    </row>
    <row r="14" customFormat="false" ht="15" hidden="false" customHeight="false" outlineLevel="0" collapsed="false">
      <c r="A14" s="1" t="s">
        <v>70</v>
      </c>
      <c r="B14" s="2" t="s">
        <v>71</v>
      </c>
    </row>
    <row r="15" customFormat="false" ht="15" hidden="false" customHeight="false" outlineLevel="0" collapsed="false">
      <c r="A15" s="1" t="s">
        <v>72</v>
      </c>
      <c r="B15" s="2" t="s">
        <v>73</v>
      </c>
    </row>
    <row r="16" customFormat="false" ht="15" hidden="false" customHeight="false" outlineLevel="0" collapsed="false">
      <c r="A16" s="1" t="s">
        <v>74</v>
      </c>
      <c r="B16" s="2" t="s">
        <v>75</v>
      </c>
    </row>
    <row r="17" customFormat="false" ht="15" hidden="false" customHeight="false" outlineLevel="0" collapsed="false">
      <c r="A17" s="1" t="s">
        <v>76</v>
      </c>
      <c r="B17" s="2" t="s">
        <v>77</v>
      </c>
    </row>
    <row r="18" customFormat="false" ht="15" hidden="false" customHeight="false" outlineLevel="0" collapsed="false">
      <c r="A18" s="1" t="s">
        <v>78</v>
      </c>
      <c r="B18" s="2" t="s">
        <v>79</v>
      </c>
    </row>
    <row r="19" customFormat="false" ht="26.85" hidden="false" customHeight="false" outlineLevel="0" collapsed="false">
      <c r="A19" s="1" t="s">
        <v>80</v>
      </c>
      <c r="B19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6" min="6" style="0" width="23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2" min="11" style="0" width="20"/>
    <col collapsed="false" customWidth="true" hidden="false" outlineLevel="0" max="13" min="13" style="0" width="19"/>
    <col collapsed="false" customWidth="true" hidden="false" outlineLevel="0" max="14" min="14" style="0" width="10"/>
    <col collapsed="false" customWidth="true" hidden="false" outlineLevel="0" max="17" min="15" style="0" width="19"/>
    <col collapsed="false" customWidth="true" hidden="false" outlineLevel="0" max="18" min="18" style="0" width="22"/>
    <col collapsed="false" customWidth="true" hidden="false" outlineLevel="0" max="19" min="19" style="0" width="19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  <c r="O1" s="3" t="s">
        <v>94</v>
      </c>
      <c r="P1" s="3" t="s">
        <v>95</v>
      </c>
      <c r="Q1" s="3" t="s">
        <v>96</v>
      </c>
      <c r="R1" s="3" t="s">
        <v>97</v>
      </c>
      <c r="S1" s="3" t="s">
        <v>98</v>
      </c>
    </row>
    <row r="2" customFormat="false" ht="15" hidden="false" customHeight="false" outlineLevel="0" collapsed="false">
      <c r="A2" s="4" t="s">
        <v>3</v>
      </c>
      <c r="B2" s="4" t="s">
        <v>22</v>
      </c>
      <c r="C2" s="4" t="n">
        <v>-1.1138610990162</v>
      </c>
      <c r="D2" s="4" t="n">
        <v>0.000478390829935391</v>
      </c>
      <c r="E2" s="4" t="s">
        <v>99</v>
      </c>
      <c r="F2" s="4" t="n">
        <v>0.418103295261622</v>
      </c>
      <c r="G2" s="4" t="n">
        <v>25</v>
      </c>
      <c r="H2" s="4" t="n">
        <v>4023</v>
      </c>
      <c r="I2" s="4" t="n">
        <v>2021</v>
      </c>
      <c r="J2" s="4" t="n">
        <v>0</v>
      </c>
      <c r="K2" s="4" t="n">
        <v>2255.27090554198</v>
      </c>
      <c r="L2" s="4" t="n">
        <v>0.273998554953315</v>
      </c>
      <c r="M2" s="4" t="n">
        <v>86.2124530314039</v>
      </c>
      <c r="N2" s="4" t="n">
        <v>23</v>
      </c>
      <c r="O2" s="4"/>
      <c r="P2" s="4"/>
      <c r="Q2" s="4"/>
      <c r="R2" s="4"/>
      <c r="S2" s="4"/>
    </row>
    <row r="3" customFormat="false" ht="15" hidden="false" customHeight="false" outlineLevel="0" collapsed="false">
      <c r="A3" s="4" t="s">
        <v>3</v>
      </c>
      <c r="B3" s="4" t="s">
        <v>23</v>
      </c>
      <c r="C3" s="4" t="n">
        <v>0.446883393535237</v>
      </c>
      <c r="D3" s="4" t="n">
        <v>0.396519868776199</v>
      </c>
      <c r="E3" s="4" t="s">
        <v>100</v>
      </c>
      <c r="F3" s="4" t="n">
        <v>0.0518128666534188</v>
      </c>
      <c r="G3" s="4" t="n">
        <v>16</v>
      </c>
      <c r="H3" s="4" t="n">
        <v>99</v>
      </c>
      <c r="I3" s="4" t="n">
        <v>2021</v>
      </c>
      <c r="J3" s="4" t="n">
        <v>0</v>
      </c>
      <c r="K3" s="4" t="n">
        <v>-891.538544657458</v>
      </c>
      <c r="L3" s="4" t="n">
        <v>0.510926486031891</v>
      </c>
      <c r="M3" s="4" t="n">
        <v>32.0142712663631</v>
      </c>
      <c r="N3" s="4" t="n">
        <v>14</v>
      </c>
      <c r="O3" s="4"/>
      <c r="P3" s="4"/>
      <c r="Q3" s="4"/>
      <c r="R3" s="4"/>
      <c r="S3" s="4"/>
    </row>
    <row r="4" customFormat="false" ht="15" hidden="false" customHeight="false" outlineLevel="0" collapsed="false">
      <c r="A4" s="4" t="s">
        <v>3</v>
      </c>
      <c r="B4" s="4" t="s">
        <v>25</v>
      </c>
      <c r="C4" s="4" t="n">
        <v>0.849702932752639</v>
      </c>
      <c r="D4" s="4" t="n">
        <v>0.140074410853646</v>
      </c>
      <c r="E4" s="4" t="s">
        <v>100</v>
      </c>
      <c r="F4" s="4" t="n">
        <v>0.0884494152711187</v>
      </c>
      <c r="G4" s="4" t="n">
        <v>26</v>
      </c>
      <c r="H4" s="4" t="n">
        <v>2150</v>
      </c>
      <c r="I4" s="4" t="n">
        <v>2021</v>
      </c>
      <c r="J4" s="4" t="n">
        <v>0</v>
      </c>
      <c r="K4" s="4" t="n">
        <v>-1686.30105496494</v>
      </c>
      <c r="L4" s="4" t="n">
        <v>0.556806633092807</v>
      </c>
      <c r="M4" s="4" t="n">
        <v>80.0768032628415</v>
      </c>
      <c r="N4" s="4" t="n">
        <v>24</v>
      </c>
      <c r="O4" s="4"/>
      <c r="P4" s="4"/>
      <c r="Q4" s="4"/>
      <c r="R4" s="4"/>
      <c r="S4" s="4"/>
    </row>
    <row r="5" customFormat="false" ht="15" hidden="false" customHeight="false" outlineLevel="0" collapsed="false">
      <c r="A5" s="4" t="s">
        <v>3</v>
      </c>
      <c r="B5" s="4" t="s">
        <v>26</v>
      </c>
      <c r="C5" s="4" t="n">
        <v>-0.508360776289364</v>
      </c>
      <c r="D5" s="4" t="n">
        <v>0.746348134875295</v>
      </c>
      <c r="E5" s="4" t="s">
        <v>100</v>
      </c>
      <c r="F5" s="4" t="n">
        <v>0.0109372720291378</v>
      </c>
      <c r="G5" s="4" t="n">
        <v>12</v>
      </c>
      <c r="H5" s="4" t="n">
        <v>154</v>
      </c>
      <c r="I5" s="4" t="n">
        <v>2021</v>
      </c>
      <c r="J5" s="4" t="n">
        <v>0</v>
      </c>
      <c r="K5" s="4" t="n">
        <v>1038.66282389174</v>
      </c>
      <c r="L5" s="4" t="n">
        <v>1.52872527264576</v>
      </c>
      <c r="M5" s="4" t="n">
        <v>99.8369436552142</v>
      </c>
      <c r="N5" s="4" t="n">
        <v>10</v>
      </c>
      <c r="O5" s="4"/>
      <c r="P5" s="4"/>
      <c r="Q5" s="4"/>
      <c r="R5" s="4"/>
      <c r="S5" s="4"/>
    </row>
    <row r="6" customFormat="false" ht="15" hidden="false" customHeight="false" outlineLevel="0" collapsed="false">
      <c r="A6" s="4" t="s">
        <v>3</v>
      </c>
      <c r="B6" s="4" t="s">
        <v>27</v>
      </c>
      <c r="C6" s="4" t="n">
        <v>0.156502928366517</v>
      </c>
      <c r="D6" s="4" t="n">
        <v>0.731029204923878</v>
      </c>
      <c r="E6" s="4" t="s">
        <v>100</v>
      </c>
      <c r="F6" s="4" t="n">
        <v>0.0257589560674307</v>
      </c>
      <c r="G6" s="4" t="n">
        <v>7</v>
      </c>
      <c r="H6" s="4" t="n">
        <v>2345</v>
      </c>
      <c r="I6" s="4" t="n">
        <v>2018</v>
      </c>
      <c r="J6" s="4" t="n">
        <v>6.5947242206235</v>
      </c>
      <c r="K6" s="4" t="n">
        <v>-306.05877205822</v>
      </c>
      <c r="L6" s="4" t="n">
        <v>0.430433979055527</v>
      </c>
      <c r="M6" s="4" t="n">
        <v>57.2602761006977</v>
      </c>
      <c r="N6" s="4" t="n">
        <v>5</v>
      </c>
      <c r="O6" s="4"/>
      <c r="P6" s="4"/>
      <c r="Q6" s="4"/>
      <c r="R6" s="4"/>
      <c r="S6" s="4"/>
    </row>
    <row r="7" customFormat="false" ht="15" hidden="false" customHeight="false" outlineLevel="0" collapsed="false">
      <c r="A7" s="4" t="s">
        <v>3</v>
      </c>
      <c r="B7" s="4" t="s">
        <v>28</v>
      </c>
      <c r="C7" s="4" t="n">
        <v>4.06843788699575</v>
      </c>
      <c r="D7" s="4" t="n">
        <v>2.64049380466512E-005</v>
      </c>
      <c r="E7" s="4" t="s">
        <v>101</v>
      </c>
      <c r="F7" s="4" t="n">
        <v>0.75470691393708</v>
      </c>
      <c r="G7" s="4" t="n">
        <v>15</v>
      </c>
      <c r="H7" s="4" t="n">
        <v>486</v>
      </c>
      <c r="I7" s="4" t="n">
        <v>2016</v>
      </c>
      <c r="J7" s="4" t="n">
        <v>0</v>
      </c>
      <c r="K7" s="4" t="n">
        <v>-8151.31018135191</v>
      </c>
      <c r="L7" s="4" t="n">
        <v>0.643294003487085</v>
      </c>
      <c r="M7" s="4" t="n">
        <v>47.3447970141739</v>
      </c>
      <c r="N7" s="4" t="n">
        <v>13</v>
      </c>
      <c r="O7" s="4"/>
      <c r="P7" s="4"/>
      <c r="Q7" s="4"/>
      <c r="R7" s="4"/>
      <c r="S7" s="4"/>
    </row>
    <row r="8" customFormat="false" ht="15" hidden="false" customHeight="false" outlineLevel="0" collapsed="false">
      <c r="A8" s="4" t="s">
        <v>3</v>
      </c>
      <c r="B8" s="4" t="s">
        <v>30</v>
      </c>
      <c r="C8" s="4" t="n">
        <v>1.6055047853289</v>
      </c>
      <c r="D8" s="4" t="n">
        <v>0.00223368395176775</v>
      </c>
      <c r="E8" s="4" t="s">
        <v>101</v>
      </c>
      <c r="F8" s="4" t="n">
        <v>0.271418477333062</v>
      </c>
      <c r="G8" s="4" t="n">
        <v>32</v>
      </c>
      <c r="H8" s="4" t="n">
        <v>37826</v>
      </c>
      <c r="I8" s="4" t="n">
        <v>2024</v>
      </c>
      <c r="J8" s="4" t="n">
        <v>0</v>
      </c>
      <c r="K8" s="4" t="n">
        <v>-3199.26408345713</v>
      </c>
      <c r="L8" s="4" t="n">
        <v>0.4802532899225</v>
      </c>
      <c r="M8" s="4" t="n">
        <v>510.766879420842</v>
      </c>
      <c r="N8" s="4" t="n">
        <v>30</v>
      </c>
      <c r="O8" s="4" t="n">
        <v>48.9172516682847</v>
      </c>
      <c r="P8" s="4" t="n">
        <v>48.9351399934546</v>
      </c>
      <c r="Q8" s="4" t="n">
        <v>50.0957080001757</v>
      </c>
      <c r="R8" s="4" t="n">
        <v>0</v>
      </c>
      <c r="S8" s="4" t="n">
        <v>3</v>
      </c>
    </row>
    <row r="9" customFormat="false" ht="15" hidden="false" customHeight="false" outlineLevel="0" collapsed="false">
      <c r="A9" s="4" t="s">
        <v>3</v>
      </c>
      <c r="B9" s="4" t="s">
        <v>31</v>
      </c>
      <c r="C9" s="4" t="n">
        <v>0.185263156732504</v>
      </c>
      <c r="D9" s="4" t="n">
        <v>0.801880900443317</v>
      </c>
      <c r="E9" s="4" t="s">
        <v>100</v>
      </c>
      <c r="F9" s="4" t="n">
        <v>0.00659596923428174</v>
      </c>
      <c r="G9" s="4" t="n">
        <v>12</v>
      </c>
      <c r="H9" s="4" t="n">
        <v>2640</v>
      </c>
      <c r="I9" s="4" t="n">
        <v>2018</v>
      </c>
      <c r="J9" s="4" t="n">
        <v>46.0431654676259</v>
      </c>
      <c r="K9" s="4" t="n">
        <v>-327.429675488357</v>
      </c>
      <c r="L9" s="4" t="n">
        <v>0.718973209729439</v>
      </c>
      <c r="M9" s="4" t="n">
        <v>130.478730129213</v>
      </c>
      <c r="N9" s="4" t="n">
        <v>10</v>
      </c>
      <c r="O9" s="4"/>
      <c r="P9" s="4"/>
      <c r="Q9" s="4"/>
      <c r="R9" s="4"/>
      <c r="S9" s="4"/>
    </row>
    <row r="10" customFormat="false" ht="15" hidden="false" customHeight="false" outlineLevel="0" collapsed="false">
      <c r="A10" s="4" t="s">
        <v>3</v>
      </c>
      <c r="B10" s="4" t="s">
        <v>32</v>
      </c>
      <c r="C10" s="4" t="n">
        <v>0.70256089174954</v>
      </c>
      <c r="D10" s="4" t="n">
        <v>0.165110050192531</v>
      </c>
      <c r="E10" s="4" t="s">
        <v>100</v>
      </c>
      <c r="F10" s="4" t="n">
        <v>0.0612062932426748</v>
      </c>
      <c r="G10" s="4" t="n">
        <v>33</v>
      </c>
      <c r="H10" s="4" t="n">
        <v>40616</v>
      </c>
      <c r="I10" s="4" t="n">
        <v>2024</v>
      </c>
      <c r="J10" s="4" t="n">
        <v>0</v>
      </c>
      <c r="K10" s="4" t="n">
        <v>-1368.08096816618</v>
      </c>
      <c r="L10" s="4" t="n">
        <v>0.494185694616119</v>
      </c>
      <c r="M10" s="4" t="n">
        <v>540.782775822841</v>
      </c>
      <c r="N10" s="4" t="n">
        <v>31</v>
      </c>
      <c r="O10" s="4" t="n">
        <v>53.4477400565402</v>
      </c>
      <c r="P10" s="4" t="n">
        <v>53.4509520194269</v>
      </c>
      <c r="Q10" s="4" t="n">
        <v>53.9696726115767</v>
      </c>
      <c r="R10" s="4" t="n">
        <v>0</v>
      </c>
      <c r="S10" s="4" t="n">
        <v>3</v>
      </c>
    </row>
    <row r="11" customFormat="false" ht="15" hidden="false" customHeight="false" outlineLevel="0" collapsed="false">
      <c r="A11" s="4" t="s">
        <v>3</v>
      </c>
      <c r="B11" s="4" t="s">
        <v>33</v>
      </c>
      <c r="C11" s="4" t="n">
        <v>-0.618968517060218</v>
      </c>
      <c r="D11" s="4" t="n">
        <v>0.329370734154695</v>
      </c>
      <c r="E11" s="4" t="s">
        <v>100</v>
      </c>
      <c r="F11" s="4" t="n">
        <v>0.047597119424116</v>
      </c>
      <c r="G11" s="4" t="n">
        <v>22</v>
      </c>
      <c r="H11" s="4" t="n">
        <v>3812</v>
      </c>
      <c r="I11" s="4" t="n">
        <v>2021</v>
      </c>
      <c r="J11" s="4" t="n">
        <v>0</v>
      </c>
      <c r="K11" s="4" t="n">
        <v>1263.54978522209</v>
      </c>
      <c r="L11" s="4" t="n">
        <v>0.619118208706458</v>
      </c>
      <c r="M11" s="4" t="n">
        <v>168.769298264547</v>
      </c>
      <c r="N11" s="4" t="n">
        <v>20</v>
      </c>
      <c r="O11" s="4"/>
      <c r="P11" s="4"/>
      <c r="Q11" s="4"/>
      <c r="R11" s="4"/>
      <c r="S11" s="4"/>
    </row>
    <row r="12" customFormat="false" ht="15" hidden="false" customHeight="false" outlineLevel="0" collapsed="false">
      <c r="A12" s="4" t="s">
        <v>3</v>
      </c>
      <c r="B12" s="4" t="s">
        <v>36</v>
      </c>
      <c r="C12" s="4" t="n">
        <v>1.23336423546263</v>
      </c>
      <c r="D12" s="4" t="n">
        <v>0.00129387433463358</v>
      </c>
      <c r="E12" s="4" t="s">
        <v>101</v>
      </c>
      <c r="F12" s="4" t="n">
        <v>0.396056395334208</v>
      </c>
      <c r="G12" s="4" t="n">
        <v>23</v>
      </c>
      <c r="H12" s="4" t="n">
        <v>3319</v>
      </c>
      <c r="I12" s="4" t="n">
        <v>2021</v>
      </c>
      <c r="J12" s="4" t="n">
        <v>0</v>
      </c>
      <c r="K12" s="4" t="n">
        <v>-2445.91979005619</v>
      </c>
      <c r="L12" s="4" t="n">
        <v>0.332354360860278</v>
      </c>
      <c r="M12" s="4" t="n">
        <v>91.3737900158944</v>
      </c>
      <c r="N12" s="4" t="n">
        <v>21</v>
      </c>
      <c r="O12" s="4"/>
      <c r="P12" s="4"/>
      <c r="Q12" s="4"/>
      <c r="R12" s="4"/>
      <c r="S12" s="4"/>
    </row>
    <row r="13" customFormat="false" ht="15" hidden="false" customHeight="false" outlineLevel="0" collapsed="false">
      <c r="A13" s="4" t="s">
        <v>3</v>
      </c>
      <c r="B13" s="4" t="s">
        <v>37</v>
      </c>
      <c r="C13" s="4" t="n">
        <v>23.9319124312897</v>
      </c>
      <c r="D13" s="4" t="n">
        <v>0.00317760543667715</v>
      </c>
      <c r="E13" s="4" t="s">
        <v>101</v>
      </c>
      <c r="F13" s="4" t="n">
        <v>0.962022531476606</v>
      </c>
      <c r="G13" s="4" t="n">
        <v>5</v>
      </c>
      <c r="H13" s="4" t="n">
        <v>164</v>
      </c>
      <c r="I13" s="4" t="n">
        <v>2012</v>
      </c>
      <c r="J13" s="4" t="n">
        <v>80</v>
      </c>
      <c r="K13" s="4" t="n">
        <v>-48039.9845693979</v>
      </c>
      <c r="L13" s="4" t="n">
        <v>2.74528326116675</v>
      </c>
      <c r="M13" s="4" t="n">
        <v>43.6579833529505</v>
      </c>
      <c r="N13" s="4" t="n">
        <v>3</v>
      </c>
      <c r="O13" s="4"/>
      <c r="P13" s="4"/>
      <c r="Q13" s="4"/>
      <c r="R13" s="4"/>
      <c r="S13" s="4"/>
    </row>
    <row r="14" customFormat="false" ht="15" hidden="false" customHeight="false" outlineLevel="0" collapsed="false">
      <c r="A14" s="4" t="s">
        <v>3</v>
      </c>
      <c r="B14" s="4" t="s">
        <v>38</v>
      </c>
      <c r="C14" s="4" t="n">
        <v>2.90944285889333</v>
      </c>
      <c r="D14" s="4" t="n">
        <v>2.32420152696073E-005</v>
      </c>
      <c r="E14" s="4" t="s">
        <v>101</v>
      </c>
      <c r="F14" s="4" t="n">
        <v>0.564455897191768</v>
      </c>
      <c r="G14" s="4" t="n">
        <v>24</v>
      </c>
      <c r="H14" s="4" t="n">
        <v>2845</v>
      </c>
      <c r="I14" s="4" t="n">
        <v>2018</v>
      </c>
      <c r="J14" s="4" t="n">
        <v>0</v>
      </c>
      <c r="K14" s="4" t="n">
        <v>-5815.90859864471</v>
      </c>
      <c r="L14" s="4" t="n">
        <v>0.544878351412164</v>
      </c>
      <c r="M14" s="4" t="n">
        <v>83.5193425139587</v>
      </c>
      <c r="N14" s="4" t="n">
        <v>22</v>
      </c>
      <c r="O14" s="4"/>
      <c r="P14" s="4"/>
      <c r="Q14" s="4"/>
      <c r="R14" s="4"/>
      <c r="S14" s="4"/>
    </row>
    <row r="15" customFormat="false" ht="15" hidden="false" customHeight="false" outlineLevel="0" collapsed="false">
      <c r="A15" s="4" t="s">
        <v>3</v>
      </c>
      <c r="B15" s="4" t="s">
        <v>39</v>
      </c>
      <c r="C15" s="4" t="n">
        <v>-0.0140510303953483</v>
      </c>
      <c r="D15" s="4" t="n">
        <v>0.97039371738601</v>
      </c>
      <c r="E15" s="4" t="s">
        <v>100</v>
      </c>
      <c r="F15" s="4" t="n">
        <v>0.000101961009157492</v>
      </c>
      <c r="G15" s="4" t="n">
        <v>16</v>
      </c>
      <c r="H15" s="4" t="n">
        <v>2540</v>
      </c>
      <c r="I15" s="4" t="n">
        <v>2018</v>
      </c>
      <c r="J15" s="4" t="n">
        <v>15.5875299760192</v>
      </c>
      <c r="K15" s="4" t="n">
        <v>44.9328135036914</v>
      </c>
      <c r="L15" s="4" t="n">
        <v>0.371881822886739</v>
      </c>
      <c r="M15" s="4" t="n">
        <v>80.6890303193001</v>
      </c>
      <c r="N15" s="4" t="n">
        <v>14</v>
      </c>
      <c r="O15" s="4"/>
      <c r="P15" s="4"/>
      <c r="Q15" s="4"/>
      <c r="R15" s="4"/>
      <c r="S15" s="4"/>
    </row>
    <row r="16" customFormat="false" ht="15" hidden="false" customHeight="false" outlineLevel="0" collapsed="false">
      <c r="A16" s="4" t="s">
        <v>3</v>
      </c>
      <c r="B16" s="4" t="s">
        <v>40</v>
      </c>
      <c r="C16" s="4" t="n">
        <v>1.2530208194577</v>
      </c>
      <c r="D16" s="4" t="n">
        <v>0.229186055551284</v>
      </c>
      <c r="E16" s="4" t="s">
        <v>100</v>
      </c>
      <c r="F16" s="4" t="n">
        <v>0.0680731493467602</v>
      </c>
      <c r="G16" s="4" t="n">
        <v>23</v>
      </c>
      <c r="H16" s="4" t="n">
        <v>1378</v>
      </c>
      <c r="I16" s="4" t="n">
        <v>2018</v>
      </c>
      <c r="J16" s="4" t="n">
        <v>0</v>
      </c>
      <c r="K16" s="4" t="n">
        <v>-2478.56664811092</v>
      </c>
      <c r="L16" s="4" t="n">
        <v>1.01169972139913</v>
      </c>
      <c r="M16" s="4" t="n">
        <v>107.20207293098</v>
      </c>
      <c r="N16" s="4" t="n">
        <v>21</v>
      </c>
      <c r="O16" s="4"/>
      <c r="P16" s="4"/>
      <c r="Q16" s="4"/>
      <c r="R16" s="4"/>
      <c r="S16" s="4"/>
    </row>
    <row r="17" customFormat="false" ht="15" hidden="false" customHeight="false" outlineLevel="0" collapsed="false">
      <c r="A17" s="4" t="s">
        <v>3</v>
      </c>
      <c r="B17" s="4" t="s">
        <v>41</v>
      </c>
      <c r="C17" s="4" t="n">
        <v>-0.111528073248725</v>
      </c>
      <c r="D17" s="4" t="n">
        <v>0.794606560606982</v>
      </c>
      <c r="E17" s="4" t="s">
        <v>100</v>
      </c>
      <c r="F17" s="4" t="n">
        <v>0.00229443380130812</v>
      </c>
      <c r="G17" s="4" t="n">
        <v>32</v>
      </c>
      <c r="H17" s="4" t="n">
        <v>11501</v>
      </c>
      <c r="I17" s="4" t="n">
        <v>2024</v>
      </c>
      <c r="J17" s="4" t="n">
        <v>0</v>
      </c>
      <c r="K17" s="4" t="n">
        <v>241.545152545767</v>
      </c>
      <c r="L17" s="4" t="n">
        <v>0.424606857298439</v>
      </c>
      <c r="M17" s="4" t="n">
        <v>225.741069236995</v>
      </c>
      <c r="N17" s="4" t="n">
        <v>30</v>
      </c>
      <c r="O17" s="4" t="n">
        <v>16.0910187571387</v>
      </c>
      <c r="P17" s="4" t="n">
        <v>16.0912324696264</v>
      </c>
      <c r="Q17" s="4" t="n">
        <v>16.0171490985894</v>
      </c>
      <c r="R17" s="4" t="n">
        <v>0</v>
      </c>
      <c r="S17" s="4" t="n">
        <v>3</v>
      </c>
    </row>
    <row r="18" customFormat="false" ht="15" hidden="false" customHeight="false" outlineLevel="0" collapsed="false">
      <c r="A18" s="4" t="s">
        <v>3</v>
      </c>
      <c r="B18" s="4" t="s">
        <v>42</v>
      </c>
      <c r="C18" s="4" t="n">
        <v>-1.10865738064258</v>
      </c>
      <c r="D18" s="4" t="n">
        <v>0.42147385998963</v>
      </c>
      <c r="E18" s="4" t="s">
        <v>100</v>
      </c>
      <c r="F18" s="4" t="n">
        <v>0.110338782603489</v>
      </c>
      <c r="G18" s="4" t="n">
        <v>8</v>
      </c>
      <c r="H18" s="4" t="n">
        <v>2116</v>
      </c>
      <c r="I18" s="4" t="n">
        <v>2018</v>
      </c>
      <c r="J18" s="4" t="n">
        <v>41.2470023980815</v>
      </c>
      <c r="K18" s="4" t="n">
        <v>2283.60366459701</v>
      </c>
      <c r="L18" s="4" t="n">
        <v>1.28519776869816</v>
      </c>
      <c r="M18" s="4" t="n">
        <v>129.35202345146</v>
      </c>
      <c r="N18" s="4" t="n">
        <v>6</v>
      </c>
      <c r="O18" s="4"/>
      <c r="P18" s="4"/>
      <c r="Q18" s="4"/>
      <c r="R18" s="4"/>
      <c r="S18" s="4"/>
    </row>
    <row r="19" customFormat="false" ht="15" hidden="false" customHeight="false" outlineLevel="0" collapsed="false">
      <c r="A19" s="4" t="s">
        <v>3</v>
      </c>
      <c r="B19" s="4" t="s">
        <v>43</v>
      </c>
      <c r="C19" s="4" t="n">
        <v>0.655806071151709</v>
      </c>
      <c r="D19" s="4" t="n">
        <v>0.196670006632144</v>
      </c>
      <c r="E19" s="4" t="s">
        <v>100</v>
      </c>
      <c r="F19" s="4" t="n">
        <v>0.0549274165457729</v>
      </c>
      <c r="G19" s="4" t="n">
        <v>32</v>
      </c>
      <c r="H19" s="4" t="n">
        <v>19818</v>
      </c>
      <c r="I19" s="4" t="n">
        <v>2024</v>
      </c>
      <c r="J19" s="4" t="n">
        <v>0</v>
      </c>
      <c r="K19" s="4" t="n">
        <v>-1281.70497444255</v>
      </c>
      <c r="L19" s="4" t="n">
        <v>0.496652700527217</v>
      </c>
      <c r="M19" s="4" t="n">
        <v>386.68166495897</v>
      </c>
      <c r="N19" s="4" t="n">
        <v>30</v>
      </c>
      <c r="O19" s="4" t="n">
        <v>45.1985539990297</v>
      </c>
      <c r="P19" s="4" t="n">
        <v>45.2018487963397</v>
      </c>
      <c r="Q19" s="4" t="n">
        <v>45.6846728531418</v>
      </c>
      <c r="R19" s="4" t="n">
        <v>0</v>
      </c>
      <c r="S19" s="4" t="n">
        <v>3</v>
      </c>
    </row>
    <row r="20" customFormat="false" ht="15" hidden="false" customHeight="false" outlineLevel="0" collapsed="false">
      <c r="A20" s="4" t="s">
        <v>3</v>
      </c>
      <c r="B20" s="4" t="s">
        <v>44</v>
      </c>
      <c r="C20" s="4" t="n">
        <v>-0.88314901447745</v>
      </c>
      <c r="D20" s="4" t="n">
        <v>0.150415346970843</v>
      </c>
      <c r="E20" s="4" t="s">
        <v>100</v>
      </c>
      <c r="F20" s="4" t="n">
        <v>0.0750499728226314</v>
      </c>
      <c r="G20" s="4" t="n">
        <v>29</v>
      </c>
      <c r="H20" s="4" t="n">
        <v>6410</v>
      </c>
      <c r="I20" s="4" t="n">
        <v>2021</v>
      </c>
      <c r="J20" s="4" t="n">
        <v>11.1111111111111</v>
      </c>
      <c r="K20" s="4" t="n">
        <v>1814.96991426701</v>
      </c>
      <c r="L20" s="4" t="n">
        <v>0.596672430629605</v>
      </c>
      <c r="M20" s="4" t="n">
        <v>154.82590301961</v>
      </c>
      <c r="N20" s="4" t="n">
        <v>27</v>
      </c>
      <c r="O20" s="4"/>
      <c r="P20" s="4"/>
      <c r="Q20" s="4"/>
      <c r="R20" s="4"/>
      <c r="S20" s="4"/>
    </row>
    <row r="22" customFormat="false" ht="15" hidden="false" customHeight="false" outlineLevel="0" collapsed="false">
      <c r="A22" s="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7" min="6" style="0" width="20"/>
    <col collapsed="false" customWidth="true" hidden="false" outlineLevel="0" max="9" min="8" style="0" width="19"/>
    <col collapsed="false" customWidth="true" hidden="false" outlineLevel="0" max="10" min="10" style="0" width="13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103</v>
      </c>
      <c r="F1" s="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</row>
    <row r="2" customFormat="false" ht="15" hidden="false" customHeight="false" outlineLevel="0" collapsed="false">
      <c r="A2" s="4" t="s">
        <v>3</v>
      </c>
      <c r="B2" s="4" t="s">
        <v>30</v>
      </c>
      <c r="C2" s="4" t="n">
        <v>2022</v>
      </c>
      <c r="D2" s="4" t="n">
        <v>2</v>
      </c>
      <c r="E2" s="4" t="n">
        <v>0</v>
      </c>
      <c r="F2" s="4" t="n">
        <v>47.2968742119347</v>
      </c>
      <c r="G2" s="4" t="n">
        <v>32.1587110117935</v>
      </c>
      <c r="H2" s="4" t="n">
        <v>62.4350374120758</v>
      </c>
      <c r="I2" s="4" t="n">
        <v>47.2968742119347</v>
      </c>
      <c r="J2" s="6" t="b">
        <f aca="false">FALSE()</f>
        <v>0</v>
      </c>
      <c r="K2" s="4" t="n">
        <v>2021</v>
      </c>
    </row>
    <row r="3" customFormat="false" ht="15" hidden="false" customHeight="false" outlineLevel="0" collapsed="false">
      <c r="A3" s="4" t="s">
        <v>3</v>
      </c>
      <c r="B3" s="4" t="s">
        <v>30</v>
      </c>
      <c r="C3" s="4" t="n">
        <v>2023</v>
      </c>
      <c r="D3" s="4" t="n">
        <v>2</v>
      </c>
      <c r="E3" s="4" t="n">
        <v>0</v>
      </c>
      <c r="F3" s="4" t="n">
        <v>48.9172516682847</v>
      </c>
      <c r="G3" s="4" t="n">
        <v>32.8122967446073</v>
      </c>
      <c r="H3" s="4" t="n">
        <v>65.0222065919621</v>
      </c>
      <c r="I3" s="4" t="n">
        <v>48.9172516682847</v>
      </c>
      <c r="J3" s="6" t="b">
        <f aca="false">FALSE()</f>
        <v>0</v>
      </c>
      <c r="K3" s="4" t="n">
        <v>2021</v>
      </c>
    </row>
    <row r="4" customFormat="false" ht="15" hidden="false" customHeight="false" outlineLevel="0" collapsed="false">
      <c r="A4" s="4" t="s">
        <v>3</v>
      </c>
      <c r="B4" s="4" t="s">
        <v>30</v>
      </c>
      <c r="C4" s="4" t="n">
        <v>2024</v>
      </c>
      <c r="D4" s="4" t="n">
        <v>18</v>
      </c>
      <c r="E4" s="4" t="n">
        <v>0</v>
      </c>
      <c r="F4" s="4" t="n">
        <v>50.5376291246348</v>
      </c>
      <c r="G4" s="4" t="n">
        <v>33.4575948524691</v>
      </c>
      <c r="H4" s="4" t="n">
        <v>67.6176633968005</v>
      </c>
      <c r="I4" s="4" t="n">
        <v>50.5376291246348</v>
      </c>
      <c r="J4" s="6" t="b">
        <f aca="false">FALSE()</f>
        <v>0</v>
      </c>
      <c r="K4" s="4" t="n">
        <v>2021</v>
      </c>
    </row>
    <row r="5" customFormat="false" ht="15" hidden="false" customHeight="false" outlineLevel="0" collapsed="false">
      <c r="A5" s="4" t="s">
        <v>3</v>
      </c>
      <c r="B5" s="4" t="s">
        <v>32</v>
      </c>
      <c r="C5" s="4" t="n">
        <v>2022</v>
      </c>
      <c r="D5" s="4" t="n">
        <v>2</v>
      </c>
      <c r="E5" s="4" t="n">
        <v>0</v>
      </c>
      <c r="F5" s="4" t="n">
        <v>52.730082793365</v>
      </c>
      <c r="G5" s="4" t="n">
        <v>37.2555247102296</v>
      </c>
      <c r="H5" s="4" t="n">
        <v>68.2046408765004</v>
      </c>
      <c r="I5" s="4" t="n">
        <v>52.730082793365</v>
      </c>
      <c r="J5" s="6" t="b">
        <f aca="false">FALSE()</f>
        <v>0</v>
      </c>
      <c r="K5" s="4" t="n">
        <v>2021</v>
      </c>
    </row>
    <row r="6" customFormat="false" ht="15" hidden="false" customHeight="false" outlineLevel="0" collapsed="false">
      <c r="A6" s="4" t="s">
        <v>3</v>
      </c>
      <c r="B6" s="4" t="s">
        <v>32</v>
      </c>
      <c r="C6" s="4" t="n">
        <v>2023</v>
      </c>
      <c r="D6" s="4" t="n">
        <v>2</v>
      </c>
      <c r="E6" s="4" t="n">
        <v>0</v>
      </c>
      <c r="F6" s="4" t="n">
        <v>53.4477400565402</v>
      </c>
      <c r="G6" s="4" t="n">
        <v>36.9813134809012</v>
      </c>
      <c r="H6" s="4" t="n">
        <v>69.9141666321791</v>
      </c>
      <c r="I6" s="4" t="n">
        <v>53.4477400565402</v>
      </c>
      <c r="J6" s="6" t="b">
        <f aca="false">FALSE()</f>
        <v>0</v>
      </c>
      <c r="K6" s="4" t="n">
        <v>2021</v>
      </c>
    </row>
    <row r="7" customFormat="false" ht="15" hidden="false" customHeight="false" outlineLevel="0" collapsed="false">
      <c r="A7" s="4" t="s">
        <v>3</v>
      </c>
      <c r="B7" s="4" t="s">
        <v>32</v>
      </c>
      <c r="C7" s="4" t="n">
        <v>2024</v>
      </c>
      <c r="D7" s="4" t="n">
        <v>18</v>
      </c>
      <c r="E7" s="4" t="n">
        <v>0</v>
      </c>
      <c r="F7" s="4" t="n">
        <v>54.1653973197153</v>
      </c>
      <c r="G7" s="4" t="n">
        <v>36.6986514219071</v>
      </c>
      <c r="H7" s="4" t="n">
        <v>71.6321432175236</v>
      </c>
      <c r="I7" s="4" t="n">
        <v>54.1653973197153</v>
      </c>
      <c r="J7" s="6" t="b">
        <f aca="false">FALSE()</f>
        <v>0</v>
      </c>
      <c r="K7" s="4" t="n">
        <v>2021</v>
      </c>
    </row>
    <row r="8" customFormat="false" ht="15" hidden="false" customHeight="false" outlineLevel="0" collapsed="false">
      <c r="A8" s="4" t="s">
        <v>3</v>
      </c>
      <c r="B8" s="4" t="s">
        <v>41</v>
      </c>
      <c r="C8" s="4" t="n">
        <v>2022</v>
      </c>
      <c r="D8" s="4" t="n">
        <v>1</v>
      </c>
      <c r="E8" s="4" t="n">
        <v>0</v>
      </c>
      <c r="F8" s="4" t="n">
        <v>16.1925895376439</v>
      </c>
      <c r="G8" s="4" t="n">
        <v>2.27434346815673</v>
      </c>
      <c r="H8" s="4" t="n">
        <v>30.1108356071311</v>
      </c>
      <c r="I8" s="4" t="n">
        <v>16.1925895376439</v>
      </c>
      <c r="J8" s="6" t="b">
        <f aca="false">FALSE()</f>
        <v>0</v>
      </c>
      <c r="K8" s="4" t="n">
        <v>2021</v>
      </c>
    </row>
    <row r="9" customFormat="false" ht="15" hidden="false" customHeight="false" outlineLevel="0" collapsed="false">
      <c r="A9" s="4" t="s">
        <v>3</v>
      </c>
      <c r="B9" s="4" t="s">
        <v>41</v>
      </c>
      <c r="C9" s="4" t="n">
        <v>2023</v>
      </c>
      <c r="D9" s="4" t="n">
        <v>1</v>
      </c>
      <c r="E9" s="4" t="n">
        <v>0</v>
      </c>
      <c r="F9" s="4" t="n">
        <v>16.0910187571387</v>
      </c>
      <c r="G9" s="4" t="n">
        <v>1.29826808275153</v>
      </c>
      <c r="H9" s="4" t="n">
        <v>30.8837694315259</v>
      </c>
      <c r="I9" s="4" t="n">
        <v>16.0910187571387</v>
      </c>
      <c r="J9" s="6" t="b">
        <f aca="false">FALSE()</f>
        <v>0</v>
      </c>
      <c r="K9" s="4" t="n">
        <v>2021</v>
      </c>
    </row>
    <row r="10" customFormat="false" ht="15" hidden="false" customHeight="false" outlineLevel="0" collapsed="false">
      <c r="A10" s="4" t="s">
        <v>3</v>
      </c>
      <c r="B10" s="4" t="s">
        <v>41</v>
      </c>
      <c r="C10" s="4" t="n">
        <v>2024</v>
      </c>
      <c r="D10" s="4" t="n">
        <v>9</v>
      </c>
      <c r="E10" s="4" t="n">
        <v>0</v>
      </c>
      <c r="F10" s="4" t="n">
        <v>15.9894479766334</v>
      </c>
      <c r="G10" s="4" t="n">
        <v>0.316734389781253</v>
      </c>
      <c r="H10" s="4" t="n">
        <v>31.6621615634856</v>
      </c>
      <c r="I10" s="4" t="n">
        <v>15.9894479766334</v>
      </c>
      <c r="J10" s="6" t="b">
        <f aca="false">FALSE()</f>
        <v>0</v>
      </c>
      <c r="K10" s="4" t="n">
        <v>2021</v>
      </c>
    </row>
    <row r="11" customFormat="false" ht="15" hidden="false" customHeight="false" outlineLevel="0" collapsed="false">
      <c r="A11" s="4" t="s">
        <v>3</v>
      </c>
      <c r="B11" s="4" t="s">
        <v>43</v>
      </c>
      <c r="C11" s="4" t="n">
        <v>2022</v>
      </c>
      <c r="D11" s="4" t="n">
        <v>1</v>
      </c>
      <c r="E11" s="4" t="n">
        <v>0</v>
      </c>
      <c r="F11" s="4" t="n">
        <v>44.5301405746257</v>
      </c>
      <c r="G11" s="4" t="n">
        <v>28.886886468831</v>
      </c>
      <c r="H11" s="4" t="n">
        <v>60.1733946804203</v>
      </c>
      <c r="I11" s="4" t="n">
        <v>44.5301405746257</v>
      </c>
      <c r="J11" s="6" t="b">
        <f aca="false">FALSE()</f>
        <v>0</v>
      </c>
      <c r="K11" s="4" t="n">
        <v>2021</v>
      </c>
    </row>
    <row r="12" customFormat="false" ht="15" hidden="false" customHeight="false" outlineLevel="0" collapsed="false">
      <c r="A12" s="4" t="s">
        <v>3</v>
      </c>
      <c r="B12" s="4" t="s">
        <v>43</v>
      </c>
      <c r="C12" s="4" t="n">
        <v>2023</v>
      </c>
      <c r="D12" s="4" t="n">
        <v>1</v>
      </c>
      <c r="E12" s="4" t="n">
        <v>0</v>
      </c>
      <c r="F12" s="4" t="n">
        <v>45.1985539990296</v>
      </c>
      <c r="G12" s="4" t="n">
        <v>28.5566955869436</v>
      </c>
      <c r="H12" s="4" t="n">
        <v>61.8404124111157</v>
      </c>
      <c r="I12" s="4" t="n">
        <v>45.1985539990296</v>
      </c>
      <c r="J12" s="6" t="b">
        <f aca="false">FALSE()</f>
        <v>0</v>
      </c>
      <c r="K12" s="4" t="n">
        <v>2021</v>
      </c>
    </row>
    <row r="13" customFormat="false" ht="15" hidden="false" customHeight="false" outlineLevel="0" collapsed="false">
      <c r="A13" s="4" t="s">
        <v>3</v>
      </c>
      <c r="B13" s="4" t="s">
        <v>43</v>
      </c>
      <c r="C13" s="4" t="n">
        <v>2024</v>
      </c>
      <c r="D13" s="4" t="n">
        <v>9</v>
      </c>
      <c r="E13" s="4" t="n">
        <v>0</v>
      </c>
      <c r="F13" s="4" t="n">
        <v>45.8669674234338</v>
      </c>
      <c r="G13" s="4" t="n">
        <v>28.2176863908671</v>
      </c>
      <c r="H13" s="4" t="n">
        <v>63.5162484560006</v>
      </c>
      <c r="I13" s="4" t="n">
        <v>45.8669674234338</v>
      </c>
      <c r="J13" s="6" t="b">
        <f aca="false">FALSE()</f>
        <v>0</v>
      </c>
      <c r="K13" s="4" t="n">
        <v>2021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3"/>
    <col collapsed="false" customWidth="true" hidden="false" outlineLevel="0" max="5" min="5" style="0" width="17"/>
    <col collapsed="false" customWidth="true" hidden="false" outlineLevel="0" max="6" min="6" style="0" width="23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5"/>
    <col collapsed="false" customWidth="true" hidden="false" outlineLevel="0" max="14" min="14" style="0" width="20"/>
    <col collapsed="false" customWidth="true" hidden="false" outlineLevel="0" max="15" min="15" style="0" width="19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18</v>
      </c>
      <c r="L1" s="3" t="s">
        <v>110</v>
      </c>
      <c r="M1" s="3" t="s">
        <v>111</v>
      </c>
      <c r="N1" s="3" t="s">
        <v>105</v>
      </c>
      <c r="O1" s="3" t="s">
        <v>106</v>
      </c>
    </row>
    <row r="2" customFormat="false" ht="15" hidden="false" customHeight="false" outlineLevel="0" collapsed="false">
      <c r="A2" s="4" t="s">
        <v>3</v>
      </c>
      <c r="B2" s="4" t="s">
        <v>22</v>
      </c>
      <c r="C2" s="4" t="n">
        <v>-1.1138610990162</v>
      </c>
      <c r="D2" s="4" t="n">
        <v>0.000478390829935391</v>
      </c>
      <c r="E2" s="4" t="s">
        <v>99</v>
      </c>
      <c r="F2" s="4" t="n">
        <v>0.418103295261622</v>
      </c>
      <c r="G2" s="4" t="n">
        <v>25</v>
      </c>
      <c r="H2" s="4" t="n">
        <v>4023</v>
      </c>
      <c r="I2" s="4" t="n">
        <v>2021</v>
      </c>
      <c r="J2" s="4" t="n">
        <v>0</v>
      </c>
      <c r="K2" s="4" t="n">
        <v>2025</v>
      </c>
      <c r="L2" s="4" t="n">
        <v>4</v>
      </c>
      <c r="M2" s="4" t="n">
        <v>0</v>
      </c>
      <c r="N2" s="4" t="n">
        <v>0</v>
      </c>
      <c r="O2" s="4" t="n">
        <v>7.05344718837556</v>
      </c>
    </row>
    <row r="3" customFormat="false" ht="15" hidden="false" customHeight="false" outlineLevel="0" collapsed="false">
      <c r="A3" s="4" t="s">
        <v>3</v>
      </c>
      <c r="B3" s="4" t="s">
        <v>22</v>
      </c>
      <c r="C3" s="4" t="n">
        <v>-1.1138610990162</v>
      </c>
      <c r="D3" s="4" t="n">
        <v>0.000478390829935391</v>
      </c>
      <c r="E3" s="4" t="s">
        <v>99</v>
      </c>
      <c r="F3" s="4" t="n">
        <v>0.418103295261622</v>
      </c>
      <c r="G3" s="4" t="n">
        <v>25</v>
      </c>
      <c r="H3" s="4" t="n">
        <v>4023</v>
      </c>
      <c r="I3" s="4" t="n">
        <v>2021</v>
      </c>
      <c r="J3" s="4" t="n">
        <v>0</v>
      </c>
      <c r="K3" s="4" t="n">
        <v>2026</v>
      </c>
      <c r="L3" s="4" t="n">
        <v>5</v>
      </c>
      <c r="M3" s="4" t="n">
        <v>0</v>
      </c>
      <c r="N3" s="4" t="n">
        <v>0</v>
      </c>
      <c r="O3" s="4" t="n">
        <v>6.46627833368323</v>
      </c>
    </row>
    <row r="4" customFormat="false" ht="15" hidden="false" customHeight="false" outlineLevel="0" collapsed="false">
      <c r="A4" s="4" t="s">
        <v>3</v>
      </c>
      <c r="B4" s="4" t="s">
        <v>22</v>
      </c>
      <c r="C4" s="4" t="n">
        <v>-1.1138610990162</v>
      </c>
      <c r="D4" s="4" t="n">
        <v>0.000478390829935391</v>
      </c>
      <c r="E4" s="4" t="s">
        <v>99</v>
      </c>
      <c r="F4" s="4" t="n">
        <v>0.418103295261622</v>
      </c>
      <c r="G4" s="4" t="n">
        <v>25</v>
      </c>
      <c r="H4" s="4" t="n">
        <v>4023</v>
      </c>
      <c r="I4" s="4" t="n">
        <v>2021</v>
      </c>
      <c r="J4" s="4" t="n">
        <v>0</v>
      </c>
      <c r="K4" s="4" t="n">
        <v>2027</v>
      </c>
      <c r="L4" s="4" t="n">
        <v>6</v>
      </c>
      <c r="M4" s="4" t="n">
        <v>0</v>
      </c>
      <c r="N4" s="4" t="n">
        <v>0</v>
      </c>
      <c r="O4" s="4" t="n">
        <v>5.88432734323915</v>
      </c>
    </row>
    <row r="5" customFormat="false" ht="15" hidden="false" customHeight="false" outlineLevel="0" collapsed="false">
      <c r="A5" s="4" t="s">
        <v>3</v>
      </c>
      <c r="B5" s="4" t="s">
        <v>22</v>
      </c>
      <c r="C5" s="4" t="n">
        <v>-1.1138610990162</v>
      </c>
      <c r="D5" s="4" t="n">
        <v>0.000478390829935391</v>
      </c>
      <c r="E5" s="4" t="s">
        <v>99</v>
      </c>
      <c r="F5" s="4" t="n">
        <v>0.418103295261622</v>
      </c>
      <c r="G5" s="4" t="n">
        <v>25</v>
      </c>
      <c r="H5" s="4" t="n">
        <v>4023</v>
      </c>
      <c r="I5" s="4" t="n">
        <v>2021</v>
      </c>
      <c r="J5" s="4" t="n">
        <v>0</v>
      </c>
      <c r="K5" s="4" t="n">
        <v>2028</v>
      </c>
      <c r="L5" s="4" t="n">
        <v>7</v>
      </c>
      <c r="M5" s="4" t="n">
        <v>0</v>
      </c>
      <c r="N5" s="4" t="n">
        <v>0</v>
      </c>
      <c r="O5" s="4" t="n">
        <v>5.30666354311441</v>
      </c>
    </row>
    <row r="6" customFormat="false" ht="15" hidden="false" customHeight="false" outlineLevel="0" collapsed="false">
      <c r="A6" s="4" t="s">
        <v>3</v>
      </c>
      <c r="B6" s="4" t="s">
        <v>22</v>
      </c>
      <c r="C6" s="4" t="n">
        <v>-1.1138610990162</v>
      </c>
      <c r="D6" s="4" t="n">
        <v>0.000478390829935391</v>
      </c>
      <c r="E6" s="4" t="s">
        <v>99</v>
      </c>
      <c r="F6" s="4" t="n">
        <v>0.418103295261622</v>
      </c>
      <c r="G6" s="4" t="n">
        <v>25</v>
      </c>
      <c r="H6" s="4" t="n">
        <v>4023</v>
      </c>
      <c r="I6" s="4" t="n">
        <v>2021</v>
      </c>
      <c r="J6" s="4" t="n">
        <v>0</v>
      </c>
      <c r="K6" s="4" t="n">
        <v>2029</v>
      </c>
      <c r="L6" s="4" t="n">
        <v>8</v>
      </c>
      <c r="M6" s="4" t="n">
        <v>0</v>
      </c>
      <c r="N6" s="4" t="n">
        <v>0</v>
      </c>
      <c r="O6" s="4" t="n">
        <v>4.7325599458465</v>
      </c>
    </row>
    <row r="7" customFormat="false" ht="15" hidden="false" customHeight="false" outlineLevel="0" collapsed="false">
      <c r="A7" s="4" t="s">
        <v>3</v>
      </c>
      <c r="B7" s="4" t="s">
        <v>22</v>
      </c>
      <c r="C7" s="4" t="n">
        <v>-1.1138610990162</v>
      </c>
      <c r="D7" s="4" t="n">
        <v>0.000478390829935391</v>
      </c>
      <c r="E7" s="4" t="s">
        <v>99</v>
      </c>
      <c r="F7" s="4" t="n">
        <v>0.418103295261622</v>
      </c>
      <c r="G7" s="4" t="n">
        <v>25</v>
      </c>
      <c r="H7" s="4" t="n">
        <v>4023</v>
      </c>
      <c r="I7" s="4" t="n">
        <v>2021</v>
      </c>
      <c r="J7" s="4" t="n">
        <v>0</v>
      </c>
      <c r="K7" s="4" t="n">
        <v>2030</v>
      </c>
      <c r="L7" s="4" t="n">
        <v>9</v>
      </c>
      <c r="M7" s="4" t="n">
        <v>0</v>
      </c>
      <c r="N7" s="4" t="n">
        <v>0</v>
      </c>
      <c r="O7" s="4" t="n">
        <v>4.16144171623858</v>
      </c>
    </row>
    <row r="8" customFormat="false" ht="15" hidden="false" customHeight="false" outlineLevel="0" collapsed="false">
      <c r="A8" s="4" t="s">
        <v>3</v>
      </c>
      <c r="B8" s="4" t="s">
        <v>22</v>
      </c>
      <c r="C8" s="4" t="n">
        <v>-1.1138610990162</v>
      </c>
      <c r="D8" s="4" t="n">
        <v>0.000478390829935391</v>
      </c>
      <c r="E8" s="4" t="s">
        <v>99</v>
      </c>
      <c r="F8" s="4" t="n">
        <v>0.418103295261622</v>
      </c>
      <c r="G8" s="4" t="n">
        <v>25</v>
      </c>
      <c r="H8" s="4" t="n">
        <v>4023</v>
      </c>
      <c r="I8" s="4" t="n">
        <v>2021</v>
      </c>
      <c r="J8" s="4" t="n">
        <v>0</v>
      </c>
      <c r="K8" s="4" t="n">
        <v>2031</v>
      </c>
      <c r="L8" s="4" t="n">
        <v>10</v>
      </c>
      <c r="M8" s="4" t="n">
        <v>0</v>
      </c>
      <c r="N8" s="4" t="n">
        <v>0</v>
      </c>
      <c r="O8" s="4" t="n">
        <v>3.59284915778106</v>
      </c>
    </row>
    <row r="9" customFormat="false" ht="15" hidden="false" customHeight="false" outlineLevel="0" collapsed="false">
      <c r="A9" s="4" t="s">
        <v>3</v>
      </c>
      <c r="B9" s="4" t="s">
        <v>23</v>
      </c>
      <c r="C9" s="4" t="n">
        <v>0.446883393535237</v>
      </c>
      <c r="D9" s="4" t="n">
        <v>0.396519868776199</v>
      </c>
      <c r="E9" s="4" t="s">
        <v>100</v>
      </c>
      <c r="F9" s="4" t="n">
        <v>0.0518128666534188</v>
      </c>
      <c r="G9" s="4" t="n">
        <v>16</v>
      </c>
      <c r="H9" s="4" t="n">
        <v>99</v>
      </c>
      <c r="I9" s="4" t="n">
        <v>2021</v>
      </c>
      <c r="J9" s="4" t="n">
        <v>0</v>
      </c>
      <c r="K9" s="4" t="n">
        <v>2025</v>
      </c>
      <c r="L9" s="4" t="n">
        <v>4</v>
      </c>
      <c r="M9" s="4" t="n">
        <v>13.4003272513974</v>
      </c>
      <c r="N9" s="4" t="n">
        <v>0</v>
      </c>
      <c r="O9" s="4" t="n">
        <v>32.6761356855094</v>
      </c>
    </row>
    <row r="10" customFormat="false" ht="15" hidden="false" customHeight="false" outlineLevel="0" collapsed="false">
      <c r="A10" s="4" t="s">
        <v>3</v>
      </c>
      <c r="B10" s="4" t="s">
        <v>23</v>
      </c>
      <c r="C10" s="4" t="n">
        <v>0.446883393535237</v>
      </c>
      <c r="D10" s="4" t="n">
        <v>0.396519868776199</v>
      </c>
      <c r="E10" s="4" t="s">
        <v>100</v>
      </c>
      <c r="F10" s="4" t="n">
        <v>0.0518128666534188</v>
      </c>
      <c r="G10" s="4" t="n">
        <v>16</v>
      </c>
      <c r="H10" s="4" t="n">
        <v>99</v>
      </c>
      <c r="I10" s="4" t="n">
        <v>2021</v>
      </c>
      <c r="J10" s="4" t="n">
        <v>0</v>
      </c>
      <c r="K10" s="4" t="n">
        <v>2026</v>
      </c>
      <c r="L10" s="4" t="n">
        <v>5</v>
      </c>
      <c r="M10" s="4" t="n">
        <v>13.8472106449325</v>
      </c>
      <c r="N10" s="4" t="n">
        <v>0</v>
      </c>
      <c r="O10" s="4" t="n">
        <v>34.1500034537994</v>
      </c>
    </row>
    <row r="11" customFormat="false" ht="15" hidden="false" customHeight="false" outlineLevel="0" collapsed="false">
      <c r="A11" s="4" t="s">
        <v>3</v>
      </c>
      <c r="B11" s="4" t="s">
        <v>23</v>
      </c>
      <c r="C11" s="4" t="n">
        <v>0.446883393535237</v>
      </c>
      <c r="D11" s="4" t="n">
        <v>0.396519868776199</v>
      </c>
      <c r="E11" s="4" t="s">
        <v>100</v>
      </c>
      <c r="F11" s="4" t="n">
        <v>0.0518128666534188</v>
      </c>
      <c r="G11" s="4" t="n">
        <v>16</v>
      </c>
      <c r="H11" s="4" t="n">
        <v>99</v>
      </c>
      <c r="I11" s="4" t="n">
        <v>2021</v>
      </c>
      <c r="J11" s="4" t="n">
        <v>0</v>
      </c>
      <c r="K11" s="4" t="n">
        <v>2027</v>
      </c>
      <c r="L11" s="4" t="n">
        <v>6</v>
      </c>
      <c r="M11" s="4" t="n">
        <v>14.2940940384677</v>
      </c>
      <c r="N11" s="4" t="n">
        <v>0</v>
      </c>
      <c r="O11" s="4" t="n">
        <v>35.6307217085092</v>
      </c>
    </row>
    <row r="12" customFormat="false" ht="15" hidden="false" customHeight="false" outlineLevel="0" collapsed="false">
      <c r="A12" s="4" t="s">
        <v>3</v>
      </c>
      <c r="B12" s="4" t="s">
        <v>23</v>
      </c>
      <c r="C12" s="4" t="n">
        <v>0.446883393535237</v>
      </c>
      <c r="D12" s="4" t="n">
        <v>0.396519868776199</v>
      </c>
      <c r="E12" s="4" t="s">
        <v>100</v>
      </c>
      <c r="F12" s="4" t="n">
        <v>0.0518128666534188</v>
      </c>
      <c r="G12" s="4" t="n">
        <v>16</v>
      </c>
      <c r="H12" s="4" t="n">
        <v>99</v>
      </c>
      <c r="I12" s="4" t="n">
        <v>2021</v>
      </c>
      <c r="J12" s="4" t="n">
        <v>0</v>
      </c>
      <c r="K12" s="4" t="n">
        <v>2028</v>
      </c>
      <c r="L12" s="4" t="n">
        <v>7</v>
      </c>
      <c r="M12" s="4" t="n">
        <v>14.740977432003</v>
      </c>
      <c r="N12" s="4" t="n">
        <v>0</v>
      </c>
      <c r="O12" s="4" t="n">
        <v>37.1173409493218</v>
      </c>
    </row>
    <row r="13" customFormat="false" ht="15" hidden="false" customHeight="false" outlineLevel="0" collapsed="false">
      <c r="A13" s="4" t="s">
        <v>3</v>
      </c>
      <c r="B13" s="4" t="s">
        <v>23</v>
      </c>
      <c r="C13" s="4" t="n">
        <v>0.446883393535237</v>
      </c>
      <c r="D13" s="4" t="n">
        <v>0.396519868776199</v>
      </c>
      <c r="E13" s="4" t="s">
        <v>100</v>
      </c>
      <c r="F13" s="4" t="n">
        <v>0.0518128666534188</v>
      </c>
      <c r="G13" s="4" t="n">
        <v>16</v>
      </c>
      <c r="H13" s="4" t="n">
        <v>99</v>
      </c>
      <c r="I13" s="4" t="n">
        <v>2021</v>
      </c>
      <c r="J13" s="4" t="n">
        <v>0</v>
      </c>
      <c r="K13" s="4" t="n">
        <v>2029</v>
      </c>
      <c r="L13" s="4" t="n">
        <v>8</v>
      </c>
      <c r="M13" s="4" t="n">
        <v>15.1878608255382</v>
      </c>
      <c r="N13" s="4" t="n">
        <v>0</v>
      </c>
      <c r="O13" s="4" t="n">
        <v>38.6090753036014</v>
      </c>
    </row>
    <row r="14" customFormat="false" ht="15" hidden="false" customHeight="false" outlineLevel="0" collapsed="false">
      <c r="A14" s="4" t="s">
        <v>3</v>
      </c>
      <c r="B14" s="4" t="s">
        <v>23</v>
      </c>
      <c r="C14" s="4" t="n">
        <v>0.446883393535237</v>
      </c>
      <c r="D14" s="4" t="n">
        <v>0.396519868776199</v>
      </c>
      <c r="E14" s="4" t="s">
        <v>100</v>
      </c>
      <c r="F14" s="4" t="n">
        <v>0.0518128666534188</v>
      </c>
      <c r="G14" s="4" t="n">
        <v>16</v>
      </c>
      <c r="H14" s="4" t="n">
        <v>99</v>
      </c>
      <c r="I14" s="4" t="n">
        <v>2021</v>
      </c>
      <c r="J14" s="4" t="n">
        <v>0</v>
      </c>
      <c r="K14" s="4" t="n">
        <v>2030</v>
      </c>
      <c r="L14" s="4" t="n">
        <v>9</v>
      </c>
      <c r="M14" s="4" t="n">
        <v>15.6347442190735</v>
      </c>
      <c r="N14" s="4" t="n">
        <v>0</v>
      </c>
      <c r="O14" s="4" t="n">
        <v>40.1052695594635</v>
      </c>
    </row>
    <row r="15" customFormat="false" ht="15" hidden="false" customHeight="false" outlineLevel="0" collapsed="false">
      <c r="A15" s="4" t="s">
        <v>3</v>
      </c>
      <c r="B15" s="4" t="s">
        <v>23</v>
      </c>
      <c r="C15" s="4" t="n">
        <v>0.446883393535237</v>
      </c>
      <c r="D15" s="4" t="n">
        <v>0.396519868776199</v>
      </c>
      <c r="E15" s="4" t="s">
        <v>100</v>
      </c>
      <c r="F15" s="4" t="n">
        <v>0.0518128666534188</v>
      </c>
      <c r="G15" s="4" t="n">
        <v>16</v>
      </c>
      <c r="H15" s="4" t="n">
        <v>99</v>
      </c>
      <c r="I15" s="4" t="n">
        <v>2021</v>
      </c>
      <c r="J15" s="4" t="n">
        <v>0</v>
      </c>
      <c r="K15" s="4" t="n">
        <v>2031</v>
      </c>
      <c r="L15" s="4" t="n">
        <v>10</v>
      </c>
      <c r="M15" s="4" t="n">
        <v>16.0816276126087</v>
      </c>
      <c r="N15" s="4" t="n">
        <v>0</v>
      </c>
      <c r="O15" s="4" t="n">
        <v>41.6053736676246</v>
      </c>
    </row>
    <row r="16" customFormat="false" ht="15" hidden="false" customHeight="false" outlineLevel="0" collapsed="false">
      <c r="A16" s="4" t="s">
        <v>3</v>
      </c>
      <c r="B16" s="4" t="s">
        <v>25</v>
      </c>
      <c r="C16" s="4" t="n">
        <v>0.849702932752639</v>
      </c>
      <c r="D16" s="4" t="n">
        <v>0.140074410853646</v>
      </c>
      <c r="E16" s="4" t="s">
        <v>100</v>
      </c>
      <c r="F16" s="4" t="n">
        <v>0.0884494152711187</v>
      </c>
      <c r="G16" s="4" t="n">
        <v>26</v>
      </c>
      <c r="H16" s="4" t="n">
        <v>2150</v>
      </c>
      <c r="I16" s="4" t="n">
        <v>2021</v>
      </c>
      <c r="J16" s="4" t="n">
        <v>0</v>
      </c>
      <c r="K16" s="4" t="n">
        <v>2025</v>
      </c>
      <c r="L16" s="4" t="n">
        <v>4</v>
      </c>
      <c r="M16" s="4" t="n">
        <v>34.3473838591601</v>
      </c>
      <c r="N16" s="4" t="n">
        <v>14.9895257472558</v>
      </c>
      <c r="O16" s="4" t="n">
        <v>53.7052419710645</v>
      </c>
    </row>
    <row r="17" customFormat="false" ht="15" hidden="false" customHeight="false" outlineLevel="0" collapsed="false">
      <c r="A17" s="4" t="s">
        <v>3</v>
      </c>
      <c r="B17" s="4" t="s">
        <v>25</v>
      </c>
      <c r="C17" s="4" t="n">
        <v>0.849702932752639</v>
      </c>
      <c r="D17" s="4" t="n">
        <v>0.140074410853646</v>
      </c>
      <c r="E17" s="4" t="s">
        <v>100</v>
      </c>
      <c r="F17" s="4" t="n">
        <v>0.0884494152711187</v>
      </c>
      <c r="G17" s="4" t="n">
        <v>26</v>
      </c>
      <c r="H17" s="4" t="n">
        <v>2150</v>
      </c>
      <c r="I17" s="4" t="n">
        <v>2021</v>
      </c>
      <c r="J17" s="4" t="n">
        <v>0</v>
      </c>
      <c r="K17" s="4" t="n">
        <v>2026</v>
      </c>
      <c r="L17" s="4" t="n">
        <v>5</v>
      </c>
      <c r="M17" s="4" t="n">
        <v>35.1970867919126</v>
      </c>
      <c r="N17" s="4" t="n">
        <v>14.7085920473787</v>
      </c>
      <c r="O17" s="4" t="n">
        <v>55.6855815364465</v>
      </c>
    </row>
    <row r="18" customFormat="false" ht="15" hidden="false" customHeight="false" outlineLevel="0" collapsed="false">
      <c r="A18" s="4" t="s">
        <v>3</v>
      </c>
      <c r="B18" s="4" t="s">
        <v>25</v>
      </c>
      <c r="C18" s="4" t="n">
        <v>0.849702932752639</v>
      </c>
      <c r="D18" s="4" t="n">
        <v>0.140074410853646</v>
      </c>
      <c r="E18" s="4" t="s">
        <v>100</v>
      </c>
      <c r="F18" s="4" t="n">
        <v>0.0884494152711187</v>
      </c>
      <c r="G18" s="4" t="n">
        <v>26</v>
      </c>
      <c r="H18" s="4" t="n">
        <v>2150</v>
      </c>
      <c r="I18" s="4" t="n">
        <v>2021</v>
      </c>
      <c r="J18" s="4" t="n">
        <v>0</v>
      </c>
      <c r="K18" s="4" t="n">
        <v>2027</v>
      </c>
      <c r="L18" s="4" t="n">
        <v>6</v>
      </c>
      <c r="M18" s="4" t="n">
        <v>36.0467897246654</v>
      </c>
      <c r="N18" s="4" t="n">
        <v>14.4257016507631</v>
      </c>
      <c r="O18" s="4" t="n">
        <v>57.6678777985677</v>
      </c>
    </row>
    <row r="19" customFormat="false" ht="15" hidden="false" customHeight="false" outlineLevel="0" collapsed="false">
      <c r="A19" s="4" t="s">
        <v>3</v>
      </c>
      <c r="B19" s="4" t="s">
        <v>25</v>
      </c>
      <c r="C19" s="4" t="n">
        <v>0.849702932752639</v>
      </c>
      <c r="D19" s="4" t="n">
        <v>0.140074410853646</v>
      </c>
      <c r="E19" s="4" t="s">
        <v>100</v>
      </c>
      <c r="F19" s="4" t="n">
        <v>0.0884494152711187</v>
      </c>
      <c r="G19" s="4" t="n">
        <v>26</v>
      </c>
      <c r="H19" s="4" t="n">
        <v>2150</v>
      </c>
      <c r="I19" s="4" t="n">
        <v>2021</v>
      </c>
      <c r="J19" s="4" t="n">
        <v>0</v>
      </c>
      <c r="K19" s="4" t="n">
        <v>2028</v>
      </c>
      <c r="L19" s="4" t="n">
        <v>7</v>
      </c>
      <c r="M19" s="4" t="n">
        <v>36.8964926574179</v>
      </c>
      <c r="N19" s="4" t="n">
        <v>14.1411467253395</v>
      </c>
      <c r="O19" s="4" t="n">
        <v>59.6518385894962</v>
      </c>
    </row>
    <row r="20" customFormat="false" ht="15" hidden="false" customHeight="false" outlineLevel="0" collapsed="false">
      <c r="A20" s="4" t="s">
        <v>3</v>
      </c>
      <c r="B20" s="4" t="s">
        <v>25</v>
      </c>
      <c r="C20" s="4" t="n">
        <v>0.849702932752639</v>
      </c>
      <c r="D20" s="4" t="n">
        <v>0.140074410853646</v>
      </c>
      <c r="E20" s="4" t="s">
        <v>100</v>
      </c>
      <c r="F20" s="4" t="n">
        <v>0.0884494152711187</v>
      </c>
      <c r="G20" s="4" t="n">
        <v>26</v>
      </c>
      <c r="H20" s="4" t="n">
        <v>2150</v>
      </c>
      <c r="I20" s="4" t="n">
        <v>2021</v>
      </c>
      <c r="J20" s="4" t="n">
        <v>0</v>
      </c>
      <c r="K20" s="4" t="n">
        <v>2029</v>
      </c>
      <c r="L20" s="4" t="n">
        <v>8</v>
      </c>
      <c r="M20" s="4" t="n">
        <v>37.7461955901706</v>
      </c>
      <c r="N20" s="4" t="n">
        <v>13.8551643469584</v>
      </c>
      <c r="O20" s="4" t="n">
        <v>61.6372268333828</v>
      </c>
    </row>
    <row r="21" customFormat="false" ht="15" hidden="false" customHeight="false" outlineLevel="0" collapsed="false">
      <c r="A21" s="4" t="s">
        <v>3</v>
      </c>
      <c r="B21" s="4" t="s">
        <v>25</v>
      </c>
      <c r="C21" s="4" t="n">
        <v>0.849702932752639</v>
      </c>
      <c r="D21" s="4" t="n">
        <v>0.140074410853646</v>
      </c>
      <c r="E21" s="4" t="s">
        <v>100</v>
      </c>
      <c r="F21" s="4" t="n">
        <v>0.0884494152711187</v>
      </c>
      <c r="G21" s="4" t="n">
        <v>26</v>
      </c>
      <c r="H21" s="4" t="n">
        <v>2150</v>
      </c>
      <c r="I21" s="4" t="n">
        <v>2021</v>
      </c>
      <c r="J21" s="4" t="n">
        <v>0</v>
      </c>
      <c r="K21" s="4" t="n">
        <v>2030</v>
      </c>
      <c r="L21" s="4" t="n">
        <v>9</v>
      </c>
      <c r="M21" s="4" t="n">
        <v>38.5958985229233</v>
      </c>
      <c r="N21" s="4" t="n">
        <v>13.5679488341012</v>
      </c>
      <c r="O21" s="4" t="n">
        <v>63.6238482117454</v>
      </c>
    </row>
    <row r="22" customFormat="false" ht="15" hidden="false" customHeight="false" outlineLevel="0" collapsed="false">
      <c r="A22" s="4" t="s">
        <v>3</v>
      </c>
      <c r="B22" s="4" t="s">
        <v>25</v>
      </c>
      <c r="C22" s="4" t="n">
        <v>0.849702932752639</v>
      </c>
      <c r="D22" s="4" t="n">
        <v>0.140074410853646</v>
      </c>
      <c r="E22" s="4" t="s">
        <v>100</v>
      </c>
      <c r="F22" s="4" t="n">
        <v>0.0884494152711187</v>
      </c>
      <c r="G22" s="4" t="n">
        <v>26</v>
      </c>
      <c r="H22" s="4" t="n">
        <v>2150</v>
      </c>
      <c r="I22" s="4" t="n">
        <v>2021</v>
      </c>
      <c r="J22" s="4" t="n">
        <v>0</v>
      </c>
      <c r="K22" s="4" t="n">
        <v>2031</v>
      </c>
      <c r="L22" s="4" t="n">
        <v>10</v>
      </c>
      <c r="M22" s="4" t="n">
        <v>39.4456014556758</v>
      </c>
      <c r="N22" s="4" t="n">
        <v>13.279660926531</v>
      </c>
      <c r="O22" s="4" t="n">
        <v>65.6115419848207</v>
      </c>
    </row>
    <row r="23" customFormat="false" ht="15" hidden="false" customHeight="false" outlineLevel="0" collapsed="false">
      <c r="A23" s="4" t="s">
        <v>3</v>
      </c>
      <c r="B23" s="4" t="s">
        <v>26</v>
      </c>
      <c r="C23" s="4" t="n">
        <v>-0.508360776289364</v>
      </c>
      <c r="D23" s="4" t="n">
        <v>0.746348134875295</v>
      </c>
      <c r="E23" s="4" t="s">
        <v>100</v>
      </c>
      <c r="F23" s="4" t="n">
        <v>0.0109372720291378</v>
      </c>
      <c r="G23" s="4" t="n">
        <v>12</v>
      </c>
      <c r="H23" s="4" t="n">
        <v>154</v>
      </c>
      <c r="I23" s="4" t="n">
        <v>2021</v>
      </c>
      <c r="J23" s="4" t="n">
        <v>0</v>
      </c>
      <c r="K23" s="4" t="n">
        <v>2025</v>
      </c>
      <c r="L23" s="4" t="n">
        <v>4</v>
      </c>
      <c r="M23" s="4" t="n">
        <v>9.23225190578114</v>
      </c>
      <c r="N23" s="4" t="n">
        <v>0</v>
      </c>
      <c r="O23" s="4" t="n">
        <v>59.4531647617747</v>
      </c>
    </row>
    <row r="24" customFormat="false" ht="15" hidden="false" customHeight="false" outlineLevel="0" collapsed="false">
      <c r="A24" s="4" t="s">
        <v>3</v>
      </c>
      <c r="B24" s="4" t="s">
        <v>26</v>
      </c>
      <c r="C24" s="4" t="n">
        <v>-0.508360776289364</v>
      </c>
      <c r="D24" s="4" t="n">
        <v>0.746348134875295</v>
      </c>
      <c r="E24" s="4" t="s">
        <v>100</v>
      </c>
      <c r="F24" s="4" t="n">
        <v>0.0109372720291378</v>
      </c>
      <c r="G24" s="4" t="n">
        <v>12</v>
      </c>
      <c r="H24" s="4" t="n">
        <v>154</v>
      </c>
      <c r="I24" s="4" t="n">
        <v>2021</v>
      </c>
      <c r="J24" s="4" t="n">
        <v>0</v>
      </c>
      <c r="K24" s="4" t="n">
        <v>2026</v>
      </c>
      <c r="L24" s="4" t="n">
        <v>5</v>
      </c>
      <c r="M24" s="4" t="n">
        <v>8.72389112949168</v>
      </c>
      <c r="N24" s="4" t="n">
        <v>0</v>
      </c>
      <c r="O24" s="4" t="n">
        <v>62.1404848404553</v>
      </c>
    </row>
    <row r="25" customFormat="false" ht="15" hidden="false" customHeight="false" outlineLevel="0" collapsed="false">
      <c r="A25" s="4" t="s">
        <v>3</v>
      </c>
      <c r="B25" s="4" t="s">
        <v>26</v>
      </c>
      <c r="C25" s="4" t="n">
        <v>-0.508360776289364</v>
      </c>
      <c r="D25" s="4" t="n">
        <v>0.746348134875295</v>
      </c>
      <c r="E25" s="4" t="s">
        <v>100</v>
      </c>
      <c r="F25" s="4" t="n">
        <v>0.0109372720291378</v>
      </c>
      <c r="G25" s="4" t="n">
        <v>12</v>
      </c>
      <c r="H25" s="4" t="n">
        <v>154</v>
      </c>
      <c r="I25" s="4" t="n">
        <v>2021</v>
      </c>
      <c r="J25" s="4" t="n">
        <v>0</v>
      </c>
      <c r="K25" s="4" t="n">
        <v>2027</v>
      </c>
      <c r="L25" s="4" t="n">
        <v>6</v>
      </c>
      <c r="M25" s="4" t="n">
        <v>8.21553035320244</v>
      </c>
      <c r="N25" s="4" t="n">
        <v>0</v>
      </c>
      <c r="O25" s="4" t="n">
        <v>64.8523509032971</v>
      </c>
    </row>
    <row r="26" customFormat="false" ht="15" hidden="false" customHeight="false" outlineLevel="0" collapsed="false">
      <c r="A26" s="4" t="s">
        <v>3</v>
      </c>
      <c r="B26" s="4" t="s">
        <v>26</v>
      </c>
      <c r="C26" s="4" t="n">
        <v>-0.508360776289364</v>
      </c>
      <c r="D26" s="4" t="n">
        <v>0.746348134875295</v>
      </c>
      <c r="E26" s="4" t="s">
        <v>100</v>
      </c>
      <c r="F26" s="4" t="n">
        <v>0.0109372720291378</v>
      </c>
      <c r="G26" s="4" t="n">
        <v>12</v>
      </c>
      <c r="H26" s="4" t="n">
        <v>154</v>
      </c>
      <c r="I26" s="4" t="n">
        <v>2021</v>
      </c>
      <c r="J26" s="4" t="n">
        <v>0</v>
      </c>
      <c r="K26" s="4" t="n">
        <v>2028</v>
      </c>
      <c r="L26" s="4" t="n">
        <v>7</v>
      </c>
      <c r="M26" s="4" t="n">
        <v>7.70716957691298</v>
      </c>
      <c r="N26" s="4" t="n">
        <v>0</v>
      </c>
      <c r="O26" s="4" t="n">
        <v>67.5848028226721</v>
      </c>
    </row>
    <row r="27" customFormat="false" ht="15" hidden="false" customHeight="false" outlineLevel="0" collapsed="false">
      <c r="A27" s="4" t="s">
        <v>3</v>
      </c>
      <c r="B27" s="4" t="s">
        <v>26</v>
      </c>
      <c r="C27" s="4" t="n">
        <v>-0.508360776289364</v>
      </c>
      <c r="D27" s="4" t="n">
        <v>0.746348134875295</v>
      </c>
      <c r="E27" s="4" t="s">
        <v>100</v>
      </c>
      <c r="F27" s="4" t="n">
        <v>0.0109372720291378</v>
      </c>
      <c r="G27" s="4" t="n">
        <v>12</v>
      </c>
      <c r="H27" s="4" t="n">
        <v>154</v>
      </c>
      <c r="I27" s="4" t="n">
        <v>2021</v>
      </c>
      <c r="J27" s="4" t="n">
        <v>0</v>
      </c>
      <c r="K27" s="4" t="n">
        <v>2029</v>
      </c>
      <c r="L27" s="4" t="n">
        <v>8</v>
      </c>
      <c r="M27" s="4" t="n">
        <v>7.19880880062374</v>
      </c>
      <c r="N27" s="4" t="n">
        <v>0</v>
      </c>
      <c r="O27" s="4" t="n">
        <v>70.3346706142729</v>
      </c>
    </row>
    <row r="28" customFormat="false" ht="15" hidden="false" customHeight="false" outlineLevel="0" collapsed="false">
      <c r="A28" s="4" t="s">
        <v>3</v>
      </c>
      <c r="B28" s="4" t="s">
        <v>26</v>
      </c>
      <c r="C28" s="4" t="n">
        <v>-0.508360776289364</v>
      </c>
      <c r="D28" s="4" t="n">
        <v>0.746348134875295</v>
      </c>
      <c r="E28" s="4" t="s">
        <v>100</v>
      </c>
      <c r="F28" s="4" t="n">
        <v>0.0109372720291378</v>
      </c>
      <c r="G28" s="4" t="n">
        <v>12</v>
      </c>
      <c r="H28" s="4" t="n">
        <v>154</v>
      </c>
      <c r="I28" s="4" t="n">
        <v>2021</v>
      </c>
      <c r="J28" s="4" t="n">
        <v>0</v>
      </c>
      <c r="K28" s="4" t="n">
        <v>2030</v>
      </c>
      <c r="L28" s="4" t="n">
        <v>9</v>
      </c>
      <c r="M28" s="4" t="n">
        <v>6.69044802433427</v>
      </c>
      <c r="N28" s="4" t="n">
        <v>0</v>
      </c>
      <c r="O28" s="4" t="n">
        <v>73.0993908975595</v>
      </c>
    </row>
    <row r="29" customFormat="false" ht="15" hidden="false" customHeight="false" outlineLevel="0" collapsed="false">
      <c r="A29" s="4" t="s">
        <v>3</v>
      </c>
      <c r="B29" s="4" t="s">
        <v>26</v>
      </c>
      <c r="C29" s="4" t="n">
        <v>-0.508360776289364</v>
      </c>
      <c r="D29" s="4" t="n">
        <v>0.746348134875295</v>
      </c>
      <c r="E29" s="4" t="s">
        <v>100</v>
      </c>
      <c r="F29" s="4" t="n">
        <v>0.0109372720291378</v>
      </c>
      <c r="G29" s="4" t="n">
        <v>12</v>
      </c>
      <c r="H29" s="4" t="n">
        <v>154</v>
      </c>
      <c r="I29" s="4" t="n">
        <v>2021</v>
      </c>
      <c r="J29" s="4" t="n">
        <v>0</v>
      </c>
      <c r="K29" s="4" t="n">
        <v>2031</v>
      </c>
      <c r="L29" s="4" t="n">
        <v>10</v>
      </c>
      <c r="M29" s="4" t="n">
        <v>6.18208724804481</v>
      </c>
      <c r="N29" s="4" t="n">
        <v>0</v>
      </c>
      <c r="O29" s="4" t="n">
        <v>75.8768711480968</v>
      </c>
    </row>
    <row r="30" customFormat="false" ht="15" hidden="false" customHeight="false" outlineLevel="0" collapsed="false">
      <c r="A30" s="4" t="s">
        <v>3</v>
      </c>
      <c r="B30" s="4" t="s">
        <v>27</v>
      </c>
      <c r="C30" s="4" t="n">
        <v>0.156502928366517</v>
      </c>
      <c r="D30" s="4" t="n">
        <v>0.731029204923878</v>
      </c>
      <c r="E30" s="4" t="s">
        <v>100</v>
      </c>
      <c r="F30" s="4" t="n">
        <v>0.0257589560674307</v>
      </c>
      <c r="G30" s="4" t="n">
        <v>7</v>
      </c>
      <c r="H30" s="4" t="n">
        <v>2345</v>
      </c>
      <c r="I30" s="4" t="n">
        <v>2018</v>
      </c>
      <c r="J30" s="4" t="n">
        <v>6.5947242206235</v>
      </c>
      <c r="K30" s="4" t="n">
        <v>2025</v>
      </c>
      <c r="L30" s="4" t="n">
        <v>7</v>
      </c>
      <c r="M30" s="4" t="n">
        <v>10.8596578839776</v>
      </c>
      <c r="N30" s="4" t="n">
        <v>0.842503200498758</v>
      </c>
      <c r="O30" s="4" t="n">
        <v>20.8768125674565</v>
      </c>
    </row>
    <row r="31" customFormat="false" ht="15" hidden="false" customHeight="false" outlineLevel="0" collapsed="false">
      <c r="A31" s="4" t="s">
        <v>3</v>
      </c>
      <c r="B31" s="4" t="s">
        <v>27</v>
      </c>
      <c r="C31" s="4" t="n">
        <v>0.156502928366517</v>
      </c>
      <c r="D31" s="4" t="n">
        <v>0.731029204923878</v>
      </c>
      <c r="E31" s="4" t="s">
        <v>100</v>
      </c>
      <c r="F31" s="4" t="n">
        <v>0.0257589560674307</v>
      </c>
      <c r="G31" s="4" t="n">
        <v>7</v>
      </c>
      <c r="H31" s="4" t="n">
        <v>2345</v>
      </c>
      <c r="I31" s="4" t="n">
        <v>2018</v>
      </c>
      <c r="J31" s="4" t="n">
        <v>6.5947242206235</v>
      </c>
      <c r="K31" s="4" t="n">
        <v>2026</v>
      </c>
      <c r="L31" s="4" t="n">
        <v>8</v>
      </c>
      <c r="M31" s="4" t="n">
        <v>11.0161608123441</v>
      </c>
      <c r="N31" s="4" t="n">
        <v>0</v>
      </c>
      <c r="O31" s="4" t="n">
        <v>22.092702488714</v>
      </c>
    </row>
    <row r="32" customFormat="false" ht="15" hidden="false" customHeight="false" outlineLevel="0" collapsed="false">
      <c r="A32" s="4" t="s">
        <v>3</v>
      </c>
      <c r="B32" s="4" t="s">
        <v>27</v>
      </c>
      <c r="C32" s="4" t="n">
        <v>0.156502928366517</v>
      </c>
      <c r="D32" s="4" t="n">
        <v>0.731029204923878</v>
      </c>
      <c r="E32" s="4" t="s">
        <v>100</v>
      </c>
      <c r="F32" s="4" t="n">
        <v>0.0257589560674307</v>
      </c>
      <c r="G32" s="4" t="n">
        <v>7</v>
      </c>
      <c r="H32" s="4" t="n">
        <v>2345</v>
      </c>
      <c r="I32" s="4" t="n">
        <v>2018</v>
      </c>
      <c r="J32" s="4" t="n">
        <v>6.5947242206235</v>
      </c>
      <c r="K32" s="4" t="n">
        <v>2027</v>
      </c>
      <c r="L32" s="4" t="n">
        <v>9</v>
      </c>
      <c r="M32" s="4" t="n">
        <v>11.1726637407107</v>
      </c>
      <c r="N32" s="4" t="n">
        <v>0</v>
      </c>
      <c r="O32" s="4" t="n">
        <v>23.3169914724334</v>
      </c>
    </row>
    <row r="33" customFormat="false" ht="15" hidden="false" customHeight="false" outlineLevel="0" collapsed="false">
      <c r="A33" s="4" t="s">
        <v>3</v>
      </c>
      <c r="B33" s="4" t="s">
        <v>27</v>
      </c>
      <c r="C33" s="4" t="n">
        <v>0.156502928366517</v>
      </c>
      <c r="D33" s="4" t="n">
        <v>0.731029204923878</v>
      </c>
      <c r="E33" s="4" t="s">
        <v>100</v>
      </c>
      <c r="F33" s="4" t="n">
        <v>0.0257589560674307</v>
      </c>
      <c r="G33" s="4" t="n">
        <v>7</v>
      </c>
      <c r="H33" s="4" t="n">
        <v>2345</v>
      </c>
      <c r="I33" s="4" t="n">
        <v>2018</v>
      </c>
      <c r="J33" s="4" t="n">
        <v>6.5947242206235</v>
      </c>
      <c r="K33" s="4" t="n">
        <v>2028</v>
      </c>
      <c r="L33" s="4" t="n">
        <v>10</v>
      </c>
      <c r="M33" s="4" t="n">
        <v>11.3291666690772</v>
      </c>
      <c r="N33" s="4" t="n">
        <v>0</v>
      </c>
      <c r="O33" s="4" t="n">
        <v>24.5476442513909</v>
      </c>
    </row>
    <row r="34" customFormat="false" ht="15" hidden="false" customHeight="false" outlineLevel="0" collapsed="false">
      <c r="A34" s="4" t="s">
        <v>3</v>
      </c>
      <c r="B34" s="4" t="s">
        <v>27</v>
      </c>
      <c r="C34" s="4" t="n">
        <v>0.156502928366517</v>
      </c>
      <c r="D34" s="4" t="n">
        <v>0.731029204923878</v>
      </c>
      <c r="E34" s="4" t="s">
        <v>100</v>
      </c>
      <c r="F34" s="4" t="n">
        <v>0.0257589560674307</v>
      </c>
      <c r="G34" s="4" t="n">
        <v>7</v>
      </c>
      <c r="H34" s="4" t="n">
        <v>2345</v>
      </c>
      <c r="I34" s="4" t="n">
        <v>2018</v>
      </c>
      <c r="J34" s="4" t="n">
        <v>6.5947242206235</v>
      </c>
      <c r="K34" s="4" t="n">
        <v>2029</v>
      </c>
      <c r="L34" s="4" t="n">
        <v>11</v>
      </c>
      <c r="M34" s="4" t="n">
        <v>11.4856695974437</v>
      </c>
      <c r="N34" s="4" t="n">
        <v>0</v>
      </c>
      <c r="O34" s="4" t="n">
        <v>25.7832265959065</v>
      </c>
    </row>
    <row r="35" customFormat="false" ht="15" hidden="false" customHeight="false" outlineLevel="0" collapsed="false">
      <c r="A35" s="4" t="s">
        <v>3</v>
      </c>
      <c r="B35" s="4" t="s">
        <v>27</v>
      </c>
      <c r="C35" s="4" t="n">
        <v>0.156502928366517</v>
      </c>
      <c r="D35" s="4" t="n">
        <v>0.731029204923878</v>
      </c>
      <c r="E35" s="4" t="s">
        <v>100</v>
      </c>
      <c r="F35" s="4" t="n">
        <v>0.0257589560674307</v>
      </c>
      <c r="G35" s="4" t="n">
        <v>7</v>
      </c>
      <c r="H35" s="4" t="n">
        <v>2345</v>
      </c>
      <c r="I35" s="4" t="n">
        <v>2018</v>
      </c>
      <c r="J35" s="4" t="n">
        <v>6.5947242206235</v>
      </c>
      <c r="K35" s="4" t="n">
        <v>2030</v>
      </c>
      <c r="L35" s="4" t="n">
        <v>12</v>
      </c>
      <c r="M35" s="4" t="n">
        <v>11.6421725258102</v>
      </c>
      <c r="N35" s="4" t="n">
        <v>0</v>
      </c>
      <c r="O35" s="4" t="n">
        <v>27.0227009837655</v>
      </c>
    </row>
    <row r="36" customFormat="false" ht="15" hidden="false" customHeight="false" outlineLevel="0" collapsed="false">
      <c r="A36" s="4" t="s">
        <v>3</v>
      </c>
      <c r="B36" s="4" t="s">
        <v>27</v>
      </c>
      <c r="C36" s="4" t="n">
        <v>0.156502928366517</v>
      </c>
      <c r="D36" s="4" t="n">
        <v>0.731029204923878</v>
      </c>
      <c r="E36" s="4" t="s">
        <v>100</v>
      </c>
      <c r="F36" s="4" t="n">
        <v>0.0257589560674307</v>
      </c>
      <c r="G36" s="4" t="n">
        <v>7</v>
      </c>
      <c r="H36" s="4" t="n">
        <v>2345</v>
      </c>
      <c r="I36" s="4" t="n">
        <v>2018</v>
      </c>
      <c r="J36" s="4" t="n">
        <v>6.5947242206235</v>
      </c>
      <c r="K36" s="4" t="n">
        <v>2031</v>
      </c>
      <c r="L36" s="4" t="n">
        <v>13</v>
      </c>
      <c r="M36" s="4" t="n">
        <v>11.7986754541767</v>
      </c>
      <c r="N36" s="4" t="n">
        <v>0</v>
      </c>
      <c r="O36" s="4" t="n">
        <v>28.2652995210327</v>
      </c>
    </row>
    <row r="37" customFormat="false" ht="15" hidden="false" customHeight="false" outlineLevel="0" collapsed="false">
      <c r="A37" s="4" t="s">
        <v>3</v>
      </c>
      <c r="B37" s="4" t="s">
        <v>28</v>
      </c>
      <c r="C37" s="4" t="n">
        <v>4.06843788699575</v>
      </c>
      <c r="D37" s="4" t="n">
        <v>2.64049380466512E-005</v>
      </c>
      <c r="E37" s="4" t="s">
        <v>101</v>
      </c>
      <c r="F37" s="4" t="n">
        <v>0.75470691393708</v>
      </c>
      <c r="G37" s="4" t="n">
        <v>15</v>
      </c>
      <c r="H37" s="4" t="n">
        <v>486</v>
      </c>
      <c r="I37" s="4" t="n">
        <v>2016</v>
      </c>
      <c r="J37" s="4" t="n">
        <v>0</v>
      </c>
      <c r="K37" s="4" t="n">
        <v>2025</v>
      </c>
      <c r="L37" s="4" t="n">
        <v>9</v>
      </c>
      <c r="M37" s="4" t="n">
        <v>87.276539814472</v>
      </c>
      <c r="N37" s="4" t="n">
        <v>62.0930083441258</v>
      </c>
      <c r="O37" s="4" t="n">
        <v>100</v>
      </c>
    </row>
    <row r="38" customFormat="false" ht="15" hidden="false" customHeight="false" outlineLevel="0" collapsed="false">
      <c r="A38" s="4" t="s">
        <v>3</v>
      </c>
      <c r="B38" s="4" t="s">
        <v>28</v>
      </c>
      <c r="C38" s="4" t="n">
        <v>4.06843788699575</v>
      </c>
      <c r="D38" s="4" t="n">
        <v>2.64049380466512E-005</v>
      </c>
      <c r="E38" s="4" t="s">
        <v>101</v>
      </c>
      <c r="F38" s="4" t="n">
        <v>0.75470691393708</v>
      </c>
      <c r="G38" s="4" t="n">
        <v>15</v>
      </c>
      <c r="H38" s="4" t="n">
        <v>486</v>
      </c>
      <c r="I38" s="4" t="n">
        <v>2016</v>
      </c>
      <c r="J38" s="4" t="n">
        <v>0</v>
      </c>
      <c r="K38" s="4" t="n">
        <v>2026</v>
      </c>
      <c r="L38" s="4" t="n">
        <v>10</v>
      </c>
      <c r="M38" s="4" t="n">
        <v>91.3449777014675</v>
      </c>
      <c r="N38" s="4" t="n">
        <v>64.7942481968663</v>
      </c>
      <c r="O38" s="4" t="n">
        <v>100</v>
      </c>
    </row>
    <row r="39" customFormat="false" ht="15" hidden="false" customHeight="false" outlineLevel="0" collapsed="false">
      <c r="A39" s="4" t="s">
        <v>3</v>
      </c>
      <c r="B39" s="4" t="s">
        <v>28</v>
      </c>
      <c r="C39" s="4" t="n">
        <v>4.06843788699575</v>
      </c>
      <c r="D39" s="4" t="n">
        <v>2.64049380466512E-005</v>
      </c>
      <c r="E39" s="4" t="s">
        <v>101</v>
      </c>
      <c r="F39" s="4" t="n">
        <v>0.75470691393708</v>
      </c>
      <c r="G39" s="4" t="n">
        <v>15</v>
      </c>
      <c r="H39" s="4" t="n">
        <v>486</v>
      </c>
      <c r="I39" s="4" t="n">
        <v>2016</v>
      </c>
      <c r="J39" s="4" t="n">
        <v>0</v>
      </c>
      <c r="K39" s="4" t="n">
        <v>2027</v>
      </c>
      <c r="L39" s="4" t="n">
        <v>11</v>
      </c>
      <c r="M39" s="4" t="n">
        <v>95.4134155884631</v>
      </c>
      <c r="N39" s="4" t="n">
        <v>67.4932608700314</v>
      </c>
      <c r="O39" s="4" t="n">
        <v>100</v>
      </c>
    </row>
    <row r="40" customFormat="false" ht="15" hidden="false" customHeight="false" outlineLevel="0" collapsed="false">
      <c r="A40" s="4" t="s">
        <v>3</v>
      </c>
      <c r="B40" s="4" t="s">
        <v>28</v>
      </c>
      <c r="C40" s="4" t="n">
        <v>4.06843788699575</v>
      </c>
      <c r="D40" s="4" t="n">
        <v>2.64049380466512E-005</v>
      </c>
      <c r="E40" s="4" t="s">
        <v>101</v>
      </c>
      <c r="F40" s="4" t="n">
        <v>0.75470691393708</v>
      </c>
      <c r="G40" s="4" t="n">
        <v>15</v>
      </c>
      <c r="H40" s="4" t="n">
        <v>486</v>
      </c>
      <c r="I40" s="4" t="n">
        <v>2016</v>
      </c>
      <c r="J40" s="4" t="n">
        <v>0</v>
      </c>
      <c r="K40" s="4" t="n">
        <v>2028</v>
      </c>
      <c r="L40" s="4" t="n">
        <v>12</v>
      </c>
      <c r="M40" s="4" t="n">
        <v>99.4818534754604</v>
      </c>
      <c r="N40" s="4" t="n">
        <v>70.1903587348044</v>
      </c>
      <c r="O40" s="4" t="n">
        <v>100</v>
      </c>
    </row>
    <row r="41" customFormat="false" ht="15" hidden="false" customHeight="false" outlineLevel="0" collapsed="false">
      <c r="A41" s="4" t="s">
        <v>3</v>
      </c>
      <c r="B41" s="4" t="s">
        <v>28</v>
      </c>
      <c r="C41" s="4" t="n">
        <v>4.06843788699575</v>
      </c>
      <c r="D41" s="4" t="n">
        <v>2.64049380466512E-005</v>
      </c>
      <c r="E41" s="4" t="s">
        <v>101</v>
      </c>
      <c r="F41" s="4" t="n">
        <v>0.75470691393708</v>
      </c>
      <c r="G41" s="4" t="n">
        <v>15</v>
      </c>
      <c r="H41" s="4" t="n">
        <v>486</v>
      </c>
      <c r="I41" s="4" t="n">
        <v>2016</v>
      </c>
      <c r="J41" s="4" t="n">
        <v>0</v>
      </c>
      <c r="K41" s="4" t="n">
        <v>2029</v>
      </c>
      <c r="L41" s="4" t="n">
        <v>13</v>
      </c>
      <c r="M41" s="4" t="n">
        <v>100</v>
      </c>
      <c r="N41" s="4" t="n">
        <v>72.8857986852789</v>
      </c>
      <c r="O41" s="4" t="n">
        <v>100</v>
      </c>
    </row>
    <row r="42" customFormat="false" ht="15" hidden="false" customHeight="false" outlineLevel="0" collapsed="false">
      <c r="A42" s="4" t="s">
        <v>3</v>
      </c>
      <c r="B42" s="4" t="s">
        <v>28</v>
      </c>
      <c r="C42" s="4" t="n">
        <v>4.06843788699575</v>
      </c>
      <c r="D42" s="4" t="n">
        <v>2.64049380466512E-005</v>
      </c>
      <c r="E42" s="4" t="s">
        <v>101</v>
      </c>
      <c r="F42" s="4" t="n">
        <v>0.75470691393708</v>
      </c>
      <c r="G42" s="4" t="n">
        <v>15</v>
      </c>
      <c r="H42" s="4" t="n">
        <v>486</v>
      </c>
      <c r="I42" s="4" t="n">
        <v>2016</v>
      </c>
      <c r="J42" s="4" t="n">
        <v>0</v>
      </c>
      <c r="K42" s="4" t="n">
        <v>2030</v>
      </c>
      <c r="L42" s="4" t="n">
        <v>14</v>
      </c>
      <c r="M42" s="4" t="n">
        <v>100</v>
      </c>
      <c r="N42" s="4" t="n">
        <v>75.5797938657425</v>
      </c>
      <c r="O42" s="4" t="n">
        <v>100</v>
      </c>
    </row>
    <row r="43" customFormat="false" ht="15" hidden="false" customHeight="false" outlineLevel="0" collapsed="false">
      <c r="A43" s="4" t="s">
        <v>3</v>
      </c>
      <c r="B43" s="4" t="s">
        <v>28</v>
      </c>
      <c r="C43" s="4" t="n">
        <v>4.06843788699575</v>
      </c>
      <c r="D43" s="4" t="n">
        <v>2.64049380466512E-005</v>
      </c>
      <c r="E43" s="4" t="s">
        <v>101</v>
      </c>
      <c r="F43" s="4" t="n">
        <v>0.75470691393708</v>
      </c>
      <c r="G43" s="4" t="n">
        <v>15</v>
      </c>
      <c r="H43" s="4" t="n">
        <v>486</v>
      </c>
      <c r="I43" s="4" t="n">
        <v>2016</v>
      </c>
      <c r="J43" s="4" t="n">
        <v>0</v>
      </c>
      <c r="K43" s="4" t="n">
        <v>2031</v>
      </c>
      <c r="L43" s="4" t="n">
        <v>15</v>
      </c>
      <c r="M43" s="4" t="n">
        <v>100</v>
      </c>
      <c r="N43" s="4" t="n">
        <v>78.2725225586519</v>
      </c>
      <c r="O43" s="4" t="n">
        <v>100</v>
      </c>
    </row>
    <row r="44" customFormat="false" ht="15" hidden="false" customHeight="false" outlineLevel="0" collapsed="false">
      <c r="A44" s="4" t="s">
        <v>3</v>
      </c>
      <c r="B44" s="4" t="s">
        <v>30</v>
      </c>
      <c r="C44" s="4" t="n">
        <v>1.6055047853289</v>
      </c>
      <c r="D44" s="4" t="n">
        <v>0.00223368395176775</v>
      </c>
      <c r="E44" s="4" t="s">
        <v>101</v>
      </c>
      <c r="F44" s="4" t="n">
        <v>0.271418477333062</v>
      </c>
      <c r="G44" s="4" t="n">
        <v>32</v>
      </c>
      <c r="H44" s="4" t="n">
        <v>37826</v>
      </c>
      <c r="I44" s="4" t="n">
        <v>2024</v>
      </c>
      <c r="J44" s="4" t="n">
        <v>0</v>
      </c>
      <c r="K44" s="4" t="n">
        <v>2025</v>
      </c>
      <c r="L44" s="4" t="n">
        <v>1</v>
      </c>
      <c r="M44" s="4" t="n">
        <v>51.883106833885</v>
      </c>
      <c r="N44" s="4" t="n">
        <v>34.8113457551292</v>
      </c>
      <c r="O44" s="4" t="n">
        <v>68.9548679126408</v>
      </c>
    </row>
    <row r="45" customFormat="false" ht="15" hidden="false" customHeight="false" outlineLevel="0" collapsed="false">
      <c r="A45" s="4" t="s">
        <v>3</v>
      </c>
      <c r="B45" s="4" t="s">
        <v>30</v>
      </c>
      <c r="C45" s="4" t="n">
        <v>1.6055047853289</v>
      </c>
      <c r="D45" s="4" t="n">
        <v>0.00223368395176775</v>
      </c>
      <c r="E45" s="4" t="s">
        <v>101</v>
      </c>
      <c r="F45" s="4" t="n">
        <v>0.271418477333062</v>
      </c>
      <c r="G45" s="4" t="n">
        <v>32</v>
      </c>
      <c r="H45" s="4" t="n">
        <v>37826</v>
      </c>
      <c r="I45" s="4" t="n">
        <v>2024</v>
      </c>
      <c r="J45" s="4" t="n">
        <v>0</v>
      </c>
      <c r="K45" s="4" t="n">
        <v>2026</v>
      </c>
      <c r="L45" s="4" t="n">
        <v>2</v>
      </c>
      <c r="M45" s="4" t="n">
        <v>53.4886116192138</v>
      </c>
      <c r="N45" s="4" t="n">
        <v>35.48306667692</v>
      </c>
      <c r="O45" s="4" t="n">
        <v>71.4941565615075</v>
      </c>
    </row>
    <row r="46" customFormat="false" ht="15" hidden="false" customHeight="false" outlineLevel="0" collapsed="false">
      <c r="A46" s="4" t="s">
        <v>3</v>
      </c>
      <c r="B46" s="4" t="s">
        <v>30</v>
      </c>
      <c r="C46" s="4" t="n">
        <v>1.6055047853289</v>
      </c>
      <c r="D46" s="4" t="n">
        <v>0.00223368395176775</v>
      </c>
      <c r="E46" s="4" t="s">
        <v>101</v>
      </c>
      <c r="F46" s="4" t="n">
        <v>0.271418477333062</v>
      </c>
      <c r="G46" s="4" t="n">
        <v>32</v>
      </c>
      <c r="H46" s="4" t="n">
        <v>37826</v>
      </c>
      <c r="I46" s="4" t="n">
        <v>2024</v>
      </c>
      <c r="J46" s="4" t="n">
        <v>0</v>
      </c>
      <c r="K46" s="4" t="n">
        <v>2027</v>
      </c>
      <c r="L46" s="4" t="n">
        <v>3</v>
      </c>
      <c r="M46" s="4" t="n">
        <v>55.0941164045426</v>
      </c>
      <c r="N46" s="4" t="n">
        <v>36.1500344808211</v>
      </c>
      <c r="O46" s="4" t="n">
        <v>74.038198328264</v>
      </c>
    </row>
    <row r="47" customFormat="false" ht="15" hidden="false" customHeight="false" outlineLevel="0" collapsed="false">
      <c r="A47" s="4" t="s">
        <v>3</v>
      </c>
      <c r="B47" s="4" t="s">
        <v>30</v>
      </c>
      <c r="C47" s="4" t="n">
        <v>1.6055047853289</v>
      </c>
      <c r="D47" s="4" t="n">
        <v>0.00223368395176775</v>
      </c>
      <c r="E47" s="4" t="s">
        <v>101</v>
      </c>
      <c r="F47" s="4" t="n">
        <v>0.271418477333062</v>
      </c>
      <c r="G47" s="4" t="n">
        <v>32</v>
      </c>
      <c r="H47" s="4" t="n">
        <v>37826</v>
      </c>
      <c r="I47" s="4" t="n">
        <v>2024</v>
      </c>
      <c r="J47" s="4" t="n">
        <v>0</v>
      </c>
      <c r="K47" s="4" t="n">
        <v>2028</v>
      </c>
      <c r="L47" s="4" t="n">
        <v>4</v>
      </c>
      <c r="M47" s="4" t="n">
        <v>56.6996211898718</v>
      </c>
      <c r="N47" s="4" t="n">
        <v>36.812922114327</v>
      </c>
      <c r="O47" s="4" t="n">
        <v>76.5863202654166</v>
      </c>
    </row>
    <row r="48" customFormat="false" ht="15" hidden="false" customHeight="false" outlineLevel="0" collapsed="false">
      <c r="A48" s="4" t="s">
        <v>3</v>
      </c>
      <c r="B48" s="4" t="s">
        <v>30</v>
      </c>
      <c r="C48" s="4" t="n">
        <v>1.6055047853289</v>
      </c>
      <c r="D48" s="4" t="n">
        <v>0.00223368395176775</v>
      </c>
      <c r="E48" s="4" t="s">
        <v>101</v>
      </c>
      <c r="F48" s="4" t="n">
        <v>0.271418477333062</v>
      </c>
      <c r="G48" s="4" t="n">
        <v>32</v>
      </c>
      <c r="H48" s="4" t="n">
        <v>37826</v>
      </c>
      <c r="I48" s="4" t="n">
        <v>2024</v>
      </c>
      <c r="J48" s="4" t="n">
        <v>0</v>
      </c>
      <c r="K48" s="4" t="n">
        <v>2029</v>
      </c>
      <c r="L48" s="4" t="n">
        <v>5</v>
      </c>
      <c r="M48" s="4" t="n">
        <v>58.3051259752006</v>
      </c>
      <c r="N48" s="4" t="n">
        <v>37.4722834126804</v>
      </c>
      <c r="O48" s="4" t="n">
        <v>79.1379685377207</v>
      </c>
    </row>
    <row r="49" customFormat="false" ht="15" hidden="false" customHeight="false" outlineLevel="0" collapsed="false">
      <c r="A49" s="4" t="s">
        <v>3</v>
      </c>
      <c r="B49" s="4" t="s">
        <v>30</v>
      </c>
      <c r="C49" s="4" t="n">
        <v>1.6055047853289</v>
      </c>
      <c r="D49" s="4" t="n">
        <v>0.00223368395176775</v>
      </c>
      <c r="E49" s="4" t="s">
        <v>101</v>
      </c>
      <c r="F49" s="4" t="n">
        <v>0.271418477333062</v>
      </c>
      <c r="G49" s="4" t="n">
        <v>32</v>
      </c>
      <c r="H49" s="4" t="n">
        <v>37826</v>
      </c>
      <c r="I49" s="4" t="n">
        <v>2024</v>
      </c>
      <c r="J49" s="4" t="n">
        <v>0</v>
      </c>
      <c r="K49" s="4" t="n">
        <v>2030</v>
      </c>
      <c r="L49" s="4" t="n">
        <v>6</v>
      </c>
      <c r="M49" s="4" t="n">
        <v>59.9106307605293</v>
      </c>
      <c r="N49" s="4" t="n">
        <v>38.1285778895732</v>
      </c>
      <c r="O49" s="4" t="n">
        <v>81.6926836314855</v>
      </c>
    </row>
    <row r="50" customFormat="false" ht="15" hidden="false" customHeight="false" outlineLevel="0" collapsed="false">
      <c r="A50" s="4" t="s">
        <v>3</v>
      </c>
      <c r="B50" s="4" t="s">
        <v>30</v>
      </c>
      <c r="C50" s="4" t="n">
        <v>1.6055047853289</v>
      </c>
      <c r="D50" s="4" t="n">
        <v>0.00223368395176775</v>
      </c>
      <c r="E50" s="4" t="s">
        <v>101</v>
      </c>
      <c r="F50" s="4" t="n">
        <v>0.271418477333062</v>
      </c>
      <c r="G50" s="4" t="n">
        <v>32</v>
      </c>
      <c r="H50" s="4" t="n">
        <v>37826</v>
      </c>
      <c r="I50" s="4" t="n">
        <v>2024</v>
      </c>
      <c r="J50" s="4" t="n">
        <v>0</v>
      </c>
      <c r="K50" s="4" t="n">
        <v>2031</v>
      </c>
      <c r="L50" s="4" t="n">
        <v>7</v>
      </c>
      <c r="M50" s="4" t="n">
        <v>61.5161355458586</v>
      </c>
      <c r="N50" s="4" t="n">
        <v>38.7821896886965</v>
      </c>
      <c r="O50" s="4" t="n">
        <v>84.2500814030206</v>
      </c>
    </row>
    <row r="51" customFormat="false" ht="15" hidden="false" customHeight="false" outlineLevel="0" collapsed="false">
      <c r="A51" s="4" t="s">
        <v>3</v>
      </c>
      <c r="B51" s="4" t="s">
        <v>31</v>
      </c>
      <c r="C51" s="4" t="n">
        <v>0.185263156732504</v>
      </c>
      <c r="D51" s="4" t="n">
        <v>0.801880900443317</v>
      </c>
      <c r="E51" s="4" t="s">
        <v>100</v>
      </c>
      <c r="F51" s="4" t="n">
        <v>0.00659596923428174</v>
      </c>
      <c r="G51" s="4" t="n">
        <v>12</v>
      </c>
      <c r="H51" s="4" t="n">
        <v>2640</v>
      </c>
      <c r="I51" s="4" t="n">
        <v>2018</v>
      </c>
      <c r="J51" s="4" t="n">
        <v>46.0431654676259</v>
      </c>
      <c r="K51" s="4" t="n">
        <v>2025</v>
      </c>
      <c r="L51" s="4" t="n">
        <v>7</v>
      </c>
      <c r="M51" s="4" t="n">
        <v>47.728216894964</v>
      </c>
      <c r="N51" s="4" t="n">
        <v>31.6263924126104</v>
      </c>
      <c r="O51" s="4" t="n">
        <v>63.8300413773177</v>
      </c>
    </row>
    <row r="52" customFormat="false" ht="15" hidden="false" customHeight="false" outlineLevel="0" collapsed="false">
      <c r="A52" s="4" t="s">
        <v>3</v>
      </c>
      <c r="B52" s="4" t="s">
        <v>31</v>
      </c>
      <c r="C52" s="4" t="n">
        <v>0.185263156732504</v>
      </c>
      <c r="D52" s="4" t="n">
        <v>0.801880900443317</v>
      </c>
      <c r="E52" s="4" t="s">
        <v>100</v>
      </c>
      <c r="F52" s="4" t="n">
        <v>0.00659596923428174</v>
      </c>
      <c r="G52" s="4" t="n">
        <v>12</v>
      </c>
      <c r="H52" s="4" t="n">
        <v>2640</v>
      </c>
      <c r="I52" s="4" t="n">
        <v>2018</v>
      </c>
      <c r="J52" s="4" t="n">
        <v>46.0431654676259</v>
      </c>
      <c r="K52" s="4" t="n">
        <v>2026</v>
      </c>
      <c r="L52" s="4" t="n">
        <v>8</v>
      </c>
      <c r="M52" s="4" t="n">
        <v>47.9134800516965</v>
      </c>
      <c r="N52" s="4" t="n">
        <v>30.3028504094368</v>
      </c>
      <c r="O52" s="4" t="n">
        <v>65.5241096939562</v>
      </c>
    </row>
    <row r="53" customFormat="false" ht="15" hidden="false" customHeight="false" outlineLevel="0" collapsed="false">
      <c r="A53" s="4" t="s">
        <v>3</v>
      </c>
      <c r="B53" s="4" t="s">
        <v>31</v>
      </c>
      <c r="C53" s="4" t="n">
        <v>0.185263156732504</v>
      </c>
      <c r="D53" s="4" t="n">
        <v>0.801880900443317</v>
      </c>
      <c r="E53" s="4" t="s">
        <v>100</v>
      </c>
      <c r="F53" s="4" t="n">
        <v>0.00659596923428174</v>
      </c>
      <c r="G53" s="4" t="n">
        <v>12</v>
      </c>
      <c r="H53" s="4" t="n">
        <v>2640</v>
      </c>
      <c r="I53" s="4" t="n">
        <v>2018</v>
      </c>
      <c r="J53" s="4" t="n">
        <v>46.0431654676259</v>
      </c>
      <c r="K53" s="4" t="n">
        <v>2027</v>
      </c>
      <c r="L53" s="4" t="n">
        <v>9</v>
      </c>
      <c r="M53" s="4" t="n">
        <v>48.098743208429</v>
      </c>
      <c r="N53" s="4" t="n">
        <v>28.9641559220123</v>
      </c>
      <c r="O53" s="4" t="n">
        <v>67.2333304948458</v>
      </c>
    </row>
    <row r="54" customFormat="false" ht="15" hidden="false" customHeight="false" outlineLevel="0" collapsed="false">
      <c r="A54" s="4" t="s">
        <v>3</v>
      </c>
      <c r="B54" s="4" t="s">
        <v>31</v>
      </c>
      <c r="C54" s="4" t="n">
        <v>0.185263156732504</v>
      </c>
      <c r="D54" s="4" t="n">
        <v>0.801880900443317</v>
      </c>
      <c r="E54" s="4" t="s">
        <v>100</v>
      </c>
      <c r="F54" s="4" t="n">
        <v>0.00659596923428174</v>
      </c>
      <c r="G54" s="4" t="n">
        <v>12</v>
      </c>
      <c r="H54" s="4" t="n">
        <v>2640</v>
      </c>
      <c r="I54" s="4" t="n">
        <v>2018</v>
      </c>
      <c r="J54" s="4" t="n">
        <v>46.0431654676259</v>
      </c>
      <c r="K54" s="4" t="n">
        <v>2028</v>
      </c>
      <c r="L54" s="4" t="n">
        <v>10</v>
      </c>
      <c r="M54" s="4" t="n">
        <v>48.2840063651615</v>
      </c>
      <c r="N54" s="4" t="n">
        <v>27.613660109365</v>
      </c>
      <c r="O54" s="4" t="n">
        <v>68.9543526209581</v>
      </c>
    </row>
    <row r="55" customFormat="false" ht="15" hidden="false" customHeight="false" outlineLevel="0" collapsed="false">
      <c r="A55" s="4" t="s">
        <v>3</v>
      </c>
      <c r="B55" s="4" t="s">
        <v>31</v>
      </c>
      <c r="C55" s="4" t="n">
        <v>0.185263156732504</v>
      </c>
      <c r="D55" s="4" t="n">
        <v>0.801880900443317</v>
      </c>
      <c r="E55" s="4" t="s">
        <v>100</v>
      </c>
      <c r="F55" s="4" t="n">
        <v>0.00659596923428174</v>
      </c>
      <c r="G55" s="4" t="n">
        <v>12</v>
      </c>
      <c r="H55" s="4" t="n">
        <v>2640</v>
      </c>
      <c r="I55" s="4" t="n">
        <v>2018</v>
      </c>
      <c r="J55" s="4" t="n">
        <v>46.0431654676259</v>
      </c>
      <c r="K55" s="4" t="n">
        <v>2029</v>
      </c>
      <c r="L55" s="4" t="n">
        <v>11</v>
      </c>
      <c r="M55" s="4" t="n">
        <v>48.469269521894</v>
      </c>
      <c r="N55" s="4" t="n">
        <v>26.2538103203401</v>
      </c>
      <c r="O55" s="4" t="n">
        <v>70.684728723448</v>
      </c>
    </row>
    <row r="56" customFormat="false" ht="15" hidden="false" customHeight="false" outlineLevel="0" collapsed="false">
      <c r="A56" s="4" t="s">
        <v>3</v>
      </c>
      <c r="B56" s="4" t="s">
        <v>31</v>
      </c>
      <c r="C56" s="4" t="n">
        <v>0.185263156732504</v>
      </c>
      <c r="D56" s="4" t="n">
        <v>0.801880900443317</v>
      </c>
      <c r="E56" s="4" t="s">
        <v>100</v>
      </c>
      <c r="F56" s="4" t="n">
        <v>0.00659596923428174</v>
      </c>
      <c r="G56" s="4" t="n">
        <v>12</v>
      </c>
      <c r="H56" s="4" t="n">
        <v>2640</v>
      </c>
      <c r="I56" s="4" t="n">
        <v>2018</v>
      </c>
      <c r="J56" s="4" t="n">
        <v>46.0431654676259</v>
      </c>
      <c r="K56" s="4" t="n">
        <v>2030</v>
      </c>
      <c r="L56" s="4" t="n">
        <v>12</v>
      </c>
      <c r="M56" s="4" t="n">
        <v>48.6545326786265</v>
      </c>
      <c r="N56" s="4" t="n">
        <v>24.8864307303085</v>
      </c>
      <c r="O56" s="4" t="n">
        <v>72.4226346269446</v>
      </c>
    </row>
    <row r="57" customFormat="false" ht="15" hidden="false" customHeight="false" outlineLevel="0" collapsed="false">
      <c r="A57" s="4" t="s">
        <v>3</v>
      </c>
      <c r="B57" s="4" t="s">
        <v>31</v>
      </c>
      <c r="C57" s="4" t="n">
        <v>0.185263156732504</v>
      </c>
      <c r="D57" s="4" t="n">
        <v>0.801880900443317</v>
      </c>
      <c r="E57" s="4" t="s">
        <v>100</v>
      </c>
      <c r="F57" s="4" t="n">
        <v>0.00659596923428174</v>
      </c>
      <c r="G57" s="4" t="n">
        <v>12</v>
      </c>
      <c r="H57" s="4" t="n">
        <v>2640</v>
      </c>
      <c r="I57" s="4" t="n">
        <v>2018</v>
      </c>
      <c r="J57" s="4" t="n">
        <v>46.0431654676259</v>
      </c>
      <c r="K57" s="4" t="n">
        <v>2031</v>
      </c>
      <c r="L57" s="4" t="n">
        <v>13</v>
      </c>
      <c r="M57" s="4" t="n">
        <v>48.839795835359</v>
      </c>
      <c r="N57" s="4" t="n">
        <v>23.5129061249401</v>
      </c>
      <c r="O57" s="4" t="n">
        <v>74.166685545778</v>
      </c>
    </row>
    <row r="58" customFormat="false" ht="15" hidden="false" customHeight="false" outlineLevel="0" collapsed="false">
      <c r="A58" s="4" t="s">
        <v>3</v>
      </c>
      <c r="B58" s="4" t="s">
        <v>32</v>
      </c>
      <c r="C58" s="4" t="n">
        <v>0.70256089174954</v>
      </c>
      <c r="D58" s="4" t="n">
        <v>0.165110050192531</v>
      </c>
      <c r="E58" s="4" t="s">
        <v>100</v>
      </c>
      <c r="F58" s="4" t="n">
        <v>0.0612062932426748</v>
      </c>
      <c r="G58" s="4" t="n">
        <v>33</v>
      </c>
      <c r="H58" s="4" t="n">
        <v>40616</v>
      </c>
      <c r="I58" s="4" t="n">
        <v>2024</v>
      </c>
      <c r="J58" s="4" t="n">
        <v>0</v>
      </c>
      <c r="K58" s="4" t="n">
        <v>2025</v>
      </c>
      <c r="L58" s="4" t="n">
        <v>1</v>
      </c>
      <c r="M58" s="4" t="n">
        <v>54.6048376266344</v>
      </c>
      <c r="N58" s="4" t="n">
        <v>37.1039240598855</v>
      </c>
      <c r="O58" s="4" t="n">
        <v>72.1057511933833</v>
      </c>
    </row>
    <row r="59" customFormat="false" ht="15" hidden="false" customHeight="false" outlineLevel="0" collapsed="false">
      <c r="A59" s="4" t="s">
        <v>3</v>
      </c>
      <c r="B59" s="4" t="s">
        <v>32</v>
      </c>
      <c r="C59" s="4" t="n">
        <v>0.70256089174954</v>
      </c>
      <c r="D59" s="4" t="n">
        <v>0.165110050192531</v>
      </c>
      <c r="E59" s="4" t="s">
        <v>100</v>
      </c>
      <c r="F59" s="4" t="n">
        <v>0.0612062932426748</v>
      </c>
      <c r="G59" s="4" t="n">
        <v>33</v>
      </c>
      <c r="H59" s="4" t="n">
        <v>40616</v>
      </c>
      <c r="I59" s="4" t="n">
        <v>2024</v>
      </c>
      <c r="J59" s="4" t="n">
        <v>0</v>
      </c>
      <c r="K59" s="4" t="n">
        <v>2026</v>
      </c>
      <c r="L59" s="4" t="n">
        <v>2</v>
      </c>
      <c r="M59" s="4" t="n">
        <v>55.3073985183839</v>
      </c>
      <c r="N59" s="4" t="n">
        <v>36.8464429804485</v>
      </c>
      <c r="O59" s="4" t="n">
        <v>73.7683540563194</v>
      </c>
    </row>
    <row r="60" customFormat="false" ht="15" hidden="false" customHeight="false" outlineLevel="0" collapsed="false">
      <c r="A60" s="4" t="s">
        <v>3</v>
      </c>
      <c r="B60" s="4" t="s">
        <v>32</v>
      </c>
      <c r="C60" s="4" t="n">
        <v>0.70256089174954</v>
      </c>
      <c r="D60" s="4" t="n">
        <v>0.165110050192531</v>
      </c>
      <c r="E60" s="4" t="s">
        <v>100</v>
      </c>
      <c r="F60" s="4" t="n">
        <v>0.0612062932426748</v>
      </c>
      <c r="G60" s="4" t="n">
        <v>33</v>
      </c>
      <c r="H60" s="4" t="n">
        <v>40616</v>
      </c>
      <c r="I60" s="4" t="n">
        <v>2024</v>
      </c>
      <c r="J60" s="4" t="n">
        <v>0</v>
      </c>
      <c r="K60" s="4" t="n">
        <v>2027</v>
      </c>
      <c r="L60" s="4" t="n">
        <v>3</v>
      </c>
      <c r="M60" s="4" t="n">
        <v>56.0099594101334</v>
      </c>
      <c r="N60" s="4" t="n">
        <v>36.5841131912</v>
      </c>
      <c r="O60" s="4" t="n">
        <v>75.4358056290669</v>
      </c>
    </row>
    <row r="61" customFormat="false" ht="15" hidden="false" customHeight="false" outlineLevel="0" collapsed="false">
      <c r="A61" s="4" t="s">
        <v>3</v>
      </c>
      <c r="B61" s="4" t="s">
        <v>32</v>
      </c>
      <c r="C61" s="4" t="n">
        <v>0.70256089174954</v>
      </c>
      <c r="D61" s="4" t="n">
        <v>0.165110050192531</v>
      </c>
      <c r="E61" s="4" t="s">
        <v>100</v>
      </c>
      <c r="F61" s="4" t="n">
        <v>0.0612062932426748</v>
      </c>
      <c r="G61" s="4" t="n">
        <v>33</v>
      </c>
      <c r="H61" s="4" t="n">
        <v>40616</v>
      </c>
      <c r="I61" s="4" t="n">
        <v>2024</v>
      </c>
      <c r="J61" s="4" t="n">
        <v>0</v>
      </c>
      <c r="K61" s="4" t="n">
        <v>2028</v>
      </c>
      <c r="L61" s="4" t="n">
        <v>4</v>
      </c>
      <c r="M61" s="4" t="n">
        <v>56.7125203018829</v>
      </c>
      <c r="N61" s="4" t="n">
        <v>36.3176228636783</v>
      </c>
      <c r="O61" s="4" t="n">
        <v>77.1074177400876</v>
      </c>
    </row>
    <row r="62" customFormat="false" ht="15" hidden="false" customHeight="false" outlineLevel="0" collapsed="false">
      <c r="A62" s="4" t="s">
        <v>3</v>
      </c>
      <c r="B62" s="4" t="s">
        <v>32</v>
      </c>
      <c r="C62" s="4" t="n">
        <v>0.70256089174954</v>
      </c>
      <c r="D62" s="4" t="n">
        <v>0.165110050192531</v>
      </c>
      <c r="E62" s="4" t="s">
        <v>100</v>
      </c>
      <c r="F62" s="4" t="n">
        <v>0.0612062932426748</v>
      </c>
      <c r="G62" s="4" t="n">
        <v>33</v>
      </c>
      <c r="H62" s="4" t="n">
        <v>40616</v>
      </c>
      <c r="I62" s="4" t="n">
        <v>2024</v>
      </c>
      <c r="J62" s="4" t="n">
        <v>0</v>
      </c>
      <c r="K62" s="4" t="n">
        <v>2029</v>
      </c>
      <c r="L62" s="4" t="n">
        <v>5</v>
      </c>
      <c r="M62" s="4" t="n">
        <v>57.4150811936327</v>
      </c>
      <c r="N62" s="4" t="n">
        <v>36.0475380509746</v>
      </c>
      <c r="O62" s="4" t="n">
        <v>78.7826243362907</v>
      </c>
    </row>
    <row r="63" customFormat="false" ht="15" hidden="false" customHeight="false" outlineLevel="0" collapsed="false">
      <c r="A63" s="4" t="s">
        <v>3</v>
      </c>
      <c r="B63" s="4" t="s">
        <v>32</v>
      </c>
      <c r="C63" s="4" t="n">
        <v>0.70256089174954</v>
      </c>
      <c r="D63" s="4" t="n">
        <v>0.165110050192531</v>
      </c>
      <c r="E63" s="4" t="s">
        <v>100</v>
      </c>
      <c r="F63" s="4" t="n">
        <v>0.0612062932426748</v>
      </c>
      <c r="G63" s="4" t="n">
        <v>33</v>
      </c>
      <c r="H63" s="4" t="n">
        <v>40616</v>
      </c>
      <c r="I63" s="4" t="n">
        <v>2024</v>
      </c>
      <c r="J63" s="4" t="n">
        <v>0</v>
      </c>
      <c r="K63" s="4" t="n">
        <v>2030</v>
      </c>
      <c r="L63" s="4" t="n">
        <v>6</v>
      </c>
      <c r="M63" s="4" t="n">
        <v>58.1176420853822</v>
      </c>
      <c r="N63" s="4" t="n">
        <v>35.7743281718862</v>
      </c>
      <c r="O63" s="4" t="n">
        <v>80.4609559988782</v>
      </c>
    </row>
    <row r="64" customFormat="false" ht="15" hidden="false" customHeight="false" outlineLevel="0" collapsed="false">
      <c r="A64" s="4" t="s">
        <v>3</v>
      </c>
      <c r="B64" s="4" t="s">
        <v>32</v>
      </c>
      <c r="C64" s="4" t="n">
        <v>0.70256089174954</v>
      </c>
      <c r="D64" s="4" t="n">
        <v>0.165110050192531</v>
      </c>
      <c r="E64" s="4" t="s">
        <v>100</v>
      </c>
      <c r="F64" s="4" t="n">
        <v>0.0612062932426748</v>
      </c>
      <c r="G64" s="4" t="n">
        <v>33</v>
      </c>
      <c r="H64" s="4" t="n">
        <v>40616</v>
      </c>
      <c r="I64" s="4" t="n">
        <v>2024</v>
      </c>
      <c r="J64" s="4" t="n">
        <v>0</v>
      </c>
      <c r="K64" s="4" t="n">
        <v>2031</v>
      </c>
      <c r="L64" s="4" t="n">
        <v>7</v>
      </c>
      <c r="M64" s="4" t="n">
        <v>58.8202029771317</v>
      </c>
      <c r="N64" s="4" t="n">
        <v>35.4983854757893</v>
      </c>
      <c r="O64" s="4" t="n">
        <v>82.1420204784741</v>
      </c>
    </row>
    <row r="65" customFormat="false" ht="15" hidden="false" customHeight="false" outlineLevel="0" collapsed="false">
      <c r="A65" s="4" t="s">
        <v>3</v>
      </c>
      <c r="B65" s="4" t="s">
        <v>33</v>
      </c>
      <c r="C65" s="4" t="n">
        <v>-0.618968517060218</v>
      </c>
      <c r="D65" s="4" t="n">
        <v>0.329370734154695</v>
      </c>
      <c r="E65" s="4" t="s">
        <v>100</v>
      </c>
      <c r="F65" s="4" t="n">
        <v>0.047597119424116</v>
      </c>
      <c r="G65" s="4" t="n">
        <v>22</v>
      </c>
      <c r="H65" s="4" t="n">
        <v>3812</v>
      </c>
      <c r="I65" s="4" t="n">
        <v>2021</v>
      </c>
      <c r="J65" s="4" t="n">
        <v>0</v>
      </c>
      <c r="K65" s="4" t="n">
        <v>2025</v>
      </c>
      <c r="L65" s="4" t="n">
        <v>4</v>
      </c>
      <c r="M65" s="4" t="n">
        <v>10.1385381751493</v>
      </c>
      <c r="N65" s="4" t="n">
        <v>0</v>
      </c>
      <c r="O65" s="4" t="n">
        <v>25.75005376268</v>
      </c>
    </row>
    <row r="66" customFormat="false" ht="15" hidden="false" customHeight="false" outlineLevel="0" collapsed="false">
      <c r="A66" s="4" t="s">
        <v>3</v>
      </c>
      <c r="B66" s="4" t="s">
        <v>33</v>
      </c>
      <c r="C66" s="4" t="n">
        <v>-0.618968517060218</v>
      </c>
      <c r="D66" s="4" t="n">
        <v>0.329370734154695</v>
      </c>
      <c r="E66" s="4" t="s">
        <v>100</v>
      </c>
      <c r="F66" s="4" t="n">
        <v>0.047597119424116</v>
      </c>
      <c r="G66" s="4" t="n">
        <v>22</v>
      </c>
      <c r="H66" s="4" t="n">
        <v>3812</v>
      </c>
      <c r="I66" s="4" t="n">
        <v>2021</v>
      </c>
      <c r="J66" s="4" t="n">
        <v>0</v>
      </c>
      <c r="K66" s="4" t="n">
        <v>2026</v>
      </c>
      <c r="L66" s="4" t="n">
        <v>5</v>
      </c>
      <c r="M66" s="4" t="n">
        <v>9.51956965808904</v>
      </c>
      <c r="N66" s="4" t="n">
        <v>0</v>
      </c>
      <c r="O66" s="4" t="n">
        <v>26.3399357448203</v>
      </c>
    </row>
    <row r="67" customFormat="false" ht="15" hidden="false" customHeight="false" outlineLevel="0" collapsed="false">
      <c r="A67" s="4" t="s">
        <v>3</v>
      </c>
      <c r="B67" s="4" t="s">
        <v>33</v>
      </c>
      <c r="C67" s="4" t="n">
        <v>-0.618968517060218</v>
      </c>
      <c r="D67" s="4" t="n">
        <v>0.329370734154695</v>
      </c>
      <c r="E67" s="4" t="s">
        <v>100</v>
      </c>
      <c r="F67" s="4" t="n">
        <v>0.047597119424116</v>
      </c>
      <c r="G67" s="4" t="n">
        <v>22</v>
      </c>
      <c r="H67" s="4" t="n">
        <v>3812</v>
      </c>
      <c r="I67" s="4" t="n">
        <v>2021</v>
      </c>
      <c r="J67" s="4" t="n">
        <v>0</v>
      </c>
      <c r="K67" s="4" t="n">
        <v>2027</v>
      </c>
      <c r="L67" s="4" t="n">
        <v>6</v>
      </c>
      <c r="M67" s="4" t="n">
        <v>8.9006011410288</v>
      </c>
      <c r="N67" s="4" t="n">
        <v>0</v>
      </c>
      <c r="O67" s="4" t="n">
        <v>26.9412701677534</v>
      </c>
    </row>
    <row r="68" customFormat="false" ht="15" hidden="false" customHeight="false" outlineLevel="0" collapsed="false">
      <c r="A68" s="4" t="s">
        <v>3</v>
      </c>
      <c r="B68" s="4" t="s">
        <v>33</v>
      </c>
      <c r="C68" s="4" t="n">
        <v>-0.618968517060218</v>
      </c>
      <c r="D68" s="4" t="n">
        <v>0.329370734154695</v>
      </c>
      <c r="E68" s="4" t="s">
        <v>100</v>
      </c>
      <c r="F68" s="4" t="n">
        <v>0.047597119424116</v>
      </c>
      <c r="G68" s="4" t="n">
        <v>22</v>
      </c>
      <c r="H68" s="4" t="n">
        <v>3812</v>
      </c>
      <c r="I68" s="4" t="n">
        <v>2021</v>
      </c>
      <c r="J68" s="4" t="n">
        <v>0</v>
      </c>
      <c r="K68" s="4" t="n">
        <v>2028</v>
      </c>
      <c r="L68" s="4" t="n">
        <v>7</v>
      </c>
      <c r="M68" s="4" t="n">
        <v>8.28163262396856</v>
      </c>
      <c r="N68" s="4" t="n">
        <v>0</v>
      </c>
      <c r="O68" s="4" t="n">
        <v>27.5518814511163</v>
      </c>
    </row>
    <row r="69" customFormat="false" ht="15" hidden="false" customHeight="false" outlineLevel="0" collapsed="false">
      <c r="A69" s="4" t="s">
        <v>3</v>
      </c>
      <c r="B69" s="4" t="s">
        <v>33</v>
      </c>
      <c r="C69" s="4" t="n">
        <v>-0.618968517060218</v>
      </c>
      <c r="D69" s="4" t="n">
        <v>0.329370734154695</v>
      </c>
      <c r="E69" s="4" t="s">
        <v>100</v>
      </c>
      <c r="F69" s="4" t="n">
        <v>0.047597119424116</v>
      </c>
      <c r="G69" s="4" t="n">
        <v>22</v>
      </c>
      <c r="H69" s="4" t="n">
        <v>3812</v>
      </c>
      <c r="I69" s="4" t="n">
        <v>2021</v>
      </c>
      <c r="J69" s="4" t="n">
        <v>0</v>
      </c>
      <c r="K69" s="4" t="n">
        <v>2029</v>
      </c>
      <c r="L69" s="4" t="n">
        <v>8</v>
      </c>
      <c r="M69" s="4" t="n">
        <v>7.66266410690832</v>
      </c>
      <c r="N69" s="4" t="n">
        <v>0</v>
      </c>
      <c r="O69" s="4" t="n">
        <v>28.1701010037211</v>
      </c>
    </row>
    <row r="70" customFormat="false" ht="15" hidden="false" customHeight="false" outlineLevel="0" collapsed="false">
      <c r="A70" s="4" t="s">
        <v>3</v>
      </c>
      <c r="B70" s="4" t="s">
        <v>33</v>
      </c>
      <c r="C70" s="4" t="n">
        <v>-0.618968517060218</v>
      </c>
      <c r="D70" s="4" t="n">
        <v>0.329370734154695</v>
      </c>
      <c r="E70" s="4" t="s">
        <v>100</v>
      </c>
      <c r="F70" s="4" t="n">
        <v>0.047597119424116</v>
      </c>
      <c r="G70" s="4" t="n">
        <v>22</v>
      </c>
      <c r="H70" s="4" t="n">
        <v>3812</v>
      </c>
      <c r="I70" s="4" t="n">
        <v>2021</v>
      </c>
      <c r="J70" s="4" t="n">
        <v>0</v>
      </c>
      <c r="K70" s="4" t="n">
        <v>2030</v>
      </c>
      <c r="L70" s="4" t="n">
        <v>9</v>
      </c>
      <c r="M70" s="4" t="n">
        <v>7.04369558984809</v>
      </c>
      <c r="N70" s="4" t="n">
        <v>0</v>
      </c>
      <c r="O70" s="4" t="n">
        <v>28.7946305946139</v>
      </c>
    </row>
    <row r="71" customFormat="false" ht="15" hidden="false" customHeight="false" outlineLevel="0" collapsed="false">
      <c r="A71" s="4" t="s">
        <v>3</v>
      </c>
      <c r="B71" s="4" t="s">
        <v>33</v>
      </c>
      <c r="C71" s="4" t="n">
        <v>-0.618968517060218</v>
      </c>
      <c r="D71" s="4" t="n">
        <v>0.329370734154695</v>
      </c>
      <c r="E71" s="4" t="s">
        <v>100</v>
      </c>
      <c r="F71" s="4" t="n">
        <v>0.047597119424116</v>
      </c>
      <c r="G71" s="4" t="n">
        <v>22</v>
      </c>
      <c r="H71" s="4" t="n">
        <v>3812</v>
      </c>
      <c r="I71" s="4" t="n">
        <v>2021</v>
      </c>
      <c r="J71" s="4" t="n">
        <v>0</v>
      </c>
      <c r="K71" s="4" t="n">
        <v>2031</v>
      </c>
      <c r="L71" s="4" t="n">
        <v>10</v>
      </c>
      <c r="M71" s="4" t="n">
        <v>6.42472707278785</v>
      </c>
      <c r="N71" s="4" t="n">
        <v>0</v>
      </c>
      <c r="O71" s="4" t="n">
        <v>29.4244467748743</v>
      </c>
    </row>
    <row r="72" customFormat="false" ht="15" hidden="false" customHeight="false" outlineLevel="0" collapsed="false">
      <c r="A72" s="4" t="s">
        <v>3</v>
      </c>
      <c r="B72" s="4" t="s">
        <v>36</v>
      </c>
      <c r="C72" s="4" t="n">
        <v>1.23336423546263</v>
      </c>
      <c r="D72" s="4" t="n">
        <v>0.00129387433463358</v>
      </c>
      <c r="E72" s="4" t="s">
        <v>101</v>
      </c>
      <c r="F72" s="4" t="n">
        <v>0.396056395334208</v>
      </c>
      <c r="G72" s="4" t="n">
        <v>23</v>
      </c>
      <c r="H72" s="4" t="n">
        <v>3319</v>
      </c>
      <c r="I72" s="4" t="n">
        <v>2021</v>
      </c>
      <c r="J72" s="4" t="n">
        <v>0</v>
      </c>
      <c r="K72" s="4" t="n">
        <v>2025</v>
      </c>
      <c r="L72" s="4" t="n">
        <v>4</v>
      </c>
      <c r="M72" s="4" t="n">
        <v>51.6427867556486</v>
      </c>
      <c r="N72" s="4" t="n">
        <v>43.2663588176982</v>
      </c>
      <c r="O72" s="4" t="n">
        <v>60.0192146935989</v>
      </c>
    </row>
    <row r="73" customFormat="false" ht="15" hidden="false" customHeight="false" outlineLevel="0" collapsed="false">
      <c r="A73" s="4" t="s">
        <v>3</v>
      </c>
      <c r="B73" s="4" t="s">
        <v>36</v>
      </c>
      <c r="C73" s="4" t="n">
        <v>1.23336423546263</v>
      </c>
      <c r="D73" s="4" t="n">
        <v>0.00129387433463358</v>
      </c>
      <c r="E73" s="4" t="s">
        <v>101</v>
      </c>
      <c r="F73" s="4" t="n">
        <v>0.396056395334208</v>
      </c>
      <c r="G73" s="4" t="n">
        <v>23</v>
      </c>
      <c r="H73" s="4" t="n">
        <v>3319</v>
      </c>
      <c r="I73" s="4" t="n">
        <v>2021</v>
      </c>
      <c r="J73" s="4" t="n">
        <v>0</v>
      </c>
      <c r="K73" s="4" t="n">
        <v>2026</v>
      </c>
      <c r="L73" s="4" t="n">
        <v>5</v>
      </c>
      <c r="M73" s="4" t="n">
        <v>52.876150991111</v>
      </c>
      <c r="N73" s="4" t="n">
        <v>43.8602855436339</v>
      </c>
      <c r="O73" s="4" t="n">
        <v>61.8920164385881</v>
      </c>
    </row>
    <row r="74" customFormat="false" ht="15" hidden="false" customHeight="false" outlineLevel="0" collapsed="false">
      <c r="A74" s="4" t="s">
        <v>3</v>
      </c>
      <c r="B74" s="4" t="s">
        <v>36</v>
      </c>
      <c r="C74" s="4" t="n">
        <v>1.23336423546263</v>
      </c>
      <c r="D74" s="4" t="n">
        <v>0.00129387433463358</v>
      </c>
      <c r="E74" s="4" t="s">
        <v>101</v>
      </c>
      <c r="F74" s="4" t="n">
        <v>0.396056395334208</v>
      </c>
      <c r="G74" s="4" t="n">
        <v>23</v>
      </c>
      <c r="H74" s="4" t="n">
        <v>3319</v>
      </c>
      <c r="I74" s="4" t="n">
        <v>2021</v>
      </c>
      <c r="J74" s="4" t="n">
        <v>0</v>
      </c>
      <c r="K74" s="4" t="n">
        <v>2027</v>
      </c>
      <c r="L74" s="4" t="n">
        <v>6</v>
      </c>
      <c r="M74" s="4" t="n">
        <v>54.1095152265739</v>
      </c>
      <c r="N74" s="4" t="n">
        <v>44.447085772158</v>
      </c>
      <c r="O74" s="4" t="n">
        <v>63.7719446809898</v>
      </c>
    </row>
    <row r="75" customFormat="false" ht="15" hidden="false" customHeight="false" outlineLevel="0" collapsed="false">
      <c r="A75" s="4" t="s">
        <v>3</v>
      </c>
      <c r="B75" s="4" t="s">
        <v>36</v>
      </c>
      <c r="C75" s="4" t="n">
        <v>1.23336423546263</v>
      </c>
      <c r="D75" s="4" t="n">
        <v>0.00129387433463358</v>
      </c>
      <c r="E75" s="4" t="s">
        <v>101</v>
      </c>
      <c r="F75" s="4" t="n">
        <v>0.396056395334208</v>
      </c>
      <c r="G75" s="4" t="n">
        <v>23</v>
      </c>
      <c r="H75" s="4" t="n">
        <v>3319</v>
      </c>
      <c r="I75" s="4" t="n">
        <v>2021</v>
      </c>
      <c r="J75" s="4" t="n">
        <v>0</v>
      </c>
      <c r="K75" s="4" t="n">
        <v>2028</v>
      </c>
      <c r="L75" s="4" t="n">
        <v>7</v>
      </c>
      <c r="M75" s="4" t="n">
        <v>55.3428794620363</v>
      </c>
      <c r="N75" s="4" t="n">
        <v>45.0280995524441</v>
      </c>
      <c r="O75" s="4" t="n">
        <v>65.6576593716285</v>
      </c>
    </row>
    <row r="76" customFormat="false" ht="15" hidden="false" customHeight="false" outlineLevel="0" collapsed="false">
      <c r="A76" s="4" t="s">
        <v>3</v>
      </c>
      <c r="B76" s="4" t="s">
        <v>36</v>
      </c>
      <c r="C76" s="4" t="n">
        <v>1.23336423546263</v>
      </c>
      <c r="D76" s="4" t="n">
        <v>0.00129387433463358</v>
      </c>
      <c r="E76" s="4" t="s">
        <v>101</v>
      </c>
      <c r="F76" s="4" t="n">
        <v>0.396056395334208</v>
      </c>
      <c r="G76" s="4" t="n">
        <v>23</v>
      </c>
      <c r="H76" s="4" t="n">
        <v>3319</v>
      </c>
      <c r="I76" s="4" t="n">
        <v>2021</v>
      </c>
      <c r="J76" s="4" t="n">
        <v>0</v>
      </c>
      <c r="K76" s="4" t="n">
        <v>2029</v>
      </c>
      <c r="L76" s="4" t="n">
        <v>8</v>
      </c>
      <c r="M76" s="4" t="n">
        <v>56.5762436974992</v>
      </c>
      <c r="N76" s="4" t="n">
        <v>45.6043589627643</v>
      </c>
      <c r="O76" s="4" t="n">
        <v>67.5481284322341</v>
      </c>
    </row>
    <row r="77" customFormat="false" ht="15" hidden="false" customHeight="false" outlineLevel="0" collapsed="false">
      <c r="A77" s="4" t="s">
        <v>3</v>
      </c>
      <c r="B77" s="4" t="s">
        <v>36</v>
      </c>
      <c r="C77" s="4" t="n">
        <v>1.23336423546263</v>
      </c>
      <c r="D77" s="4" t="n">
        <v>0.00129387433463358</v>
      </c>
      <c r="E77" s="4" t="s">
        <v>101</v>
      </c>
      <c r="F77" s="4" t="n">
        <v>0.396056395334208</v>
      </c>
      <c r="G77" s="4" t="n">
        <v>23</v>
      </c>
      <c r="H77" s="4" t="n">
        <v>3319</v>
      </c>
      <c r="I77" s="4" t="n">
        <v>2021</v>
      </c>
      <c r="J77" s="4" t="n">
        <v>0</v>
      </c>
      <c r="K77" s="4" t="n">
        <v>2030</v>
      </c>
      <c r="L77" s="4" t="n">
        <v>9</v>
      </c>
      <c r="M77" s="4" t="n">
        <v>57.8096079329616</v>
      </c>
      <c r="N77" s="4" t="n">
        <v>46.176669649428</v>
      </c>
      <c r="O77" s="4" t="n">
        <v>69.4425462164953</v>
      </c>
    </row>
    <row r="78" customFormat="false" ht="15" hidden="false" customHeight="false" outlineLevel="0" collapsed="false">
      <c r="A78" s="4" t="s">
        <v>3</v>
      </c>
      <c r="B78" s="4" t="s">
        <v>36</v>
      </c>
      <c r="C78" s="4" t="n">
        <v>1.23336423546263</v>
      </c>
      <c r="D78" s="4" t="n">
        <v>0.00129387433463358</v>
      </c>
      <c r="E78" s="4" t="s">
        <v>101</v>
      </c>
      <c r="F78" s="4" t="n">
        <v>0.396056395334208</v>
      </c>
      <c r="G78" s="4" t="n">
        <v>23</v>
      </c>
      <c r="H78" s="4" t="n">
        <v>3319</v>
      </c>
      <c r="I78" s="4" t="n">
        <v>2021</v>
      </c>
      <c r="J78" s="4" t="n">
        <v>0</v>
      </c>
      <c r="K78" s="4" t="n">
        <v>2031</v>
      </c>
      <c r="L78" s="4" t="n">
        <v>10</v>
      </c>
      <c r="M78" s="4" t="n">
        <v>59.0429721684241</v>
      </c>
      <c r="N78" s="4" t="n">
        <v>46.7456683984136</v>
      </c>
      <c r="O78" s="4" t="n">
        <v>71.3402759384345</v>
      </c>
    </row>
    <row r="79" customFormat="false" ht="15" hidden="false" customHeight="false" outlineLevel="0" collapsed="false">
      <c r="A79" s="4" t="s">
        <v>3</v>
      </c>
      <c r="B79" s="4" t="s">
        <v>37</v>
      </c>
      <c r="C79" s="4" t="n">
        <v>23.9319124312897</v>
      </c>
      <c r="D79" s="4" t="n">
        <v>0.00317760543667715</v>
      </c>
      <c r="E79" s="4" t="s">
        <v>101</v>
      </c>
      <c r="F79" s="4" t="n">
        <v>0.962022531476606</v>
      </c>
      <c r="G79" s="4" t="n">
        <v>5</v>
      </c>
      <c r="H79" s="4" t="n">
        <v>164</v>
      </c>
      <c r="I79" s="4" t="n">
        <v>2012</v>
      </c>
      <c r="J79" s="4" t="n">
        <v>80</v>
      </c>
      <c r="K79" s="4" t="n">
        <v>2025</v>
      </c>
      <c r="L79" s="4" t="n">
        <v>13</v>
      </c>
      <c r="M79" s="4" t="n">
        <v>100</v>
      </c>
      <c r="N79" s="4" t="n">
        <v>100</v>
      </c>
      <c r="O79" s="4" t="n">
        <v>100</v>
      </c>
    </row>
    <row r="80" customFormat="false" ht="15" hidden="false" customHeight="false" outlineLevel="0" collapsed="false">
      <c r="A80" s="4" t="s">
        <v>3</v>
      </c>
      <c r="B80" s="4" t="s">
        <v>37</v>
      </c>
      <c r="C80" s="4" t="n">
        <v>23.9319124312897</v>
      </c>
      <c r="D80" s="4" t="n">
        <v>0.00317760543667715</v>
      </c>
      <c r="E80" s="4" t="s">
        <v>101</v>
      </c>
      <c r="F80" s="4" t="n">
        <v>0.962022531476606</v>
      </c>
      <c r="G80" s="4" t="n">
        <v>5</v>
      </c>
      <c r="H80" s="4" t="n">
        <v>164</v>
      </c>
      <c r="I80" s="4" t="n">
        <v>2012</v>
      </c>
      <c r="J80" s="4" t="n">
        <v>80</v>
      </c>
      <c r="K80" s="4" t="n">
        <v>2026</v>
      </c>
      <c r="L80" s="4" t="n">
        <v>14</v>
      </c>
      <c r="M80" s="4" t="n">
        <v>100</v>
      </c>
      <c r="N80" s="4" t="n">
        <v>100</v>
      </c>
      <c r="O80" s="4" t="n">
        <v>100</v>
      </c>
    </row>
    <row r="81" customFormat="false" ht="15" hidden="false" customHeight="false" outlineLevel="0" collapsed="false">
      <c r="A81" s="4" t="s">
        <v>3</v>
      </c>
      <c r="B81" s="4" t="s">
        <v>37</v>
      </c>
      <c r="C81" s="4" t="n">
        <v>23.9319124312897</v>
      </c>
      <c r="D81" s="4" t="n">
        <v>0.00317760543667715</v>
      </c>
      <c r="E81" s="4" t="s">
        <v>101</v>
      </c>
      <c r="F81" s="4" t="n">
        <v>0.962022531476606</v>
      </c>
      <c r="G81" s="4" t="n">
        <v>5</v>
      </c>
      <c r="H81" s="4" t="n">
        <v>164</v>
      </c>
      <c r="I81" s="4" t="n">
        <v>2012</v>
      </c>
      <c r="J81" s="4" t="n">
        <v>80</v>
      </c>
      <c r="K81" s="4" t="n">
        <v>2027</v>
      </c>
      <c r="L81" s="4" t="n">
        <v>15</v>
      </c>
      <c r="M81" s="4" t="n">
        <v>100</v>
      </c>
      <c r="N81" s="4" t="n">
        <v>100</v>
      </c>
      <c r="O81" s="4" t="n">
        <v>100</v>
      </c>
    </row>
    <row r="82" customFormat="false" ht="15" hidden="false" customHeight="false" outlineLevel="0" collapsed="false">
      <c r="A82" s="4" t="s">
        <v>3</v>
      </c>
      <c r="B82" s="4" t="s">
        <v>37</v>
      </c>
      <c r="C82" s="4" t="n">
        <v>23.9319124312897</v>
      </c>
      <c r="D82" s="4" t="n">
        <v>0.00317760543667715</v>
      </c>
      <c r="E82" s="4" t="s">
        <v>101</v>
      </c>
      <c r="F82" s="4" t="n">
        <v>0.962022531476606</v>
      </c>
      <c r="G82" s="4" t="n">
        <v>5</v>
      </c>
      <c r="H82" s="4" t="n">
        <v>164</v>
      </c>
      <c r="I82" s="4" t="n">
        <v>2012</v>
      </c>
      <c r="J82" s="4" t="n">
        <v>80</v>
      </c>
      <c r="K82" s="4" t="n">
        <v>2028</v>
      </c>
      <c r="L82" s="4" t="n">
        <v>16</v>
      </c>
      <c r="M82" s="4" t="n">
        <v>100</v>
      </c>
      <c r="N82" s="4" t="n">
        <v>100</v>
      </c>
      <c r="O82" s="4" t="n">
        <v>100</v>
      </c>
    </row>
    <row r="83" customFormat="false" ht="15" hidden="false" customHeight="false" outlineLevel="0" collapsed="false">
      <c r="A83" s="4" t="s">
        <v>3</v>
      </c>
      <c r="B83" s="4" t="s">
        <v>37</v>
      </c>
      <c r="C83" s="4" t="n">
        <v>23.9319124312897</v>
      </c>
      <c r="D83" s="4" t="n">
        <v>0.00317760543667715</v>
      </c>
      <c r="E83" s="4" t="s">
        <v>101</v>
      </c>
      <c r="F83" s="4" t="n">
        <v>0.962022531476606</v>
      </c>
      <c r="G83" s="4" t="n">
        <v>5</v>
      </c>
      <c r="H83" s="4" t="n">
        <v>164</v>
      </c>
      <c r="I83" s="4" t="n">
        <v>2012</v>
      </c>
      <c r="J83" s="4" t="n">
        <v>80</v>
      </c>
      <c r="K83" s="4" t="n">
        <v>2029</v>
      </c>
      <c r="L83" s="4" t="n">
        <v>17</v>
      </c>
      <c r="M83" s="4" t="n">
        <v>100</v>
      </c>
      <c r="N83" s="4" t="n">
        <v>100</v>
      </c>
      <c r="O83" s="4" t="n">
        <v>100</v>
      </c>
    </row>
    <row r="84" customFormat="false" ht="15" hidden="false" customHeight="false" outlineLevel="0" collapsed="false">
      <c r="A84" s="4" t="s">
        <v>3</v>
      </c>
      <c r="B84" s="4" t="s">
        <v>37</v>
      </c>
      <c r="C84" s="4" t="n">
        <v>23.9319124312897</v>
      </c>
      <c r="D84" s="4" t="n">
        <v>0.00317760543667715</v>
      </c>
      <c r="E84" s="4" t="s">
        <v>101</v>
      </c>
      <c r="F84" s="4" t="n">
        <v>0.962022531476606</v>
      </c>
      <c r="G84" s="4" t="n">
        <v>5</v>
      </c>
      <c r="H84" s="4" t="n">
        <v>164</v>
      </c>
      <c r="I84" s="4" t="n">
        <v>2012</v>
      </c>
      <c r="J84" s="4" t="n">
        <v>80</v>
      </c>
      <c r="K84" s="4" t="n">
        <v>2030</v>
      </c>
      <c r="L84" s="4" t="n">
        <v>18</v>
      </c>
      <c r="M84" s="4" t="n">
        <v>100</v>
      </c>
      <c r="N84" s="4" t="n">
        <v>100</v>
      </c>
      <c r="O84" s="4" t="n">
        <v>100</v>
      </c>
    </row>
    <row r="85" customFormat="false" ht="15" hidden="false" customHeight="false" outlineLevel="0" collapsed="false">
      <c r="A85" s="4" t="s">
        <v>3</v>
      </c>
      <c r="B85" s="4" t="s">
        <v>37</v>
      </c>
      <c r="C85" s="4" t="n">
        <v>23.9319124312897</v>
      </c>
      <c r="D85" s="4" t="n">
        <v>0.00317760543667715</v>
      </c>
      <c r="E85" s="4" t="s">
        <v>101</v>
      </c>
      <c r="F85" s="4" t="n">
        <v>0.962022531476606</v>
      </c>
      <c r="G85" s="4" t="n">
        <v>5</v>
      </c>
      <c r="H85" s="4" t="n">
        <v>164</v>
      </c>
      <c r="I85" s="4" t="n">
        <v>2012</v>
      </c>
      <c r="J85" s="4" t="n">
        <v>80</v>
      </c>
      <c r="K85" s="4" t="n">
        <v>2031</v>
      </c>
      <c r="L85" s="4" t="n">
        <v>19</v>
      </c>
      <c r="M85" s="4" t="n">
        <v>100</v>
      </c>
      <c r="N85" s="4" t="n">
        <v>100</v>
      </c>
      <c r="O85" s="4" t="n">
        <v>100</v>
      </c>
    </row>
    <row r="86" customFormat="false" ht="15" hidden="false" customHeight="false" outlineLevel="0" collapsed="false">
      <c r="A86" s="4" t="s">
        <v>3</v>
      </c>
      <c r="B86" s="4" t="s">
        <v>38</v>
      </c>
      <c r="C86" s="4" t="n">
        <v>2.90944285889333</v>
      </c>
      <c r="D86" s="4" t="n">
        <v>2.32420152696073E-005</v>
      </c>
      <c r="E86" s="4" t="s">
        <v>101</v>
      </c>
      <c r="F86" s="4" t="n">
        <v>0.564455897191768</v>
      </c>
      <c r="G86" s="4" t="n">
        <v>24</v>
      </c>
      <c r="H86" s="4" t="n">
        <v>2845</v>
      </c>
      <c r="I86" s="4" t="n">
        <v>2018</v>
      </c>
      <c r="J86" s="4" t="n">
        <v>0</v>
      </c>
      <c r="K86" s="4" t="n">
        <v>2025</v>
      </c>
      <c r="L86" s="4" t="n">
        <v>7</v>
      </c>
      <c r="M86" s="4" t="n">
        <v>75.7131906142759</v>
      </c>
      <c r="N86" s="4" t="n">
        <v>56.528084818516</v>
      </c>
      <c r="O86" s="4" t="n">
        <v>94.8982964100357</v>
      </c>
    </row>
    <row r="87" customFormat="false" ht="15" hidden="false" customHeight="false" outlineLevel="0" collapsed="false">
      <c r="A87" s="4" t="s">
        <v>3</v>
      </c>
      <c r="B87" s="4" t="s">
        <v>38</v>
      </c>
      <c r="C87" s="4" t="n">
        <v>2.90944285889333</v>
      </c>
      <c r="D87" s="4" t="n">
        <v>2.32420152696073E-005</v>
      </c>
      <c r="E87" s="4" t="s">
        <v>101</v>
      </c>
      <c r="F87" s="4" t="n">
        <v>0.564455897191768</v>
      </c>
      <c r="G87" s="4" t="n">
        <v>24</v>
      </c>
      <c r="H87" s="4" t="n">
        <v>2845</v>
      </c>
      <c r="I87" s="4" t="n">
        <v>2018</v>
      </c>
      <c r="J87" s="4" t="n">
        <v>0</v>
      </c>
      <c r="K87" s="4" t="n">
        <v>2026</v>
      </c>
      <c r="L87" s="4" t="n">
        <v>8</v>
      </c>
      <c r="M87" s="4" t="n">
        <v>78.6226334731691</v>
      </c>
      <c r="N87" s="4" t="n">
        <v>58.3229231483419</v>
      </c>
      <c r="O87" s="4" t="n">
        <v>98.9223437979963</v>
      </c>
    </row>
    <row r="88" customFormat="false" ht="15" hidden="false" customHeight="false" outlineLevel="0" collapsed="false">
      <c r="A88" s="4" t="s">
        <v>3</v>
      </c>
      <c r="B88" s="4" t="s">
        <v>38</v>
      </c>
      <c r="C88" s="4" t="n">
        <v>2.90944285889333</v>
      </c>
      <c r="D88" s="4" t="n">
        <v>2.32420152696073E-005</v>
      </c>
      <c r="E88" s="4" t="s">
        <v>101</v>
      </c>
      <c r="F88" s="4" t="n">
        <v>0.564455897191768</v>
      </c>
      <c r="G88" s="4" t="n">
        <v>24</v>
      </c>
      <c r="H88" s="4" t="n">
        <v>2845</v>
      </c>
      <c r="I88" s="4" t="n">
        <v>2018</v>
      </c>
      <c r="J88" s="4" t="n">
        <v>0</v>
      </c>
      <c r="K88" s="4" t="n">
        <v>2027</v>
      </c>
      <c r="L88" s="4" t="n">
        <v>9</v>
      </c>
      <c r="M88" s="4" t="n">
        <v>81.5320763320624</v>
      </c>
      <c r="N88" s="4" t="n">
        <v>60.1161469162642</v>
      </c>
      <c r="O88" s="4" t="n">
        <v>100</v>
      </c>
    </row>
    <row r="89" customFormat="false" ht="15" hidden="false" customHeight="false" outlineLevel="0" collapsed="false">
      <c r="A89" s="4" t="s">
        <v>3</v>
      </c>
      <c r="B89" s="4" t="s">
        <v>38</v>
      </c>
      <c r="C89" s="4" t="n">
        <v>2.90944285889333</v>
      </c>
      <c r="D89" s="4" t="n">
        <v>2.32420152696073E-005</v>
      </c>
      <c r="E89" s="4" t="s">
        <v>101</v>
      </c>
      <c r="F89" s="4" t="n">
        <v>0.564455897191768</v>
      </c>
      <c r="G89" s="4" t="n">
        <v>24</v>
      </c>
      <c r="H89" s="4" t="n">
        <v>2845</v>
      </c>
      <c r="I89" s="4" t="n">
        <v>2018</v>
      </c>
      <c r="J89" s="4" t="n">
        <v>0</v>
      </c>
      <c r="K89" s="4" t="n">
        <v>2028</v>
      </c>
      <c r="L89" s="4" t="n">
        <v>10</v>
      </c>
      <c r="M89" s="4" t="n">
        <v>84.4415191909557</v>
      </c>
      <c r="N89" s="4" t="n">
        <v>61.907996057496</v>
      </c>
      <c r="O89" s="4" t="n">
        <v>100</v>
      </c>
    </row>
    <row r="90" customFormat="false" ht="15" hidden="false" customHeight="false" outlineLevel="0" collapsed="false">
      <c r="A90" s="4" t="s">
        <v>3</v>
      </c>
      <c r="B90" s="4" t="s">
        <v>38</v>
      </c>
      <c r="C90" s="4" t="n">
        <v>2.90944285889333</v>
      </c>
      <c r="D90" s="4" t="n">
        <v>2.32420152696073E-005</v>
      </c>
      <c r="E90" s="4" t="s">
        <v>101</v>
      </c>
      <c r="F90" s="4" t="n">
        <v>0.564455897191768</v>
      </c>
      <c r="G90" s="4" t="n">
        <v>24</v>
      </c>
      <c r="H90" s="4" t="n">
        <v>2845</v>
      </c>
      <c r="I90" s="4" t="n">
        <v>2018</v>
      </c>
      <c r="J90" s="4" t="n">
        <v>0</v>
      </c>
      <c r="K90" s="4" t="n">
        <v>2029</v>
      </c>
      <c r="L90" s="4" t="n">
        <v>11</v>
      </c>
      <c r="M90" s="4" t="n">
        <v>87.3509620498489</v>
      </c>
      <c r="N90" s="4" t="n">
        <v>63.6986654285261</v>
      </c>
      <c r="O90" s="4" t="n">
        <v>100</v>
      </c>
    </row>
    <row r="91" customFormat="false" ht="15" hidden="false" customHeight="false" outlineLevel="0" collapsed="false">
      <c r="A91" s="4" t="s">
        <v>3</v>
      </c>
      <c r="B91" s="4" t="s">
        <v>38</v>
      </c>
      <c r="C91" s="4" t="n">
        <v>2.90944285889333</v>
      </c>
      <c r="D91" s="4" t="n">
        <v>2.32420152696073E-005</v>
      </c>
      <c r="E91" s="4" t="s">
        <v>101</v>
      </c>
      <c r="F91" s="4" t="n">
        <v>0.564455897191768</v>
      </c>
      <c r="G91" s="4" t="n">
        <v>24</v>
      </c>
      <c r="H91" s="4" t="n">
        <v>2845</v>
      </c>
      <c r="I91" s="4" t="n">
        <v>2018</v>
      </c>
      <c r="J91" s="4" t="n">
        <v>0</v>
      </c>
      <c r="K91" s="4" t="n">
        <v>2030</v>
      </c>
      <c r="L91" s="4" t="n">
        <v>12</v>
      </c>
      <c r="M91" s="4" t="n">
        <v>90.2604049087422</v>
      </c>
      <c r="N91" s="4" t="n">
        <v>65.4883148735217</v>
      </c>
      <c r="O91" s="4" t="n">
        <v>100</v>
      </c>
    </row>
    <row r="92" customFormat="false" ht="15" hidden="false" customHeight="false" outlineLevel="0" collapsed="false">
      <c r="A92" s="4" t="s">
        <v>3</v>
      </c>
      <c r="B92" s="4" t="s">
        <v>38</v>
      </c>
      <c r="C92" s="4" t="n">
        <v>2.90944285889333</v>
      </c>
      <c r="D92" s="4" t="n">
        <v>2.32420152696073E-005</v>
      </c>
      <c r="E92" s="4" t="s">
        <v>101</v>
      </c>
      <c r="F92" s="4" t="n">
        <v>0.564455897191768</v>
      </c>
      <c r="G92" s="4" t="n">
        <v>24</v>
      </c>
      <c r="H92" s="4" t="n">
        <v>2845</v>
      </c>
      <c r="I92" s="4" t="n">
        <v>2018</v>
      </c>
      <c r="J92" s="4" t="n">
        <v>0</v>
      </c>
      <c r="K92" s="4" t="n">
        <v>2031</v>
      </c>
      <c r="L92" s="4" t="n">
        <v>13</v>
      </c>
      <c r="M92" s="4" t="n">
        <v>93.1698477676355</v>
      </c>
      <c r="N92" s="4" t="n">
        <v>67.2770767194014</v>
      </c>
      <c r="O92" s="4" t="n">
        <v>100</v>
      </c>
    </row>
    <row r="93" customFormat="false" ht="15" hidden="false" customHeight="false" outlineLevel="0" collapsed="false">
      <c r="A93" s="4" t="s">
        <v>3</v>
      </c>
      <c r="B93" s="4" t="s">
        <v>39</v>
      </c>
      <c r="C93" s="4" t="n">
        <v>-0.0140510303953483</v>
      </c>
      <c r="D93" s="4" t="n">
        <v>0.97039371738601</v>
      </c>
      <c r="E93" s="4" t="s">
        <v>100</v>
      </c>
      <c r="F93" s="4" t="n">
        <v>0.000101961009157492</v>
      </c>
      <c r="G93" s="4" t="n">
        <v>16</v>
      </c>
      <c r="H93" s="4" t="n">
        <v>2540</v>
      </c>
      <c r="I93" s="4" t="n">
        <v>2018</v>
      </c>
      <c r="J93" s="4" t="n">
        <v>15.5875299760192</v>
      </c>
      <c r="K93" s="4" t="n">
        <v>2025</v>
      </c>
      <c r="L93" s="4" t="n">
        <v>7</v>
      </c>
      <c r="M93" s="4" t="n">
        <v>16.4794769531111</v>
      </c>
      <c r="N93" s="4" t="n">
        <v>8.09775573187817</v>
      </c>
      <c r="O93" s="4" t="n">
        <v>24.8611981743441</v>
      </c>
    </row>
    <row r="94" customFormat="false" ht="15" hidden="false" customHeight="false" outlineLevel="0" collapsed="false">
      <c r="A94" s="4" t="s">
        <v>3</v>
      </c>
      <c r="B94" s="4" t="s">
        <v>39</v>
      </c>
      <c r="C94" s="4" t="n">
        <v>-0.0140510303953483</v>
      </c>
      <c r="D94" s="4" t="n">
        <v>0.97039371738601</v>
      </c>
      <c r="E94" s="4" t="s">
        <v>100</v>
      </c>
      <c r="F94" s="4" t="n">
        <v>0.000101961009157492</v>
      </c>
      <c r="G94" s="4" t="n">
        <v>16</v>
      </c>
      <c r="H94" s="4" t="n">
        <v>2540</v>
      </c>
      <c r="I94" s="4" t="n">
        <v>2018</v>
      </c>
      <c r="J94" s="4" t="n">
        <v>15.5875299760192</v>
      </c>
      <c r="K94" s="4" t="n">
        <v>2026</v>
      </c>
      <c r="L94" s="4" t="n">
        <v>8</v>
      </c>
      <c r="M94" s="4" t="n">
        <v>16.4654259227158</v>
      </c>
      <c r="N94" s="4" t="n">
        <v>7.35024638497684</v>
      </c>
      <c r="O94" s="4" t="n">
        <v>25.5806054604547</v>
      </c>
    </row>
    <row r="95" customFormat="false" ht="15" hidden="false" customHeight="false" outlineLevel="0" collapsed="false">
      <c r="A95" s="4" t="s">
        <v>3</v>
      </c>
      <c r="B95" s="4" t="s">
        <v>39</v>
      </c>
      <c r="C95" s="4" t="n">
        <v>-0.0140510303953483</v>
      </c>
      <c r="D95" s="4" t="n">
        <v>0.97039371738601</v>
      </c>
      <c r="E95" s="4" t="s">
        <v>100</v>
      </c>
      <c r="F95" s="4" t="n">
        <v>0.000101961009157492</v>
      </c>
      <c r="G95" s="4" t="n">
        <v>16</v>
      </c>
      <c r="H95" s="4" t="n">
        <v>2540</v>
      </c>
      <c r="I95" s="4" t="n">
        <v>2018</v>
      </c>
      <c r="J95" s="4" t="n">
        <v>15.5875299760192</v>
      </c>
      <c r="K95" s="4" t="n">
        <v>2027</v>
      </c>
      <c r="L95" s="4" t="n">
        <v>9</v>
      </c>
      <c r="M95" s="4" t="n">
        <v>16.4513748923204</v>
      </c>
      <c r="N95" s="4" t="n">
        <v>6.59276952353921</v>
      </c>
      <c r="O95" s="4" t="n">
        <v>26.3099802611016</v>
      </c>
    </row>
    <row r="96" customFormat="false" ht="15" hidden="false" customHeight="false" outlineLevel="0" collapsed="false">
      <c r="A96" s="4" t="s">
        <v>3</v>
      </c>
      <c r="B96" s="4" t="s">
        <v>39</v>
      </c>
      <c r="C96" s="4" t="n">
        <v>-0.0140510303953483</v>
      </c>
      <c r="D96" s="4" t="n">
        <v>0.97039371738601</v>
      </c>
      <c r="E96" s="4" t="s">
        <v>100</v>
      </c>
      <c r="F96" s="4" t="n">
        <v>0.000101961009157492</v>
      </c>
      <c r="G96" s="4" t="n">
        <v>16</v>
      </c>
      <c r="H96" s="4" t="n">
        <v>2540</v>
      </c>
      <c r="I96" s="4" t="n">
        <v>2018</v>
      </c>
      <c r="J96" s="4" t="n">
        <v>15.5875299760192</v>
      </c>
      <c r="K96" s="4" t="n">
        <v>2028</v>
      </c>
      <c r="L96" s="4" t="n">
        <v>10</v>
      </c>
      <c r="M96" s="4" t="n">
        <v>16.4373238619251</v>
      </c>
      <c r="N96" s="4" t="n">
        <v>5.82742018343145</v>
      </c>
      <c r="O96" s="4" t="n">
        <v>27.0472275404187</v>
      </c>
    </row>
    <row r="97" customFormat="false" ht="15" hidden="false" customHeight="false" outlineLevel="0" collapsed="false">
      <c r="A97" s="4" t="s">
        <v>3</v>
      </c>
      <c r="B97" s="4" t="s">
        <v>39</v>
      </c>
      <c r="C97" s="4" t="n">
        <v>-0.0140510303953483</v>
      </c>
      <c r="D97" s="4" t="n">
        <v>0.97039371738601</v>
      </c>
      <c r="E97" s="4" t="s">
        <v>100</v>
      </c>
      <c r="F97" s="4" t="n">
        <v>0.000101961009157492</v>
      </c>
      <c r="G97" s="4" t="n">
        <v>16</v>
      </c>
      <c r="H97" s="4" t="n">
        <v>2540</v>
      </c>
      <c r="I97" s="4" t="n">
        <v>2018</v>
      </c>
      <c r="J97" s="4" t="n">
        <v>15.5875299760192</v>
      </c>
      <c r="K97" s="4" t="n">
        <v>2029</v>
      </c>
      <c r="L97" s="4" t="n">
        <v>11</v>
      </c>
      <c r="M97" s="4" t="n">
        <v>16.4232728315297</v>
      </c>
      <c r="N97" s="4" t="n">
        <v>5.05575917401125</v>
      </c>
      <c r="O97" s="4" t="n">
        <v>27.7907864890482</v>
      </c>
    </row>
    <row r="98" customFormat="false" ht="15" hidden="false" customHeight="false" outlineLevel="0" collapsed="false">
      <c r="A98" s="4" t="s">
        <v>3</v>
      </c>
      <c r="B98" s="4" t="s">
        <v>39</v>
      </c>
      <c r="C98" s="4" t="n">
        <v>-0.0140510303953483</v>
      </c>
      <c r="D98" s="4" t="n">
        <v>0.97039371738601</v>
      </c>
      <c r="E98" s="4" t="s">
        <v>100</v>
      </c>
      <c r="F98" s="4" t="n">
        <v>0.000101961009157492</v>
      </c>
      <c r="G98" s="4" t="n">
        <v>16</v>
      </c>
      <c r="H98" s="4" t="n">
        <v>2540</v>
      </c>
      <c r="I98" s="4" t="n">
        <v>2018</v>
      </c>
      <c r="J98" s="4" t="n">
        <v>15.5875299760192</v>
      </c>
      <c r="K98" s="4" t="n">
        <v>2030</v>
      </c>
      <c r="L98" s="4" t="n">
        <v>12</v>
      </c>
      <c r="M98" s="4" t="n">
        <v>16.4092218011344</v>
      </c>
      <c r="N98" s="4" t="n">
        <v>4.27896904703929</v>
      </c>
      <c r="O98" s="4" t="n">
        <v>28.5394745552295</v>
      </c>
    </row>
    <row r="99" customFormat="false" ht="15" hidden="false" customHeight="false" outlineLevel="0" collapsed="false">
      <c r="A99" s="4" t="s">
        <v>3</v>
      </c>
      <c r="B99" s="4" t="s">
        <v>39</v>
      </c>
      <c r="C99" s="4" t="n">
        <v>-0.0140510303953483</v>
      </c>
      <c r="D99" s="4" t="n">
        <v>0.97039371738601</v>
      </c>
      <c r="E99" s="4" t="s">
        <v>100</v>
      </c>
      <c r="F99" s="4" t="n">
        <v>0.000101961009157492</v>
      </c>
      <c r="G99" s="4" t="n">
        <v>16</v>
      </c>
      <c r="H99" s="4" t="n">
        <v>2540</v>
      </c>
      <c r="I99" s="4" t="n">
        <v>2018</v>
      </c>
      <c r="J99" s="4" t="n">
        <v>15.5875299760192</v>
      </c>
      <c r="K99" s="4" t="n">
        <v>2031</v>
      </c>
      <c r="L99" s="4" t="n">
        <v>13</v>
      </c>
      <c r="M99" s="4" t="n">
        <v>16.395170770739</v>
      </c>
      <c r="N99" s="4" t="n">
        <v>3.49795977610932</v>
      </c>
      <c r="O99" s="4" t="n">
        <v>29.2923817653687</v>
      </c>
    </row>
    <row r="100" customFormat="false" ht="15" hidden="false" customHeight="false" outlineLevel="0" collapsed="false">
      <c r="A100" s="4" t="s">
        <v>3</v>
      </c>
      <c r="B100" s="4" t="s">
        <v>40</v>
      </c>
      <c r="C100" s="4" t="n">
        <v>1.2530208194577</v>
      </c>
      <c r="D100" s="4" t="n">
        <v>0.229186055551284</v>
      </c>
      <c r="E100" s="4" t="s">
        <v>100</v>
      </c>
      <c r="F100" s="4" t="n">
        <v>0.0680731493467602</v>
      </c>
      <c r="G100" s="4" t="n">
        <v>23</v>
      </c>
      <c r="H100" s="4" t="n">
        <v>1378</v>
      </c>
      <c r="I100" s="4" t="n">
        <v>2018</v>
      </c>
      <c r="J100" s="4" t="n">
        <v>0</v>
      </c>
      <c r="K100" s="4" t="n">
        <v>2025</v>
      </c>
      <c r="L100" s="4" t="n">
        <v>7</v>
      </c>
      <c r="M100" s="4" t="n">
        <v>58.8005112909218</v>
      </c>
      <c r="N100" s="4" t="n">
        <v>21.2417107079343</v>
      </c>
      <c r="O100" s="4" t="n">
        <v>96.3593118739094</v>
      </c>
    </row>
    <row r="101" customFormat="false" ht="15" hidden="false" customHeight="false" outlineLevel="0" collapsed="false">
      <c r="A101" s="4" t="s">
        <v>3</v>
      </c>
      <c r="B101" s="4" t="s">
        <v>40</v>
      </c>
      <c r="C101" s="4" t="n">
        <v>1.2530208194577</v>
      </c>
      <c r="D101" s="4" t="n">
        <v>0.229186055551284</v>
      </c>
      <c r="E101" s="4" t="s">
        <v>100</v>
      </c>
      <c r="F101" s="4" t="n">
        <v>0.0680731493467602</v>
      </c>
      <c r="G101" s="4" t="n">
        <v>23</v>
      </c>
      <c r="H101" s="4" t="n">
        <v>1378</v>
      </c>
      <c r="I101" s="4" t="n">
        <v>2018</v>
      </c>
      <c r="J101" s="4" t="n">
        <v>0</v>
      </c>
      <c r="K101" s="4" t="n">
        <v>2026</v>
      </c>
      <c r="L101" s="4" t="n">
        <v>8</v>
      </c>
      <c r="M101" s="4" t="n">
        <v>60.0535321103794</v>
      </c>
      <c r="N101" s="4" t="n">
        <v>20.4164301938608</v>
      </c>
      <c r="O101" s="4" t="n">
        <v>99.6906340268979</v>
      </c>
    </row>
    <row r="102" customFormat="false" ht="15" hidden="false" customHeight="false" outlineLevel="0" collapsed="false">
      <c r="A102" s="4" t="s">
        <v>3</v>
      </c>
      <c r="B102" s="4" t="s">
        <v>40</v>
      </c>
      <c r="C102" s="4" t="n">
        <v>1.2530208194577</v>
      </c>
      <c r="D102" s="4" t="n">
        <v>0.229186055551284</v>
      </c>
      <c r="E102" s="4" t="s">
        <v>100</v>
      </c>
      <c r="F102" s="4" t="n">
        <v>0.0680731493467602</v>
      </c>
      <c r="G102" s="4" t="n">
        <v>23</v>
      </c>
      <c r="H102" s="4" t="n">
        <v>1378</v>
      </c>
      <c r="I102" s="4" t="n">
        <v>2018</v>
      </c>
      <c r="J102" s="4" t="n">
        <v>0</v>
      </c>
      <c r="K102" s="4" t="n">
        <v>2027</v>
      </c>
      <c r="L102" s="4" t="n">
        <v>9</v>
      </c>
      <c r="M102" s="4" t="n">
        <v>61.3065529298374</v>
      </c>
      <c r="N102" s="4" t="n">
        <v>19.5885788365527</v>
      </c>
      <c r="O102" s="4" t="n">
        <v>100</v>
      </c>
    </row>
    <row r="103" customFormat="false" ht="15" hidden="false" customHeight="false" outlineLevel="0" collapsed="false">
      <c r="A103" s="4" t="s">
        <v>3</v>
      </c>
      <c r="B103" s="4" t="s">
        <v>40</v>
      </c>
      <c r="C103" s="4" t="n">
        <v>1.2530208194577</v>
      </c>
      <c r="D103" s="4" t="n">
        <v>0.229186055551284</v>
      </c>
      <c r="E103" s="4" t="s">
        <v>100</v>
      </c>
      <c r="F103" s="4" t="n">
        <v>0.0680731493467602</v>
      </c>
      <c r="G103" s="4" t="n">
        <v>23</v>
      </c>
      <c r="H103" s="4" t="n">
        <v>1378</v>
      </c>
      <c r="I103" s="4" t="n">
        <v>2018</v>
      </c>
      <c r="J103" s="4" t="n">
        <v>0</v>
      </c>
      <c r="K103" s="4" t="n">
        <v>2028</v>
      </c>
      <c r="L103" s="4" t="n">
        <v>10</v>
      </c>
      <c r="M103" s="4" t="n">
        <v>62.5595737492949</v>
      </c>
      <c r="N103" s="4" t="n">
        <v>18.7585230363829</v>
      </c>
      <c r="O103" s="4" t="n">
        <v>100</v>
      </c>
    </row>
    <row r="104" customFormat="false" ht="15" hidden="false" customHeight="false" outlineLevel="0" collapsed="false">
      <c r="A104" s="4" t="s">
        <v>3</v>
      </c>
      <c r="B104" s="4" t="s">
        <v>40</v>
      </c>
      <c r="C104" s="4" t="n">
        <v>1.2530208194577</v>
      </c>
      <c r="D104" s="4" t="n">
        <v>0.229186055551284</v>
      </c>
      <c r="E104" s="4" t="s">
        <v>100</v>
      </c>
      <c r="F104" s="4" t="n">
        <v>0.0680731493467602</v>
      </c>
      <c r="G104" s="4" t="n">
        <v>23</v>
      </c>
      <c r="H104" s="4" t="n">
        <v>1378</v>
      </c>
      <c r="I104" s="4" t="n">
        <v>2018</v>
      </c>
      <c r="J104" s="4" t="n">
        <v>0</v>
      </c>
      <c r="K104" s="4" t="n">
        <v>2029</v>
      </c>
      <c r="L104" s="4" t="n">
        <v>11</v>
      </c>
      <c r="M104" s="4" t="n">
        <v>63.8125945687525</v>
      </c>
      <c r="N104" s="4" t="n">
        <v>17.9265630159824</v>
      </c>
      <c r="O104" s="4" t="n">
        <v>100</v>
      </c>
    </row>
    <row r="105" customFormat="false" ht="15" hidden="false" customHeight="false" outlineLevel="0" collapsed="false">
      <c r="A105" s="4" t="s">
        <v>3</v>
      </c>
      <c r="B105" s="4" t="s">
        <v>40</v>
      </c>
      <c r="C105" s="4" t="n">
        <v>1.2530208194577</v>
      </c>
      <c r="D105" s="4" t="n">
        <v>0.229186055551284</v>
      </c>
      <c r="E105" s="4" t="s">
        <v>100</v>
      </c>
      <c r="F105" s="4" t="n">
        <v>0.0680731493467602</v>
      </c>
      <c r="G105" s="4" t="n">
        <v>23</v>
      </c>
      <c r="H105" s="4" t="n">
        <v>1378</v>
      </c>
      <c r="I105" s="4" t="n">
        <v>2018</v>
      </c>
      <c r="J105" s="4" t="n">
        <v>0</v>
      </c>
      <c r="K105" s="4" t="n">
        <v>2030</v>
      </c>
      <c r="L105" s="4" t="n">
        <v>12</v>
      </c>
      <c r="M105" s="4" t="n">
        <v>65.0656153882105</v>
      </c>
      <c r="N105" s="4" t="n">
        <v>17.092947057502</v>
      </c>
      <c r="O105" s="4" t="n">
        <v>100</v>
      </c>
    </row>
    <row r="106" customFormat="false" ht="15" hidden="false" customHeight="false" outlineLevel="0" collapsed="false">
      <c r="A106" s="4" t="s">
        <v>3</v>
      </c>
      <c r="B106" s="4" t="s">
        <v>40</v>
      </c>
      <c r="C106" s="4" t="n">
        <v>1.2530208194577</v>
      </c>
      <c r="D106" s="4" t="n">
        <v>0.229186055551284</v>
      </c>
      <c r="E106" s="4" t="s">
        <v>100</v>
      </c>
      <c r="F106" s="4" t="n">
        <v>0.0680731493467602</v>
      </c>
      <c r="G106" s="4" t="n">
        <v>23</v>
      </c>
      <c r="H106" s="4" t="n">
        <v>1378</v>
      </c>
      <c r="I106" s="4" t="n">
        <v>2018</v>
      </c>
      <c r="J106" s="4" t="n">
        <v>0</v>
      </c>
      <c r="K106" s="4" t="n">
        <v>2031</v>
      </c>
      <c r="L106" s="4" t="n">
        <v>13</v>
      </c>
      <c r="M106" s="4" t="n">
        <v>66.3186362076681</v>
      </c>
      <c r="N106" s="4" t="n">
        <v>16.2578822293853</v>
      </c>
      <c r="O106" s="4" t="n">
        <v>100</v>
      </c>
    </row>
    <row r="107" customFormat="false" ht="15" hidden="false" customHeight="false" outlineLevel="0" collapsed="false">
      <c r="A107" s="4" t="s">
        <v>3</v>
      </c>
      <c r="B107" s="4" t="s">
        <v>41</v>
      </c>
      <c r="C107" s="4" t="n">
        <v>-0.111528073248725</v>
      </c>
      <c r="D107" s="4" t="n">
        <v>0.794606560606982</v>
      </c>
      <c r="E107" s="4" t="s">
        <v>100</v>
      </c>
      <c r="F107" s="4" t="n">
        <v>0.00229443380130812</v>
      </c>
      <c r="G107" s="4" t="n">
        <v>32</v>
      </c>
      <c r="H107" s="4" t="n">
        <v>11501</v>
      </c>
      <c r="I107" s="4" t="n">
        <v>2024</v>
      </c>
      <c r="J107" s="4" t="n">
        <v>0</v>
      </c>
      <c r="K107" s="4" t="n">
        <v>2025</v>
      </c>
      <c r="L107" s="4" t="n">
        <v>1</v>
      </c>
      <c r="M107" s="4" t="n">
        <v>15.7008042170982</v>
      </c>
      <c r="N107" s="4" t="n">
        <v>0.137591110348964</v>
      </c>
      <c r="O107" s="4" t="n">
        <v>31.2640173238475</v>
      </c>
    </row>
    <row r="108" customFormat="false" ht="15" hidden="false" customHeight="false" outlineLevel="0" collapsed="false">
      <c r="A108" s="4" t="s">
        <v>3</v>
      </c>
      <c r="B108" s="4" t="s">
        <v>41</v>
      </c>
      <c r="C108" s="4" t="n">
        <v>-0.111528073248725</v>
      </c>
      <c r="D108" s="4" t="n">
        <v>0.794606560606982</v>
      </c>
      <c r="E108" s="4" t="s">
        <v>100</v>
      </c>
      <c r="F108" s="4" t="n">
        <v>0.00229443380130812</v>
      </c>
      <c r="G108" s="4" t="n">
        <v>32</v>
      </c>
      <c r="H108" s="4" t="n">
        <v>11501</v>
      </c>
      <c r="I108" s="4" t="n">
        <v>2024</v>
      </c>
      <c r="J108" s="4" t="n">
        <v>0</v>
      </c>
      <c r="K108" s="4" t="n">
        <v>2026</v>
      </c>
      <c r="L108" s="4" t="n">
        <v>2</v>
      </c>
      <c r="M108" s="4" t="n">
        <v>15.5892761438495</v>
      </c>
      <c r="N108" s="4" t="n">
        <v>0</v>
      </c>
      <c r="O108" s="4" t="n">
        <v>31.9876638240835</v>
      </c>
    </row>
    <row r="109" customFormat="false" ht="15" hidden="false" customHeight="false" outlineLevel="0" collapsed="false">
      <c r="A109" s="4" t="s">
        <v>3</v>
      </c>
      <c r="B109" s="4" t="s">
        <v>41</v>
      </c>
      <c r="C109" s="4" t="n">
        <v>-0.111528073248725</v>
      </c>
      <c r="D109" s="4" t="n">
        <v>0.794606560606982</v>
      </c>
      <c r="E109" s="4" t="s">
        <v>100</v>
      </c>
      <c r="F109" s="4" t="n">
        <v>0.00229443380130812</v>
      </c>
      <c r="G109" s="4" t="n">
        <v>32</v>
      </c>
      <c r="H109" s="4" t="n">
        <v>11501</v>
      </c>
      <c r="I109" s="4" t="n">
        <v>2024</v>
      </c>
      <c r="J109" s="4" t="n">
        <v>0</v>
      </c>
      <c r="K109" s="4" t="n">
        <v>2027</v>
      </c>
      <c r="L109" s="4" t="n">
        <v>3</v>
      </c>
      <c r="M109" s="4" t="n">
        <v>15.4777480706008</v>
      </c>
      <c r="N109" s="4" t="n">
        <v>0</v>
      </c>
      <c r="O109" s="4" t="n">
        <v>32.7144698520178</v>
      </c>
    </row>
    <row r="110" customFormat="false" ht="15" hidden="false" customHeight="false" outlineLevel="0" collapsed="false">
      <c r="A110" s="4" t="s">
        <v>3</v>
      </c>
      <c r="B110" s="4" t="s">
        <v>41</v>
      </c>
      <c r="C110" s="4" t="n">
        <v>-0.111528073248725</v>
      </c>
      <c r="D110" s="4" t="n">
        <v>0.794606560606982</v>
      </c>
      <c r="E110" s="4" t="s">
        <v>100</v>
      </c>
      <c r="F110" s="4" t="n">
        <v>0.00229443380130812</v>
      </c>
      <c r="G110" s="4" t="n">
        <v>32</v>
      </c>
      <c r="H110" s="4" t="n">
        <v>11501</v>
      </c>
      <c r="I110" s="4" t="n">
        <v>2024</v>
      </c>
      <c r="J110" s="4" t="n">
        <v>0</v>
      </c>
      <c r="K110" s="4" t="n">
        <v>2028</v>
      </c>
      <c r="L110" s="4" t="n">
        <v>4</v>
      </c>
      <c r="M110" s="4" t="n">
        <v>15.366219997352</v>
      </c>
      <c r="N110" s="4" t="n">
        <v>0</v>
      </c>
      <c r="O110" s="4" t="n">
        <v>33.4439958556334</v>
      </c>
    </row>
    <row r="111" customFormat="false" ht="15" hidden="false" customHeight="false" outlineLevel="0" collapsed="false">
      <c r="A111" s="4" t="s">
        <v>3</v>
      </c>
      <c r="B111" s="4" t="s">
        <v>41</v>
      </c>
      <c r="C111" s="4" t="n">
        <v>-0.111528073248725</v>
      </c>
      <c r="D111" s="4" t="n">
        <v>0.794606560606982</v>
      </c>
      <c r="E111" s="4" t="s">
        <v>100</v>
      </c>
      <c r="F111" s="4" t="n">
        <v>0.00229443380130812</v>
      </c>
      <c r="G111" s="4" t="n">
        <v>32</v>
      </c>
      <c r="H111" s="4" t="n">
        <v>11501</v>
      </c>
      <c r="I111" s="4" t="n">
        <v>2024</v>
      </c>
      <c r="J111" s="4" t="n">
        <v>0</v>
      </c>
      <c r="K111" s="4" t="n">
        <v>2029</v>
      </c>
      <c r="L111" s="4" t="n">
        <v>5</v>
      </c>
      <c r="M111" s="4" t="n">
        <v>15.2546919241033</v>
      </c>
      <c r="N111" s="4" t="n">
        <v>0</v>
      </c>
      <c r="O111" s="4" t="n">
        <v>34.1758791264993</v>
      </c>
    </row>
    <row r="112" customFormat="false" ht="15" hidden="false" customHeight="false" outlineLevel="0" collapsed="false">
      <c r="A112" s="4" t="s">
        <v>3</v>
      </c>
      <c r="B112" s="4" t="s">
        <v>41</v>
      </c>
      <c r="C112" s="4" t="n">
        <v>-0.111528073248725</v>
      </c>
      <c r="D112" s="4" t="n">
        <v>0.794606560606982</v>
      </c>
      <c r="E112" s="4" t="s">
        <v>100</v>
      </c>
      <c r="F112" s="4" t="n">
        <v>0.00229443380130812</v>
      </c>
      <c r="G112" s="4" t="n">
        <v>32</v>
      </c>
      <c r="H112" s="4" t="n">
        <v>11501</v>
      </c>
      <c r="I112" s="4" t="n">
        <v>2024</v>
      </c>
      <c r="J112" s="4" t="n">
        <v>0</v>
      </c>
      <c r="K112" s="4" t="n">
        <v>2030</v>
      </c>
      <c r="L112" s="4" t="n">
        <v>6</v>
      </c>
      <c r="M112" s="4" t="n">
        <v>15.1431638508546</v>
      </c>
      <c r="N112" s="4" t="n">
        <v>0</v>
      </c>
      <c r="O112" s="4" t="n">
        <v>34.9098179245093</v>
      </c>
    </row>
    <row r="113" customFormat="false" ht="15" hidden="false" customHeight="false" outlineLevel="0" collapsed="false">
      <c r="A113" s="4" t="s">
        <v>3</v>
      </c>
      <c r="B113" s="4" t="s">
        <v>41</v>
      </c>
      <c r="C113" s="4" t="n">
        <v>-0.111528073248725</v>
      </c>
      <c r="D113" s="4" t="n">
        <v>0.794606560606982</v>
      </c>
      <c r="E113" s="4" t="s">
        <v>100</v>
      </c>
      <c r="F113" s="4" t="n">
        <v>0.00229443380130812</v>
      </c>
      <c r="G113" s="4" t="n">
        <v>32</v>
      </c>
      <c r="H113" s="4" t="n">
        <v>11501</v>
      </c>
      <c r="I113" s="4" t="n">
        <v>2024</v>
      </c>
      <c r="J113" s="4" t="n">
        <v>0</v>
      </c>
      <c r="K113" s="4" t="n">
        <v>2031</v>
      </c>
      <c r="L113" s="4" t="n">
        <v>7</v>
      </c>
      <c r="M113" s="4" t="n">
        <v>15.0316357776059</v>
      </c>
      <c r="N113" s="4" t="n">
        <v>0</v>
      </c>
      <c r="O113" s="4" t="n">
        <v>35.6455593328275</v>
      </c>
    </row>
    <row r="114" customFormat="false" ht="15" hidden="false" customHeight="false" outlineLevel="0" collapsed="false">
      <c r="A114" s="4" t="s">
        <v>3</v>
      </c>
      <c r="B114" s="4" t="s">
        <v>42</v>
      </c>
      <c r="C114" s="4" t="n">
        <v>-1.10865738064258</v>
      </c>
      <c r="D114" s="4" t="n">
        <v>0.42147385998963</v>
      </c>
      <c r="E114" s="4" t="s">
        <v>100</v>
      </c>
      <c r="F114" s="4" t="n">
        <v>0.110338782603489</v>
      </c>
      <c r="G114" s="4" t="n">
        <v>8</v>
      </c>
      <c r="H114" s="4" t="n">
        <v>2116</v>
      </c>
      <c r="I114" s="4" t="n">
        <v>2018</v>
      </c>
      <c r="J114" s="4" t="n">
        <v>41.2470023980815</v>
      </c>
      <c r="K114" s="4" t="n">
        <v>2025</v>
      </c>
      <c r="L114" s="4" t="n">
        <v>7</v>
      </c>
      <c r="M114" s="4" t="n">
        <v>38.5724687957986</v>
      </c>
      <c r="N114" s="4" t="n">
        <v>12.4731737042212</v>
      </c>
      <c r="O114" s="4" t="n">
        <v>64.671763887376</v>
      </c>
    </row>
    <row r="115" customFormat="false" ht="15" hidden="false" customHeight="false" outlineLevel="0" collapsed="false">
      <c r="A115" s="4" t="s">
        <v>3</v>
      </c>
      <c r="B115" s="4" t="s">
        <v>42</v>
      </c>
      <c r="C115" s="4" t="n">
        <v>-1.10865738064258</v>
      </c>
      <c r="D115" s="4" t="n">
        <v>0.42147385998963</v>
      </c>
      <c r="E115" s="4" t="s">
        <v>100</v>
      </c>
      <c r="F115" s="4" t="n">
        <v>0.110338782603489</v>
      </c>
      <c r="G115" s="4" t="n">
        <v>8</v>
      </c>
      <c r="H115" s="4" t="n">
        <v>2116</v>
      </c>
      <c r="I115" s="4" t="n">
        <v>2018</v>
      </c>
      <c r="J115" s="4" t="n">
        <v>41.2470023980815</v>
      </c>
      <c r="K115" s="4" t="n">
        <v>2026</v>
      </c>
      <c r="L115" s="4" t="n">
        <v>8</v>
      </c>
      <c r="M115" s="4" t="n">
        <v>37.4638114151562</v>
      </c>
      <c r="N115" s="4" t="n">
        <v>8.31921088394264</v>
      </c>
      <c r="O115" s="4" t="n">
        <v>66.6084119463698</v>
      </c>
    </row>
    <row r="116" customFormat="false" ht="15" hidden="false" customHeight="false" outlineLevel="0" collapsed="false">
      <c r="A116" s="4" t="s">
        <v>3</v>
      </c>
      <c r="B116" s="4" t="s">
        <v>42</v>
      </c>
      <c r="C116" s="4" t="n">
        <v>-1.10865738064258</v>
      </c>
      <c r="D116" s="4" t="n">
        <v>0.42147385998963</v>
      </c>
      <c r="E116" s="4" t="s">
        <v>100</v>
      </c>
      <c r="F116" s="4" t="n">
        <v>0.110338782603489</v>
      </c>
      <c r="G116" s="4" t="n">
        <v>8</v>
      </c>
      <c r="H116" s="4" t="n">
        <v>2116</v>
      </c>
      <c r="I116" s="4" t="n">
        <v>2018</v>
      </c>
      <c r="J116" s="4" t="n">
        <v>41.2470023980815</v>
      </c>
      <c r="K116" s="4" t="n">
        <v>2027</v>
      </c>
      <c r="L116" s="4" t="n">
        <v>9</v>
      </c>
      <c r="M116" s="4" t="n">
        <v>36.3551540345134</v>
      </c>
      <c r="N116" s="4" t="n">
        <v>4.14612769136081</v>
      </c>
      <c r="O116" s="4" t="n">
        <v>68.5641803776659</v>
      </c>
    </row>
    <row r="117" customFormat="false" ht="15" hidden="false" customHeight="false" outlineLevel="0" collapsed="false">
      <c r="A117" s="4" t="s">
        <v>3</v>
      </c>
      <c r="B117" s="4" t="s">
        <v>42</v>
      </c>
      <c r="C117" s="4" t="n">
        <v>-1.10865738064258</v>
      </c>
      <c r="D117" s="4" t="n">
        <v>0.42147385998963</v>
      </c>
      <c r="E117" s="4" t="s">
        <v>100</v>
      </c>
      <c r="F117" s="4" t="n">
        <v>0.110338782603489</v>
      </c>
      <c r="G117" s="4" t="n">
        <v>8</v>
      </c>
      <c r="H117" s="4" t="n">
        <v>2116</v>
      </c>
      <c r="I117" s="4" t="n">
        <v>2018</v>
      </c>
      <c r="J117" s="4" t="n">
        <v>41.2470023980815</v>
      </c>
      <c r="K117" s="4" t="n">
        <v>2028</v>
      </c>
      <c r="L117" s="4" t="n">
        <v>10</v>
      </c>
      <c r="M117" s="4" t="n">
        <v>35.246496653871</v>
      </c>
      <c r="N117" s="4" t="n">
        <v>0</v>
      </c>
      <c r="O117" s="4" t="n">
        <v>70.5340882099247</v>
      </c>
    </row>
    <row r="118" customFormat="false" ht="15" hidden="false" customHeight="false" outlineLevel="0" collapsed="false">
      <c r="A118" s="4" t="s">
        <v>3</v>
      </c>
      <c r="B118" s="4" t="s">
        <v>42</v>
      </c>
      <c r="C118" s="4" t="n">
        <v>-1.10865738064258</v>
      </c>
      <c r="D118" s="4" t="n">
        <v>0.42147385998963</v>
      </c>
      <c r="E118" s="4" t="s">
        <v>100</v>
      </c>
      <c r="F118" s="4" t="n">
        <v>0.110338782603489</v>
      </c>
      <c r="G118" s="4" t="n">
        <v>8</v>
      </c>
      <c r="H118" s="4" t="n">
        <v>2116</v>
      </c>
      <c r="I118" s="4" t="n">
        <v>2018</v>
      </c>
      <c r="J118" s="4" t="n">
        <v>41.2470023980815</v>
      </c>
      <c r="K118" s="4" t="n">
        <v>2029</v>
      </c>
      <c r="L118" s="4" t="n">
        <v>11</v>
      </c>
      <c r="M118" s="4" t="n">
        <v>34.1378392732281</v>
      </c>
      <c r="N118" s="4" t="n">
        <v>0</v>
      </c>
      <c r="O118" s="4" t="n">
        <v>72.5147328380144</v>
      </c>
    </row>
    <row r="119" customFormat="false" ht="15" hidden="false" customHeight="false" outlineLevel="0" collapsed="false">
      <c r="A119" s="4" t="s">
        <v>3</v>
      </c>
      <c r="B119" s="4" t="s">
        <v>42</v>
      </c>
      <c r="C119" s="4" t="n">
        <v>-1.10865738064258</v>
      </c>
      <c r="D119" s="4" t="n">
        <v>0.42147385998963</v>
      </c>
      <c r="E119" s="4" t="s">
        <v>100</v>
      </c>
      <c r="F119" s="4" t="n">
        <v>0.110338782603489</v>
      </c>
      <c r="G119" s="4" t="n">
        <v>8</v>
      </c>
      <c r="H119" s="4" t="n">
        <v>2116</v>
      </c>
      <c r="I119" s="4" t="n">
        <v>2018</v>
      </c>
      <c r="J119" s="4" t="n">
        <v>41.2470023980815</v>
      </c>
      <c r="K119" s="4" t="n">
        <v>2030</v>
      </c>
      <c r="L119" s="4" t="n">
        <v>12</v>
      </c>
      <c r="M119" s="4" t="n">
        <v>33.0291818925857</v>
      </c>
      <c r="N119" s="4" t="n">
        <v>0</v>
      </c>
      <c r="O119" s="4" t="n">
        <v>74.5037150851626</v>
      </c>
    </row>
    <row r="120" customFormat="false" ht="15" hidden="false" customHeight="false" outlineLevel="0" collapsed="false">
      <c r="A120" s="4" t="s">
        <v>3</v>
      </c>
      <c r="B120" s="4" t="s">
        <v>42</v>
      </c>
      <c r="C120" s="4" t="n">
        <v>-1.10865738064258</v>
      </c>
      <c r="D120" s="4" t="n">
        <v>0.42147385998963</v>
      </c>
      <c r="E120" s="4" t="s">
        <v>100</v>
      </c>
      <c r="F120" s="4" t="n">
        <v>0.110338782603489</v>
      </c>
      <c r="G120" s="4" t="n">
        <v>8</v>
      </c>
      <c r="H120" s="4" t="n">
        <v>2116</v>
      </c>
      <c r="I120" s="4" t="n">
        <v>2018</v>
      </c>
      <c r="J120" s="4" t="n">
        <v>41.2470023980815</v>
      </c>
      <c r="K120" s="4" t="n">
        <v>2031</v>
      </c>
      <c r="L120" s="4" t="n">
        <v>13</v>
      </c>
      <c r="M120" s="4" t="n">
        <v>31.9205245119433</v>
      </c>
      <c r="N120" s="4" t="n">
        <v>0</v>
      </c>
      <c r="O120" s="4" t="n">
        <v>76.4992969199456</v>
      </c>
    </row>
    <row r="121" customFormat="false" ht="15" hidden="false" customHeight="false" outlineLevel="0" collapsed="false">
      <c r="A121" s="4" t="s">
        <v>3</v>
      </c>
      <c r="B121" s="4" t="s">
        <v>43</v>
      </c>
      <c r="C121" s="4" t="n">
        <v>0.655806071151709</v>
      </c>
      <c r="D121" s="4" t="n">
        <v>0.196670006632144</v>
      </c>
      <c r="E121" s="4" t="s">
        <v>100</v>
      </c>
      <c r="F121" s="4" t="n">
        <v>0.0549274165457729</v>
      </c>
      <c r="G121" s="4" t="n">
        <v>32</v>
      </c>
      <c r="H121" s="4" t="n">
        <v>19818</v>
      </c>
      <c r="I121" s="4" t="n">
        <v>2024</v>
      </c>
      <c r="J121" s="4" t="n">
        <v>0</v>
      </c>
      <c r="K121" s="4" t="n">
        <v>2025</v>
      </c>
      <c r="L121" s="4" t="n">
        <v>1</v>
      </c>
      <c r="M121" s="4" t="n">
        <v>46.3023196396646</v>
      </c>
      <c r="N121" s="4" t="n">
        <v>28.6754565102772</v>
      </c>
      <c r="O121" s="4" t="n">
        <v>63.9291827690519</v>
      </c>
    </row>
    <row r="122" customFormat="false" ht="15" hidden="false" customHeight="false" outlineLevel="0" collapsed="false">
      <c r="A122" s="4" t="s">
        <v>3</v>
      </c>
      <c r="B122" s="4" t="s">
        <v>43</v>
      </c>
      <c r="C122" s="4" t="n">
        <v>0.655806071151709</v>
      </c>
      <c r="D122" s="4" t="n">
        <v>0.196670006632144</v>
      </c>
      <c r="E122" s="4" t="s">
        <v>100</v>
      </c>
      <c r="F122" s="4" t="n">
        <v>0.0549274165457729</v>
      </c>
      <c r="G122" s="4" t="n">
        <v>32</v>
      </c>
      <c r="H122" s="4" t="n">
        <v>19818</v>
      </c>
      <c r="I122" s="4" t="n">
        <v>2024</v>
      </c>
      <c r="J122" s="4" t="n">
        <v>0</v>
      </c>
      <c r="K122" s="4" t="n">
        <v>2026</v>
      </c>
      <c r="L122" s="4" t="n">
        <v>2</v>
      </c>
      <c r="M122" s="4" t="n">
        <v>46.9581257108164</v>
      </c>
      <c r="N122" s="4" t="n">
        <v>28.3668950728301</v>
      </c>
      <c r="O122" s="4" t="n">
        <v>65.5493563488027</v>
      </c>
    </row>
    <row r="123" customFormat="false" ht="15" hidden="false" customHeight="false" outlineLevel="0" collapsed="false">
      <c r="A123" s="4" t="s">
        <v>3</v>
      </c>
      <c r="B123" s="4" t="s">
        <v>43</v>
      </c>
      <c r="C123" s="4" t="n">
        <v>0.655806071151709</v>
      </c>
      <c r="D123" s="4" t="n">
        <v>0.196670006632144</v>
      </c>
      <c r="E123" s="4" t="s">
        <v>100</v>
      </c>
      <c r="F123" s="4" t="n">
        <v>0.0549274165457729</v>
      </c>
      <c r="G123" s="4" t="n">
        <v>32</v>
      </c>
      <c r="H123" s="4" t="n">
        <v>19818</v>
      </c>
      <c r="I123" s="4" t="n">
        <v>2024</v>
      </c>
      <c r="J123" s="4" t="n">
        <v>0</v>
      </c>
      <c r="K123" s="4" t="n">
        <v>2027</v>
      </c>
      <c r="L123" s="4" t="n">
        <v>3</v>
      </c>
      <c r="M123" s="4" t="n">
        <v>47.6139317819682</v>
      </c>
      <c r="N123" s="4" t="n">
        <v>28.0532820228864</v>
      </c>
      <c r="O123" s="4" t="n">
        <v>67.17458154105</v>
      </c>
    </row>
    <row r="124" customFormat="false" ht="15" hidden="false" customHeight="false" outlineLevel="0" collapsed="false">
      <c r="A124" s="4" t="s">
        <v>3</v>
      </c>
      <c r="B124" s="4" t="s">
        <v>43</v>
      </c>
      <c r="C124" s="4" t="n">
        <v>0.655806071151709</v>
      </c>
      <c r="D124" s="4" t="n">
        <v>0.196670006632144</v>
      </c>
      <c r="E124" s="4" t="s">
        <v>100</v>
      </c>
      <c r="F124" s="4" t="n">
        <v>0.0549274165457729</v>
      </c>
      <c r="G124" s="4" t="n">
        <v>32</v>
      </c>
      <c r="H124" s="4" t="n">
        <v>19818</v>
      </c>
      <c r="I124" s="4" t="n">
        <v>2024</v>
      </c>
      <c r="J124" s="4" t="n">
        <v>0</v>
      </c>
      <c r="K124" s="4" t="n">
        <v>2028</v>
      </c>
      <c r="L124" s="4" t="n">
        <v>4</v>
      </c>
      <c r="M124" s="4" t="n">
        <v>48.2697378531198</v>
      </c>
      <c r="N124" s="4" t="n">
        <v>27.7353328003764</v>
      </c>
      <c r="O124" s="4" t="n">
        <v>68.8041429058631</v>
      </c>
    </row>
    <row r="125" customFormat="false" ht="15" hidden="false" customHeight="false" outlineLevel="0" collapsed="false">
      <c r="A125" s="4" t="s">
        <v>3</v>
      </c>
      <c r="B125" s="4" t="s">
        <v>43</v>
      </c>
      <c r="C125" s="4" t="n">
        <v>0.655806071151709</v>
      </c>
      <c r="D125" s="4" t="n">
        <v>0.196670006632144</v>
      </c>
      <c r="E125" s="4" t="s">
        <v>100</v>
      </c>
      <c r="F125" s="4" t="n">
        <v>0.0549274165457729</v>
      </c>
      <c r="G125" s="4" t="n">
        <v>32</v>
      </c>
      <c r="H125" s="4" t="n">
        <v>19818</v>
      </c>
      <c r="I125" s="4" t="n">
        <v>2024</v>
      </c>
      <c r="J125" s="4" t="n">
        <v>0</v>
      </c>
      <c r="K125" s="4" t="n">
        <v>2029</v>
      </c>
      <c r="L125" s="4" t="n">
        <v>5</v>
      </c>
      <c r="M125" s="4" t="n">
        <v>48.9255439242716</v>
      </c>
      <c r="N125" s="4" t="n">
        <v>27.4136362391587</v>
      </c>
      <c r="O125" s="4" t="n">
        <v>70.4374516093845</v>
      </c>
    </row>
    <row r="126" customFormat="false" ht="15" hidden="false" customHeight="false" outlineLevel="0" collapsed="false">
      <c r="A126" s="4" t="s">
        <v>3</v>
      </c>
      <c r="B126" s="4" t="s">
        <v>43</v>
      </c>
      <c r="C126" s="4" t="n">
        <v>0.655806071151709</v>
      </c>
      <c r="D126" s="4" t="n">
        <v>0.196670006632144</v>
      </c>
      <c r="E126" s="4" t="s">
        <v>100</v>
      </c>
      <c r="F126" s="4" t="n">
        <v>0.0549274165457729</v>
      </c>
      <c r="G126" s="4" t="n">
        <v>32</v>
      </c>
      <c r="H126" s="4" t="n">
        <v>19818</v>
      </c>
      <c r="I126" s="4" t="n">
        <v>2024</v>
      </c>
      <c r="J126" s="4" t="n">
        <v>0</v>
      </c>
      <c r="K126" s="4" t="n">
        <v>2030</v>
      </c>
      <c r="L126" s="4" t="n">
        <v>6</v>
      </c>
      <c r="M126" s="4" t="n">
        <v>49.5813499954231</v>
      </c>
      <c r="N126" s="4" t="n">
        <v>27.0886808975704</v>
      </c>
      <c r="O126" s="4" t="n">
        <v>72.0740190932759</v>
      </c>
    </row>
    <row r="127" customFormat="false" ht="15" hidden="false" customHeight="false" outlineLevel="0" collapsed="false">
      <c r="A127" s="4" t="s">
        <v>3</v>
      </c>
      <c r="B127" s="4" t="s">
        <v>43</v>
      </c>
      <c r="C127" s="4" t="n">
        <v>0.655806071151709</v>
      </c>
      <c r="D127" s="4" t="n">
        <v>0.196670006632144</v>
      </c>
      <c r="E127" s="4" t="s">
        <v>100</v>
      </c>
      <c r="F127" s="4" t="n">
        <v>0.0549274165457729</v>
      </c>
      <c r="G127" s="4" t="n">
        <v>32</v>
      </c>
      <c r="H127" s="4" t="n">
        <v>19818</v>
      </c>
      <c r="I127" s="4" t="n">
        <v>2024</v>
      </c>
      <c r="J127" s="4" t="n">
        <v>0</v>
      </c>
      <c r="K127" s="4" t="n">
        <v>2031</v>
      </c>
      <c r="L127" s="4" t="n">
        <v>7</v>
      </c>
      <c r="M127" s="4" t="n">
        <v>50.2371560665749</v>
      </c>
      <c r="N127" s="4" t="n">
        <v>26.7608751952741</v>
      </c>
      <c r="O127" s="4" t="n">
        <v>73.7134369378758</v>
      </c>
    </row>
    <row r="128" customFormat="false" ht="15" hidden="false" customHeight="false" outlineLevel="0" collapsed="false">
      <c r="A128" s="4" t="s">
        <v>3</v>
      </c>
      <c r="B128" s="4" t="s">
        <v>44</v>
      </c>
      <c r="C128" s="4" t="n">
        <v>-0.88314901447745</v>
      </c>
      <c r="D128" s="4" t="n">
        <v>0.150415346970843</v>
      </c>
      <c r="E128" s="4" t="s">
        <v>100</v>
      </c>
      <c r="F128" s="4" t="n">
        <v>0.0750499728226314</v>
      </c>
      <c r="G128" s="4" t="n">
        <v>29</v>
      </c>
      <c r="H128" s="4" t="n">
        <v>6410</v>
      </c>
      <c r="I128" s="4" t="n">
        <v>2021</v>
      </c>
      <c r="J128" s="4" t="n">
        <v>11.1111111111111</v>
      </c>
      <c r="K128" s="4" t="n">
        <v>2025</v>
      </c>
      <c r="L128" s="4" t="n">
        <v>4</v>
      </c>
      <c r="M128" s="4" t="n">
        <v>26.5931599501773</v>
      </c>
      <c r="N128" s="4" t="n">
        <v>5.97876478790995</v>
      </c>
      <c r="O128" s="4" t="n">
        <v>47.2075551124447</v>
      </c>
    </row>
    <row r="129" customFormat="false" ht="15" hidden="false" customHeight="false" outlineLevel="0" collapsed="false">
      <c r="A129" s="4" t="s">
        <v>3</v>
      </c>
      <c r="B129" s="4" t="s">
        <v>44</v>
      </c>
      <c r="C129" s="4" t="n">
        <v>-0.88314901447745</v>
      </c>
      <c r="D129" s="4" t="n">
        <v>0.150415346970843</v>
      </c>
      <c r="E129" s="4" t="s">
        <v>100</v>
      </c>
      <c r="F129" s="4" t="n">
        <v>0.0750499728226314</v>
      </c>
      <c r="G129" s="4" t="n">
        <v>29</v>
      </c>
      <c r="H129" s="4" t="n">
        <v>6410</v>
      </c>
      <c r="I129" s="4" t="n">
        <v>2021</v>
      </c>
      <c r="J129" s="4" t="n">
        <v>11.1111111111111</v>
      </c>
      <c r="K129" s="4" t="n">
        <v>2026</v>
      </c>
      <c r="L129" s="4" t="n">
        <v>5</v>
      </c>
      <c r="M129" s="4" t="n">
        <v>25.7100109357</v>
      </c>
      <c r="N129" s="4" t="n">
        <v>3.89296516344599</v>
      </c>
      <c r="O129" s="4" t="n">
        <v>47.527056707954</v>
      </c>
    </row>
    <row r="130" customFormat="false" ht="15" hidden="false" customHeight="false" outlineLevel="0" collapsed="false">
      <c r="A130" s="4" t="s">
        <v>3</v>
      </c>
      <c r="B130" s="4" t="s">
        <v>44</v>
      </c>
      <c r="C130" s="4" t="n">
        <v>-0.88314901447745</v>
      </c>
      <c r="D130" s="4" t="n">
        <v>0.150415346970843</v>
      </c>
      <c r="E130" s="4" t="s">
        <v>100</v>
      </c>
      <c r="F130" s="4" t="n">
        <v>0.0750499728226314</v>
      </c>
      <c r="G130" s="4" t="n">
        <v>29</v>
      </c>
      <c r="H130" s="4" t="n">
        <v>6410</v>
      </c>
      <c r="I130" s="4" t="n">
        <v>2021</v>
      </c>
      <c r="J130" s="4" t="n">
        <v>11.1111111111111</v>
      </c>
      <c r="K130" s="4" t="n">
        <v>2027</v>
      </c>
      <c r="L130" s="4" t="n">
        <v>6</v>
      </c>
      <c r="M130" s="4" t="n">
        <v>24.8268619212224</v>
      </c>
      <c r="N130" s="4" t="n">
        <v>1.80488628809589</v>
      </c>
      <c r="O130" s="4" t="n">
        <v>47.848837554349</v>
      </c>
    </row>
    <row r="131" customFormat="false" ht="15" hidden="false" customHeight="false" outlineLevel="0" collapsed="false">
      <c r="A131" s="4" t="s">
        <v>3</v>
      </c>
      <c r="B131" s="4" t="s">
        <v>44</v>
      </c>
      <c r="C131" s="4" t="n">
        <v>-0.88314901447745</v>
      </c>
      <c r="D131" s="4" t="n">
        <v>0.150415346970843</v>
      </c>
      <c r="E131" s="4" t="s">
        <v>100</v>
      </c>
      <c r="F131" s="4" t="n">
        <v>0.0750499728226314</v>
      </c>
      <c r="G131" s="4" t="n">
        <v>29</v>
      </c>
      <c r="H131" s="4" t="n">
        <v>6410</v>
      </c>
      <c r="I131" s="4" t="n">
        <v>2021</v>
      </c>
      <c r="J131" s="4" t="n">
        <v>11.1111111111111</v>
      </c>
      <c r="K131" s="4" t="n">
        <v>2028</v>
      </c>
      <c r="L131" s="4" t="n">
        <v>7</v>
      </c>
      <c r="M131" s="4" t="n">
        <v>23.9437129067451</v>
      </c>
      <c r="N131" s="4" t="n">
        <v>0</v>
      </c>
      <c r="O131" s="4" t="n">
        <v>48.1725576042758</v>
      </c>
    </row>
    <row r="132" customFormat="false" ht="15" hidden="false" customHeight="false" outlineLevel="0" collapsed="false">
      <c r="A132" s="4" t="s">
        <v>3</v>
      </c>
      <c r="B132" s="4" t="s">
        <v>44</v>
      </c>
      <c r="C132" s="4" t="n">
        <v>-0.88314901447745</v>
      </c>
      <c r="D132" s="4" t="n">
        <v>0.150415346970843</v>
      </c>
      <c r="E132" s="4" t="s">
        <v>100</v>
      </c>
      <c r="F132" s="4" t="n">
        <v>0.0750499728226314</v>
      </c>
      <c r="G132" s="4" t="n">
        <v>29</v>
      </c>
      <c r="H132" s="4" t="n">
        <v>6410</v>
      </c>
      <c r="I132" s="4" t="n">
        <v>2021</v>
      </c>
      <c r="J132" s="4" t="n">
        <v>11.1111111111111</v>
      </c>
      <c r="K132" s="4" t="n">
        <v>2029</v>
      </c>
      <c r="L132" s="4" t="n">
        <v>8</v>
      </c>
      <c r="M132" s="4" t="n">
        <v>23.0605638922675</v>
      </c>
      <c r="N132" s="4" t="n">
        <v>0</v>
      </c>
      <c r="O132" s="4" t="n">
        <v>48.497940844363</v>
      </c>
    </row>
    <row r="133" customFormat="false" ht="15" hidden="false" customHeight="false" outlineLevel="0" collapsed="false">
      <c r="A133" s="4" t="s">
        <v>3</v>
      </c>
      <c r="B133" s="4" t="s">
        <v>44</v>
      </c>
      <c r="C133" s="4" t="n">
        <v>-0.88314901447745</v>
      </c>
      <c r="D133" s="4" t="n">
        <v>0.150415346970843</v>
      </c>
      <c r="E133" s="4" t="s">
        <v>100</v>
      </c>
      <c r="F133" s="4" t="n">
        <v>0.0750499728226314</v>
      </c>
      <c r="G133" s="4" t="n">
        <v>29</v>
      </c>
      <c r="H133" s="4" t="n">
        <v>6410</v>
      </c>
      <c r="I133" s="4" t="n">
        <v>2021</v>
      </c>
      <c r="J133" s="4" t="n">
        <v>11.1111111111111</v>
      </c>
      <c r="K133" s="4" t="n">
        <v>2030</v>
      </c>
      <c r="L133" s="4" t="n">
        <v>9</v>
      </c>
      <c r="M133" s="4" t="n">
        <v>22.1774148777902</v>
      </c>
      <c r="N133" s="4" t="n">
        <v>0</v>
      </c>
      <c r="O133" s="4" t="n">
        <v>48.8247609844867</v>
      </c>
    </row>
    <row r="134" customFormat="false" ht="15" hidden="false" customHeight="false" outlineLevel="0" collapsed="false">
      <c r="A134" s="4" t="s">
        <v>3</v>
      </c>
      <c r="B134" s="4" t="s">
        <v>44</v>
      </c>
      <c r="C134" s="4" t="n">
        <v>-0.88314901447745</v>
      </c>
      <c r="D134" s="4" t="n">
        <v>0.150415346970843</v>
      </c>
      <c r="E134" s="4" t="s">
        <v>100</v>
      </c>
      <c r="F134" s="4" t="n">
        <v>0.0750499728226314</v>
      </c>
      <c r="G134" s="4" t="n">
        <v>29</v>
      </c>
      <c r="H134" s="4" t="n">
        <v>6410</v>
      </c>
      <c r="I134" s="4" t="n">
        <v>2021</v>
      </c>
      <c r="J134" s="4" t="n">
        <v>11.1111111111111</v>
      </c>
      <c r="K134" s="4" t="n">
        <v>2031</v>
      </c>
      <c r="L134" s="4" t="n">
        <v>10</v>
      </c>
      <c r="M134" s="4" t="n">
        <v>21.2942658633126</v>
      </c>
      <c r="N134" s="4" t="n">
        <v>0</v>
      </c>
      <c r="O134" s="4" t="n">
        <v>49.1528308004785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9" min="3" style="0" width="19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</row>
    <row r="2" customFormat="false" ht="15" hidden="false" customHeight="false" outlineLevel="0" collapsed="false">
      <c r="A2" s="4" t="s">
        <v>3</v>
      </c>
      <c r="B2" s="4" t="s">
        <v>22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</row>
    <row r="3" customFormat="false" ht="15" hidden="false" customHeight="false" outlineLevel="0" collapsed="false">
      <c r="A3" s="4" t="s">
        <v>3</v>
      </c>
      <c r="B3" s="4" t="s">
        <v>23</v>
      </c>
      <c r="C3" s="4" t="n">
        <v>13.4003272513974</v>
      </c>
      <c r="D3" s="4" t="n">
        <v>13.8472106449325</v>
      </c>
      <c r="E3" s="4" t="n">
        <v>14.2940940384677</v>
      </c>
      <c r="F3" s="4" t="n">
        <v>14.740977432003</v>
      </c>
      <c r="G3" s="4" t="n">
        <v>15.1878608255382</v>
      </c>
      <c r="H3" s="4" t="n">
        <v>15.6347442190735</v>
      </c>
      <c r="I3" s="4" t="n">
        <v>16.0816276126087</v>
      </c>
    </row>
    <row r="4" customFormat="false" ht="15" hidden="false" customHeight="false" outlineLevel="0" collapsed="false">
      <c r="A4" s="4" t="s">
        <v>3</v>
      </c>
      <c r="B4" s="4" t="s">
        <v>25</v>
      </c>
      <c r="C4" s="4" t="n">
        <v>34.3473838591601</v>
      </c>
      <c r="D4" s="4" t="n">
        <v>35.1970867919126</v>
      </c>
      <c r="E4" s="4" t="n">
        <v>36.0467897246654</v>
      </c>
      <c r="F4" s="4" t="n">
        <v>36.8964926574179</v>
      </c>
      <c r="G4" s="4" t="n">
        <v>37.7461955901706</v>
      </c>
      <c r="H4" s="4" t="n">
        <v>38.5958985229233</v>
      </c>
      <c r="I4" s="4" t="n">
        <v>39.4456014556758</v>
      </c>
    </row>
    <row r="5" customFormat="false" ht="15" hidden="false" customHeight="false" outlineLevel="0" collapsed="false">
      <c r="A5" s="4" t="s">
        <v>3</v>
      </c>
      <c r="B5" s="4" t="s">
        <v>26</v>
      </c>
      <c r="C5" s="4" t="n">
        <v>9.23225190578114</v>
      </c>
      <c r="D5" s="4" t="n">
        <v>8.72389112949168</v>
      </c>
      <c r="E5" s="4" t="n">
        <v>8.21553035320244</v>
      </c>
      <c r="F5" s="4" t="n">
        <v>7.70716957691298</v>
      </c>
      <c r="G5" s="4" t="n">
        <v>7.19880880062374</v>
      </c>
      <c r="H5" s="4" t="n">
        <v>6.69044802433427</v>
      </c>
      <c r="I5" s="4" t="n">
        <v>6.18208724804481</v>
      </c>
    </row>
    <row r="6" customFormat="false" ht="15" hidden="false" customHeight="false" outlineLevel="0" collapsed="false">
      <c r="A6" s="4" t="s">
        <v>3</v>
      </c>
      <c r="B6" s="4" t="s">
        <v>27</v>
      </c>
      <c r="C6" s="4" t="n">
        <v>10.8596578839776</v>
      </c>
      <c r="D6" s="4" t="n">
        <v>11.0161608123441</v>
      </c>
      <c r="E6" s="4" t="n">
        <v>11.1726637407107</v>
      </c>
      <c r="F6" s="4" t="n">
        <v>11.3291666690772</v>
      </c>
      <c r="G6" s="4" t="n">
        <v>11.4856695974437</v>
      </c>
      <c r="H6" s="4" t="n">
        <v>11.6421725258102</v>
      </c>
      <c r="I6" s="4" t="n">
        <v>11.7986754541767</v>
      </c>
    </row>
    <row r="7" customFormat="false" ht="15" hidden="false" customHeight="false" outlineLevel="0" collapsed="false">
      <c r="A7" s="4" t="s">
        <v>3</v>
      </c>
      <c r="B7" s="4" t="s">
        <v>28</v>
      </c>
      <c r="C7" s="4" t="n">
        <v>87.276539814472</v>
      </c>
      <c r="D7" s="4" t="n">
        <v>91.3449777014675</v>
      </c>
      <c r="E7" s="4" t="n">
        <v>95.4134155884631</v>
      </c>
      <c r="F7" s="4" t="n">
        <v>99.4818534754604</v>
      </c>
      <c r="G7" s="4" t="n">
        <v>100</v>
      </c>
      <c r="H7" s="4" t="n">
        <v>100</v>
      </c>
      <c r="I7" s="4" t="n">
        <v>100</v>
      </c>
    </row>
    <row r="8" customFormat="false" ht="15" hidden="false" customHeight="false" outlineLevel="0" collapsed="false">
      <c r="A8" s="4" t="s">
        <v>3</v>
      </c>
      <c r="B8" s="4" t="s">
        <v>30</v>
      </c>
      <c r="C8" s="4" t="n">
        <v>51.883106833885</v>
      </c>
      <c r="D8" s="4" t="n">
        <v>53.4886116192138</v>
      </c>
      <c r="E8" s="4" t="n">
        <v>55.0941164045426</v>
      </c>
      <c r="F8" s="4" t="n">
        <v>56.6996211898718</v>
      </c>
      <c r="G8" s="4" t="n">
        <v>58.3051259752006</v>
      </c>
      <c r="H8" s="4" t="n">
        <v>59.9106307605293</v>
      </c>
      <c r="I8" s="4" t="n">
        <v>61.5161355458586</v>
      </c>
    </row>
    <row r="9" customFormat="false" ht="15" hidden="false" customHeight="false" outlineLevel="0" collapsed="false">
      <c r="A9" s="4" t="s">
        <v>3</v>
      </c>
      <c r="B9" s="4" t="s">
        <v>31</v>
      </c>
      <c r="C9" s="4" t="n">
        <v>47.728216894964</v>
      </c>
      <c r="D9" s="4" t="n">
        <v>47.9134800516965</v>
      </c>
      <c r="E9" s="4" t="n">
        <v>48.098743208429</v>
      </c>
      <c r="F9" s="4" t="n">
        <v>48.2840063651615</v>
      </c>
      <c r="G9" s="4" t="n">
        <v>48.469269521894</v>
      </c>
      <c r="H9" s="4" t="n">
        <v>48.6545326786265</v>
      </c>
      <c r="I9" s="4" t="n">
        <v>48.839795835359</v>
      </c>
    </row>
    <row r="10" customFormat="false" ht="15" hidden="false" customHeight="false" outlineLevel="0" collapsed="false">
      <c r="A10" s="4" t="s">
        <v>3</v>
      </c>
      <c r="B10" s="4" t="s">
        <v>32</v>
      </c>
      <c r="C10" s="4" t="n">
        <v>54.6048376266344</v>
      </c>
      <c r="D10" s="4" t="n">
        <v>55.3073985183839</v>
      </c>
      <c r="E10" s="4" t="n">
        <v>56.0099594101334</v>
      </c>
      <c r="F10" s="4" t="n">
        <v>56.7125203018829</v>
      </c>
      <c r="G10" s="4" t="n">
        <v>57.4150811936327</v>
      </c>
      <c r="H10" s="4" t="n">
        <v>58.1176420853822</v>
      </c>
      <c r="I10" s="4" t="n">
        <v>58.8202029771317</v>
      </c>
    </row>
    <row r="11" customFormat="false" ht="15" hidden="false" customHeight="false" outlineLevel="0" collapsed="false">
      <c r="A11" s="4" t="s">
        <v>3</v>
      </c>
      <c r="B11" s="4" t="s">
        <v>33</v>
      </c>
      <c r="C11" s="4" t="n">
        <v>10.1385381751493</v>
      </c>
      <c r="D11" s="4" t="n">
        <v>9.51956965808904</v>
      </c>
      <c r="E11" s="4" t="n">
        <v>8.9006011410288</v>
      </c>
      <c r="F11" s="4" t="n">
        <v>8.28163262396856</v>
      </c>
      <c r="G11" s="4" t="n">
        <v>7.66266410690832</v>
      </c>
      <c r="H11" s="4" t="n">
        <v>7.04369558984809</v>
      </c>
      <c r="I11" s="4" t="n">
        <v>6.42472707278785</v>
      </c>
    </row>
    <row r="12" customFormat="false" ht="15" hidden="false" customHeight="false" outlineLevel="0" collapsed="false">
      <c r="A12" s="4" t="s">
        <v>3</v>
      </c>
      <c r="B12" s="4" t="s">
        <v>36</v>
      </c>
      <c r="C12" s="4" t="n">
        <v>51.6427867556486</v>
      </c>
      <c r="D12" s="4" t="n">
        <v>52.876150991111</v>
      </c>
      <c r="E12" s="4" t="n">
        <v>54.1095152265739</v>
      </c>
      <c r="F12" s="4" t="n">
        <v>55.3428794620363</v>
      </c>
      <c r="G12" s="4" t="n">
        <v>56.5762436974992</v>
      </c>
      <c r="H12" s="4" t="n">
        <v>57.8096079329616</v>
      </c>
      <c r="I12" s="4" t="n">
        <v>59.0429721684241</v>
      </c>
    </row>
    <row r="13" customFormat="false" ht="15" hidden="false" customHeight="false" outlineLevel="0" collapsed="false">
      <c r="A13" s="4" t="s">
        <v>3</v>
      </c>
      <c r="B13" s="4" t="s">
        <v>37</v>
      </c>
      <c r="C13" s="4" t="n">
        <v>100</v>
      </c>
      <c r="D13" s="4" t="n">
        <v>100</v>
      </c>
      <c r="E13" s="4" t="n">
        <v>100</v>
      </c>
      <c r="F13" s="4" t="n">
        <v>100</v>
      </c>
      <c r="G13" s="4" t="n">
        <v>100</v>
      </c>
      <c r="H13" s="4" t="n">
        <v>100</v>
      </c>
      <c r="I13" s="4" t="n">
        <v>100</v>
      </c>
    </row>
    <row r="14" customFormat="false" ht="15" hidden="false" customHeight="false" outlineLevel="0" collapsed="false">
      <c r="A14" s="4" t="s">
        <v>3</v>
      </c>
      <c r="B14" s="4" t="s">
        <v>38</v>
      </c>
      <c r="C14" s="4" t="n">
        <v>75.7131906142759</v>
      </c>
      <c r="D14" s="4" t="n">
        <v>78.6226334731691</v>
      </c>
      <c r="E14" s="4" t="n">
        <v>81.5320763320624</v>
      </c>
      <c r="F14" s="4" t="n">
        <v>84.4415191909557</v>
      </c>
      <c r="G14" s="4" t="n">
        <v>87.3509620498489</v>
      </c>
      <c r="H14" s="4" t="n">
        <v>90.2604049087422</v>
      </c>
      <c r="I14" s="4" t="n">
        <v>93.1698477676355</v>
      </c>
    </row>
    <row r="15" customFormat="false" ht="15" hidden="false" customHeight="false" outlineLevel="0" collapsed="false">
      <c r="A15" s="4" t="s">
        <v>3</v>
      </c>
      <c r="B15" s="4" t="s">
        <v>39</v>
      </c>
      <c r="C15" s="4" t="n">
        <v>16.4794769531111</v>
      </c>
      <c r="D15" s="4" t="n">
        <v>16.4654259227158</v>
      </c>
      <c r="E15" s="4" t="n">
        <v>16.4513748923204</v>
      </c>
      <c r="F15" s="4" t="n">
        <v>16.4373238619251</v>
      </c>
      <c r="G15" s="4" t="n">
        <v>16.4232728315297</v>
      </c>
      <c r="H15" s="4" t="n">
        <v>16.4092218011344</v>
      </c>
      <c r="I15" s="4" t="n">
        <v>16.395170770739</v>
      </c>
    </row>
    <row r="16" customFormat="false" ht="15" hidden="false" customHeight="false" outlineLevel="0" collapsed="false">
      <c r="A16" s="4" t="s">
        <v>3</v>
      </c>
      <c r="B16" s="4" t="s">
        <v>40</v>
      </c>
      <c r="C16" s="4" t="n">
        <v>58.8005112909218</v>
      </c>
      <c r="D16" s="4" t="n">
        <v>60.0535321103794</v>
      </c>
      <c r="E16" s="4" t="n">
        <v>61.3065529298374</v>
      </c>
      <c r="F16" s="4" t="n">
        <v>62.5595737492949</v>
      </c>
      <c r="G16" s="4" t="n">
        <v>63.8125945687525</v>
      </c>
      <c r="H16" s="4" t="n">
        <v>65.0656153882105</v>
      </c>
      <c r="I16" s="4" t="n">
        <v>66.3186362076681</v>
      </c>
    </row>
    <row r="17" customFormat="false" ht="15" hidden="false" customHeight="false" outlineLevel="0" collapsed="false">
      <c r="A17" s="4" t="s">
        <v>3</v>
      </c>
      <c r="B17" s="4" t="s">
        <v>41</v>
      </c>
      <c r="C17" s="4" t="n">
        <v>15.7008042170982</v>
      </c>
      <c r="D17" s="4" t="n">
        <v>15.5892761438495</v>
      </c>
      <c r="E17" s="4" t="n">
        <v>15.4777480706008</v>
      </c>
      <c r="F17" s="4" t="n">
        <v>15.366219997352</v>
      </c>
      <c r="G17" s="4" t="n">
        <v>15.2546919241033</v>
      </c>
      <c r="H17" s="4" t="n">
        <v>15.1431638508546</v>
      </c>
      <c r="I17" s="4" t="n">
        <v>15.0316357776059</v>
      </c>
    </row>
    <row r="18" customFormat="false" ht="15" hidden="false" customHeight="false" outlineLevel="0" collapsed="false">
      <c r="A18" s="4" t="s">
        <v>3</v>
      </c>
      <c r="B18" s="4" t="s">
        <v>42</v>
      </c>
      <c r="C18" s="4" t="n">
        <v>38.5724687957986</v>
      </c>
      <c r="D18" s="4" t="n">
        <v>37.4638114151562</v>
      </c>
      <c r="E18" s="4" t="n">
        <v>36.3551540345134</v>
      </c>
      <c r="F18" s="4" t="n">
        <v>35.246496653871</v>
      </c>
      <c r="G18" s="4" t="n">
        <v>34.1378392732281</v>
      </c>
      <c r="H18" s="4" t="n">
        <v>33.0291818925857</v>
      </c>
      <c r="I18" s="4" t="n">
        <v>31.9205245119433</v>
      </c>
    </row>
    <row r="19" customFormat="false" ht="15" hidden="false" customHeight="false" outlineLevel="0" collapsed="false">
      <c r="A19" s="4" t="s">
        <v>3</v>
      </c>
      <c r="B19" s="4" t="s">
        <v>43</v>
      </c>
      <c r="C19" s="4" t="n">
        <v>46.3023196396646</v>
      </c>
      <c r="D19" s="4" t="n">
        <v>46.9581257108164</v>
      </c>
      <c r="E19" s="4" t="n">
        <v>47.6139317819682</v>
      </c>
      <c r="F19" s="4" t="n">
        <v>48.2697378531198</v>
      </c>
      <c r="G19" s="4" t="n">
        <v>48.9255439242716</v>
      </c>
      <c r="H19" s="4" t="n">
        <v>49.5813499954231</v>
      </c>
      <c r="I19" s="4" t="n">
        <v>50.2371560665749</v>
      </c>
    </row>
    <row r="20" customFormat="false" ht="15" hidden="false" customHeight="false" outlineLevel="0" collapsed="false">
      <c r="A20" s="4" t="s">
        <v>3</v>
      </c>
      <c r="B20" s="4" t="s">
        <v>44</v>
      </c>
      <c r="C20" s="4" t="n">
        <v>26.5931599501773</v>
      </c>
      <c r="D20" s="4" t="n">
        <v>25.7100109357</v>
      </c>
      <c r="E20" s="4" t="n">
        <v>24.8268619212224</v>
      </c>
      <c r="F20" s="4" t="n">
        <v>23.9437129067451</v>
      </c>
      <c r="G20" s="4" t="n">
        <v>23.0605638922675</v>
      </c>
      <c r="H20" s="4" t="n">
        <v>22.1774148777902</v>
      </c>
      <c r="I20" s="4" t="n">
        <v>21.2942658633126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119</v>
      </c>
      <c r="B1" s="1" t="s">
        <v>46</v>
      </c>
    </row>
    <row r="2" customFormat="false" ht="26.85" hidden="false" customHeight="false" outlineLevel="0" collapsed="false">
      <c r="A2" s="1" t="s">
        <v>120</v>
      </c>
      <c r="B2" s="2" t="n">
        <v>0</v>
      </c>
    </row>
    <row r="3" customFormat="false" ht="15" hidden="false" customHeight="false" outlineLevel="0" collapsed="false">
      <c r="A3" s="1" t="s">
        <v>121</v>
      </c>
      <c r="B3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123</v>
      </c>
      <c r="B1" s="1" t="s">
        <v>124</v>
      </c>
    </row>
    <row r="2" customFormat="false" ht="15" hidden="false" customHeight="false" outlineLevel="0" collapsed="false">
      <c r="A2" s="1" t="s">
        <v>125</v>
      </c>
      <c r="B2" s="2" t="s">
        <v>3</v>
      </c>
    </row>
    <row r="3" customFormat="false" ht="15" hidden="false" customHeight="false" outlineLevel="0" collapsed="false">
      <c r="A3" s="1" t="s">
        <v>126</v>
      </c>
      <c r="B3" s="2" t="n">
        <f aca="false">COUNTA(Raw_Data!A:A)-1</f>
        <v>401</v>
      </c>
    </row>
    <row r="4" customFormat="false" ht="15" hidden="false" customHeight="false" outlineLevel="0" collapsed="false">
      <c r="A4" s="1" t="s">
        <v>127</v>
      </c>
      <c r="B4" s="2" t="n">
        <f aca="false">COUNTA(Forecast!A:A)-1</f>
        <v>133</v>
      </c>
    </row>
    <row r="5" customFormat="false" ht="15" hidden="false" customHeight="false" outlineLevel="0" collapsed="false">
      <c r="A5" s="1" t="s">
        <v>128</v>
      </c>
      <c r="B5" s="2" t="n">
        <f aca="false">COUNTA(Forecast_Wide!A:A)-1</f>
        <v>19</v>
      </c>
    </row>
    <row r="6" customFormat="false" ht="15" hidden="false" customHeight="false" outlineLevel="0" collapsed="false">
      <c r="A6" s="1" t="s">
        <v>129</v>
      </c>
      <c r="B6" s="2" t="n">
        <f aca="false">COUNTA(Predictions!A:A)-1</f>
        <v>12</v>
      </c>
    </row>
    <row r="7" customFormat="false" ht="15" hidden="false" customHeight="false" outlineLevel="0" collapsed="false">
      <c r="A7" s="1" t="s">
        <v>130</v>
      </c>
      <c r="B7" s="2" t="n">
        <f aca="false">COUNTIF(Predictions!J:J,TRUE())</f>
        <v>0</v>
      </c>
    </row>
    <row r="8" customFormat="false" ht="15" hidden="false" customHeight="false" outlineLevel="0" collapsed="false">
      <c r="A8" s="1" t="s">
        <v>131</v>
      </c>
      <c r="B8" s="2" t="n">
        <v>23</v>
      </c>
    </row>
    <row r="9" customFormat="false" ht="39.55" hidden="false" customHeight="false" outlineLevel="0" collapsed="false">
      <c r="A9" s="1" t="s">
        <v>132</v>
      </c>
      <c r="B9" s="2" t="s">
        <v>133</v>
      </c>
    </row>
    <row r="10" customFormat="false" ht="15" hidden="false" customHeight="false" outlineLevel="0" collapsed="false">
      <c r="A10" s="1" t="s">
        <v>134</v>
      </c>
      <c r="B10" s="2" t="n">
        <v>19</v>
      </c>
    </row>
    <row r="11" customFormat="false" ht="39.55" hidden="false" customHeight="false" outlineLevel="0" collapsed="false">
      <c r="A11" s="1" t="s">
        <v>135</v>
      </c>
      <c r="B11" s="2" t="s">
        <v>136</v>
      </c>
    </row>
    <row r="12" customFormat="false" ht="15" hidden="false" customHeight="false" outlineLevel="0" collapsed="false">
      <c r="A12" s="1" t="s">
        <v>137</v>
      </c>
      <c r="B12" s="2" t="s">
        <v>138</v>
      </c>
    </row>
    <row r="13" customFormat="false" ht="15" hidden="false" customHeight="false" outlineLevel="0" collapsed="false">
      <c r="A13" s="1" t="s">
        <v>139</v>
      </c>
      <c r="B13" s="2" t="s">
        <v>140</v>
      </c>
    </row>
    <row r="14" customFormat="false" ht="15" hidden="false" customHeight="false" outlineLevel="0" collapsed="false">
      <c r="A14" s="1" t="s">
        <v>141</v>
      </c>
      <c r="B14" s="2" t="n">
        <v>160548</v>
      </c>
    </row>
    <row r="15" customFormat="false" ht="15" hidden="false" customHeight="false" outlineLevel="0" collapsed="false">
      <c r="A15" s="1" t="s">
        <v>142</v>
      </c>
      <c r="B15" s="2" t="s">
        <v>143</v>
      </c>
    </row>
    <row r="16" customFormat="false" ht="15" hidden="false" customHeight="false" outlineLevel="0" collapsed="false">
      <c r="A16" s="1" t="s">
        <v>144</v>
      </c>
      <c r="B16" s="2" t="s">
        <v>22</v>
      </c>
    </row>
    <row r="17" customFormat="false" ht="15" hidden="false" customHeight="false" outlineLevel="0" collapsed="false">
      <c r="A17" s="1" t="s">
        <v>145</v>
      </c>
      <c r="B17" s="2" t="n">
        <v>40.91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2026-10-07T18:51:48Z</dcterms:created>
  <dc:creator>openpyxl</dc:creator>
  <dc:description/>
  <dc:language>en-US</dc:language>
  <cp:lastModifiedBy/>
  <dcterms:modified xsi:type="dcterms:W3CDTF">2026-10-07T18:51:48Z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
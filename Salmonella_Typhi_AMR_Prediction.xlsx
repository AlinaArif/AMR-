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reprocessing" sheetId="3" state="visible" r:id="rId5"/>
    <sheet name="Forecast" sheetId="4" state="visible" r:id="rId6"/>
    <sheet name="Forecast_Wide" sheetId="5" state="visible" r:id="rId7"/>
    <sheet name="Model_Performance" sheetId="6" state="visible" r:id="rId8"/>
    <sheet name="Unclassified_Review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<sst xmlns="http://schemas.openxmlformats.org/spreadsheetml/2006/main" count="957" uniqueCount="107">
  <si>
    <t xml:space="preserve">Item</t>
  </si>
  <si>
    <t xml:space="preserve">Detail</t>
  </si>
  <si>
    <t xml:space="preserve">Organism (label in source file)</t>
  </si>
  <si>
    <t xml:space="preserve">Salmonella (source label; serovar Typhi not stated)</t>
  </si>
  <si>
    <t xml:space="preserve">Source file</t>
  </si>
  <si>
    <t xml:space="preserve">AMR_Forecast_1994_2022_Base_2031.xlsx (split by the 'species' column; values copied unchanged)</t>
  </si>
  <si>
    <t xml:space="preserve">Sheets</t>
  </si>
  <si>
    <t xml:space="preserve">Raw_Data (annual resistance counts) | Preprocessing (method/settings) | Forecast (long) | Forecast_Wide | Model_Performance | Unclassified_Review | Summary</t>
  </si>
  <si>
    <t xml:space="preserve">Data level</t>
  </si>
  <si>
    <t xml:space="preserve">Source holds ANNUAL AGGREGATES per antibiotic (n_isolates, n_resistant, rate). No isolate-level rows, MIC values, geography, features, train/test split, or ML predictions exist in the source.</t>
  </si>
  <si>
    <t xml:space="preserve">Not created (not in source)</t>
  </si>
  <si>
    <t xml:space="preserve">Cleaned_Data, Features, Train_Data, Test_Data, Predictions (actual vs predicted), accuracy/precision/recall/F1/ROC-AUC, confusion matrix, cross-validation, MIC, geography, Intermediate category.</t>
  </si>
  <si>
    <t xml:space="preserve">Missing-value rule</t>
  </si>
  <si>
    <t xml:space="preserve">Blank = value absent in source (e.g. p-value / R² where slope could not be fitted). Nothing was imputed or recoded.</t>
  </si>
  <si>
    <t xml:space="preserve">Forecast method</t>
  </si>
  <si>
    <t xml:space="preserve">Weighted least-squares line per antibiotic on annual resistance %, weights = isolates/year; clamped to 0-100; CI = 95% CI of the fitted line</t>
  </si>
  <si>
    <t xml:space="preserve">Caveats (from source)</t>
  </si>
  <si>
    <t xml:space="preserve">Completion Date is when a genome was finished, not when the isolate was collected. Use --year-source collection for epidemiological trends. | Forecasts extrapolate 3-9 years beyond the last fit year; CIs cover the trend line only, not sampling-bias or policy shifts. | BV-BRC is submission-biased (outbreaks, resistant isolates over-represented).</t>
  </si>
  <si>
    <t xml:space="preserve">species</t>
  </si>
  <si>
    <t xml:space="preserve">antibiotic</t>
  </si>
  <si>
    <t xml:space="preserve">year</t>
  </si>
  <si>
    <t xml:space="preserve">n_isolates</t>
  </si>
  <si>
    <t xml:space="preserve">n_resistant</t>
  </si>
  <si>
    <t xml:space="preserve">resistance_rate_pct</t>
  </si>
  <si>
    <t xml:space="preserve">Salmonella</t>
  </si>
  <si>
    <t xml:space="preserve">amoxicillin/clavulanic acid</t>
  </si>
  <si>
    <t xml:space="preserve">ampicillin</t>
  </si>
  <si>
    <t xml:space="preserve">azithromycin</t>
  </si>
  <si>
    <t xml:space="preserve">cefotaxime</t>
  </si>
  <si>
    <t xml:space="preserve">cefoxitin</t>
  </si>
  <si>
    <t xml:space="preserve">cefpodoxime</t>
  </si>
  <si>
    <t xml:space="preserve">ceftazidime</t>
  </si>
  <si>
    <t xml:space="preserve">ceftriaxone</t>
  </si>
  <si>
    <t xml:space="preserve">cephalosporin</t>
  </si>
  <si>
    <t xml:space="preserve">chloramphenicol</t>
  </si>
  <si>
    <t xml:space="preserve">ciprofloxacin</t>
  </si>
  <si>
    <t xml:space="preserve">ertapenem</t>
  </si>
  <si>
    <t xml:space="preserve">gentamicin</t>
  </si>
  <si>
    <t xml:space="preserve">kanamycin</t>
  </si>
  <si>
    <t xml:space="preserve">meropenem</t>
  </si>
  <si>
    <t xml:space="preserve">nalidixic acid</t>
  </si>
  <si>
    <t xml:space="preserve">pefloxacin</t>
  </si>
  <si>
    <t xml:space="preserve">spectinomycin</t>
  </si>
  <si>
    <t xml:space="preserve">streptomycin</t>
  </si>
  <si>
    <t xml:space="preserve">sulfamethoxazole</t>
  </si>
  <si>
    <t xml:space="preserve">tetracycline</t>
  </si>
  <si>
    <t xml:space="preserve">trimethoprim</t>
  </si>
  <si>
    <t xml:space="preserve">trimethoprim/sulfamethoxazole</t>
  </si>
  <si>
    <t xml:space="preserve">item</t>
  </si>
  <si>
    <t xml:space="preserve">value</t>
  </si>
  <si>
    <t xml:space="preserve">training window</t>
  </si>
  <si>
    <t xml:space="preserve">1994-2022</t>
  </si>
  <si>
    <t xml:space="preserve">hold-out window</t>
  </si>
  <si>
    <t xml:space="preserve">2023-2024</t>
  </si>
  <si>
    <t xml:space="preserve">forecast window</t>
  </si>
  <si>
    <t xml:space="preserve">2025-2031</t>
  </si>
  <si>
    <t xml:space="preserve">year source mode</t>
  </si>
  <si>
    <t xml:space="preserve">auto</t>
  </si>
  <si>
    <t xml:space="preserve">missing phenotype handling</t>
  </si>
  <si>
    <t xml:space="preserve">dropped  (rows with missing phenotype were dropped upstream, not set to Susceptible)</t>
  </si>
  <si>
    <t xml:space="preserve">method</t>
  </si>
  <si>
    <t xml:space="preserve">Pipeline-wide counts (files read, rows merged, AMR rows, modelling rows, year-source counts)</t>
  </si>
  <si>
    <t xml:space="preserve">Not separable by organism in source file; deliberately omitted to avoid mixing organisms</t>
  </si>
  <si>
    <t xml:space="preserve">slope_pp_per_year</t>
  </si>
  <si>
    <t xml:space="preserve">slope_p_value</t>
  </si>
  <si>
    <t xml:space="preserve">trend_direction</t>
  </si>
  <si>
    <t xml:space="preserve">r2_weighted</t>
  </si>
  <si>
    <t xml:space="preserve">n_years_fit</t>
  </si>
  <si>
    <t xml:space="preserve">n_isolates_fit</t>
  </si>
  <si>
    <t xml:space="preserve">last_fit_year</t>
  </si>
  <si>
    <t xml:space="preserve">last_fit_rate_pct</t>
  </si>
  <si>
    <t xml:space="preserve">years_ahead</t>
  </si>
  <si>
    <t xml:space="preserve">forecast_resistance_pct</t>
  </si>
  <si>
    <t xml:space="preserve">ci95_lower_pct</t>
  </si>
  <si>
    <t xml:space="preserve">ci95_upper_pct</t>
  </si>
  <si>
    <t xml:space="preserve">no significant trend</t>
  </si>
  <si>
    <t xml:space="preserve">decreasing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</si>
  <si>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</si>
  <si>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</si>
  <si>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</si>
  <si>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</si>
  <si>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</si>
  <si>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</si>
  <si>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</si>
  <si>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Trend back-test</t>
  </si>
  <si>
    <t xml:space="preserve">Not available in source file</t>
  </si>
  <si>
    <t xml:space="preserve">Accuracy / Precision / Recall / F1 / ROC-AUC / Confusion matrix / CV</t>
  </si>
  <si>
    <t xml:space="preserve">Rows not assignable to either organism (whole source file)</t>
  </si>
  <si>
    <t xml:space="preserve">Note</t>
  </si>
  <si>
    <t xml:space="preserve">Zero ambiguous rows: every source row carries one of exactly two species labels.</t>
  </si>
  <si>
    <t xml:space="preserve">Metric</t>
  </si>
  <si>
    <t xml:space="preserve">Value</t>
  </si>
  <si>
    <t xml:space="preserve">Organism</t>
  </si>
  <si>
    <t xml:space="preserve">Raw_Data rows</t>
  </si>
  <si>
    <t xml:space="preserve">Forecast rows (long)</t>
  </si>
  <si>
    <t xml:space="preserve">Forecast_Wide rows (antibiotics forecast)</t>
  </si>
  <si>
    <t xml:space="preserve">Antibiotics in Raw_Data (count)</t>
  </si>
  <si>
    <t xml:space="preserve">Antibiotics in Raw_Data</t>
  </si>
  <si>
    <t xml:space="preserve">amoxicillin/clavulanic acid, ampicillin, azithromycin, cefotaxime, cefoxitin, cefpodoxime, ceftazidime, ceftriaxone, cephalosporin, chloramphenicol, ciprofloxacin, ertapenem, gentamicin, kanamycin, meropenem, nalidixic acid, pefloxacin, spectinomycin, streptomycin, sulfamethoxazole, tetracycline, trimethoprim, trimethoprim/sulfamethoxazole</t>
  </si>
  <si>
    <t xml:space="preserve">Antibiotics forecast (count)</t>
  </si>
  <si>
    <t xml:space="preserve">Antibiotics forecast</t>
  </si>
  <si>
    <t xml:space="preserve">ampicillin, azithromycin, cefotaxime, ceftazidime, ceftriaxone, cephalosporin, chloramphenicol, ciprofloxacin, ertapenem, gentamicin, meropenem, nalidixic acid, pefloxacin, tetracycline, trimethoprim/sulfamethoxazole</t>
  </si>
  <si>
    <t xml:space="preserve">Year range in Raw_Data</t>
  </si>
  <si>
    <t xml:space="preserve">1994-2019</t>
  </si>
  <si>
    <t xml:space="preserve">Total isolates in Raw_Data (sum of annual n_isolates; an isolate tested for several antibiotics counts once per antibiotic)</t>
  </si>
  <si>
    <t xml:space="preserve">Forecasted antibiotics with a statistically significant trend (per source trend_direction)</t>
  </si>
  <si>
    <t xml:space="preserve">Back-test rows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</si>
</sst>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26.85" hidden="false" customHeight="false" outlineLevel="0" collapsed="false">
      <c r="A4" s="1" t="s">
        <v>6</v>
      </c>
      <c r="B4" s="2" t="s">
        <v>7</v>
      </c>
    </row>
    <row r="5" customFormat="false" ht="26.85" hidden="false" customHeight="false" outlineLevel="0" collapsed="false">
      <c r="A5" s="1" t="s">
        <v>8</v>
      </c>
      <c r="B5" s="2" t="s">
        <v>9</v>
      </c>
    </row>
    <row r="6" customFormat="false" ht="26.8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26.85" hidden="false" customHeight="false" outlineLevel="0" collapsed="false">
      <c r="A8" s="1" t="s">
        <v>14</v>
      </c>
      <c r="B8" s="2" t="s">
        <v>15</v>
      </c>
    </row>
    <row r="9" customFormat="false" ht="39.55" hidden="false" customHeight="false" outlineLevel="0" collapsed="false">
      <c r="A9" s="1" t="s">
        <v>16</v>
      </c>
      <c r="B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customFormat="false" ht="15" hidden="false" customHeight="false" outlineLevel="0" collapsed="false">
      <c r="A2" s="4" t="s">
        <v>24</v>
      </c>
      <c r="B2" s="4" t="s">
        <v>25</v>
      </c>
      <c r="C2" s="4" t="n">
        <v>2018</v>
      </c>
      <c r="D2" s="4" t="n">
        <v>4</v>
      </c>
      <c r="E2" s="4" t="n">
        <v>0</v>
      </c>
      <c r="F2" s="4" t="n">
        <v>0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n">
        <v>2019</v>
      </c>
      <c r="D3" s="4" t="n">
        <v>6</v>
      </c>
      <c r="E3" s="4" t="n">
        <v>0</v>
      </c>
      <c r="F3" s="4" t="n">
        <v>0</v>
      </c>
    </row>
    <row r="4" customFormat="false" ht="15" hidden="false" customHeight="false" outlineLevel="0" collapsed="false">
      <c r="A4" s="4" t="s">
        <v>24</v>
      </c>
      <c r="B4" s="4" t="s">
        <v>26</v>
      </c>
      <c r="C4" s="4" t="n">
        <v>1994</v>
      </c>
      <c r="D4" s="4" t="n">
        <v>4</v>
      </c>
      <c r="E4" s="4" t="n">
        <v>0</v>
      </c>
      <c r="F4" s="4" t="n">
        <v>0</v>
      </c>
    </row>
    <row r="5" customFormat="false" ht="15" hidden="false" customHeight="false" outlineLevel="0" collapsed="false">
      <c r="A5" s="4" t="s">
        <v>24</v>
      </c>
      <c r="B5" s="4" t="s">
        <v>26</v>
      </c>
      <c r="C5" s="4" t="n">
        <v>1996</v>
      </c>
      <c r="D5" s="4" t="n">
        <v>3</v>
      </c>
      <c r="E5" s="4" t="n">
        <v>0</v>
      </c>
      <c r="F5" s="4" t="n">
        <v>0</v>
      </c>
    </row>
    <row r="6" customFormat="false" ht="15" hidden="false" customHeight="false" outlineLevel="0" collapsed="false">
      <c r="A6" s="4" t="s">
        <v>24</v>
      </c>
      <c r="B6" s="4" t="s">
        <v>26</v>
      </c>
      <c r="C6" s="4" t="n">
        <v>1998</v>
      </c>
      <c r="D6" s="4" t="n">
        <v>7</v>
      </c>
      <c r="E6" s="4" t="n">
        <v>0</v>
      </c>
      <c r="F6" s="4" t="n">
        <v>0</v>
      </c>
    </row>
    <row r="7" customFormat="false" ht="15" hidden="false" customHeight="false" outlineLevel="0" collapsed="false">
      <c r="A7" s="4" t="s">
        <v>24</v>
      </c>
      <c r="B7" s="4" t="s">
        <v>26</v>
      </c>
      <c r="C7" s="4" t="n">
        <v>1999</v>
      </c>
      <c r="D7" s="4" t="n">
        <v>21</v>
      </c>
      <c r="E7" s="4" t="n">
        <v>6</v>
      </c>
      <c r="F7" s="4" t="n">
        <v>28.571</v>
      </c>
    </row>
    <row r="8" customFormat="false" ht="15" hidden="false" customHeight="false" outlineLevel="0" collapsed="false">
      <c r="A8" s="4" t="s">
        <v>24</v>
      </c>
      <c r="B8" s="4" t="s">
        <v>26</v>
      </c>
      <c r="C8" s="4" t="n">
        <v>2000</v>
      </c>
      <c r="D8" s="4" t="n">
        <v>27</v>
      </c>
      <c r="E8" s="4" t="n">
        <v>11</v>
      </c>
      <c r="F8" s="4" t="n">
        <v>40.741</v>
      </c>
    </row>
    <row r="9" customFormat="false" ht="15" hidden="false" customHeight="false" outlineLevel="0" collapsed="false">
      <c r="A9" s="4" t="s">
        <v>24</v>
      </c>
      <c r="B9" s="4" t="s">
        <v>26</v>
      </c>
      <c r="C9" s="4" t="n">
        <v>2001</v>
      </c>
      <c r="D9" s="4" t="n">
        <v>36</v>
      </c>
      <c r="E9" s="4" t="n">
        <v>26</v>
      </c>
      <c r="F9" s="4" t="n">
        <v>72.222</v>
      </c>
    </row>
    <row r="10" customFormat="false" ht="15" hidden="false" customHeight="false" outlineLevel="0" collapsed="false">
      <c r="A10" s="4" t="s">
        <v>24</v>
      </c>
      <c r="B10" s="4" t="s">
        <v>26</v>
      </c>
      <c r="C10" s="4" t="n">
        <v>2002</v>
      </c>
      <c r="D10" s="4" t="n">
        <v>24</v>
      </c>
      <c r="E10" s="4" t="n">
        <v>20</v>
      </c>
      <c r="F10" s="4" t="n">
        <v>83.333</v>
      </c>
    </row>
    <row r="11" customFormat="false" ht="15" hidden="false" customHeight="false" outlineLevel="0" collapsed="false">
      <c r="A11" s="4" t="s">
        <v>24</v>
      </c>
      <c r="B11" s="4" t="s">
        <v>26</v>
      </c>
      <c r="C11" s="4" t="n">
        <v>2004</v>
      </c>
      <c r="D11" s="4" t="n">
        <v>15</v>
      </c>
      <c r="E11" s="4" t="n">
        <v>8</v>
      </c>
      <c r="F11" s="4" t="n">
        <v>53.333</v>
      </c>
    </row>
    <row r="12" customFormat="false" ht="15" hidden="false" customHeight="false" outlineLevel="0" collapsed="false">
      <c r="A12" s="4" t="s">
        <v>24</v>
      </c>
      <c r="B12" s="4" t="s">
        <v>26</v>
      </c>
      <c r="C12" s="4" t="n">
        <v>2005</v>
      </c>
      <c r="D12" s="4" t="n">
        <v>51</v>
      </c>
      <c r="E12" s="4" t="n">
        <v>27</v>
      </c>
      <c r="F12" s="4" t="n">
        <v>52.941</v>
      </c>
    </row>
    <row r="13" customFormat="false" ht="15" hidden="false" customHeight="false" outlineLevel="0" collapsed="false">
      <c r="A13" s="4" t="s">
        <v>24</v>
      </c>
      <c r="B13" s="4" t="s">
        <v>26</v>
      </c>
      <c r="C13" s="4" t="n">
        <v>2006</v>
      </c>
      <c r="D13" s="4" t="n">
        <v>60</v>
      </c>
      <c r="E13" s="4" t="n">
        <v>30</v>
      </c>
      <c r="F13" s="4" t="n">
        <v>50</v>
      </c>
    </row>
    <row r="14" customFormat="false" ht="15" hidden="false" customHeight="false" outlineLevel="0" collapsed="false">
      <c r="A14" s="4" t="s">
        <v>24</v>
      </c>
      <c r="B14" s="4" t="s">
        <v>26</v>
      </c>
      <c r="C14" s="4" t="n">
        <v>2007</v>
      </c>
      <c r="D14" s="4" t="n">
        <v>61</v>
      </c>
      <c r="E14" s="4" t="n">
        <v>27</v>
      </c>
      <c r="F14" s="4" t="n">
        <v>44.262</v>
      </c>
    </row>
    <row r="15" customFormat="false" ht="15" hidden="false" customHeight="false" outlineLevel="0" collapsed="false">
      <c r="A15" s="4" t="s">
        <v>24</v>
      </c>
      <c r="B15" s="4" t="s">
        <v>26</v>
      </c>
      <c r="C15" s="4" t="n">
        <v>2008</v>
      </c>
      <c r="D15" s="4" t="n">
        <v>76</v>
      </c>
      <c r="E15" s="4" t="n">
        <v>32</v>
      </c>
      <c r="F15" s="4" t="n">
        <v>42.105</v>
      </c>
    </row>
    <row r="16" customFormat="false" ht="15" hidden="false" customHeight="false" outlineLevel="0" collapsed="false">
      <c r="A16" s="4" t="s">
        <v>24</v>
      </c>
      <c r="B16" s="4" t="s">
        <v>26</v>
      </c>
      <c r="C16" s="4" t="n">
        <v>2009</v>
      </c>
      <c r="D16" s="4" t="n">
        <v>98</v>
      </c>
      <c r="E16" s="4" t="n">
        <v>30</v>
      </c>
      <c r="F16" s="4" t="n">
        <v>30.612</v>
      </c>
    </row>
    <row r="17" customFormat="false" ht="15" hidden="false" customHeight="false" outlineLevel="0" collapsed="false">
      <c r="A17" s="4" t="s">
        <v>24</v>
      </c>
      <c r="B17" s="4" t="s">
        <v>26</v>
      </c>
      <c r="C17" s="4" t="n">
        <v>2010</v>
      </c>
      <c r="D17" s="4" t="n">
        <v>127</v>
      </c>
      <c r="E17" s="4" t="n">
        <v>34</v>
      </c>
      <c r="F17" s="4" t="n">
        <v>26.772</v>
      </c>
    </row>
    <row r="18" customFormat="false" ht="15" hidden="false" customHeight="false" outlineLevel="0" collapsed="false">
      <c r="A18" s="4" t="s">
        <v>24</v>
      </c>
      <c r="B18" s="4" t="s">
        <v>26</v>
      </c>
      <c r="C18" s="4" t="n">
        <v>2011</v>
      </c>
      <c r="D18" s="4" t="n">
        <v>100</v>
      </c>
      <c r="E18" s="4" t="n">
        <v>29</v>
      </c>
      <c r="F18" s="4" t="n">
        <v>29</v>
      </c>
    </row>
    <row r="19" customFormat="false" ht="15" hidden="false" customHeight="false" outlineLevel="0" collapsed="false">
      <c r="A19" s="4" t="s">
        <v>24</v>
      </c>
      <c r="B19" s="4" t="s">
        <v>26</v>
      </c>
      <c r="C19" s="4" t="n">
        <v>2012</v>
      </c>
      <c r="D19" s="4" t="n">
        <v>83</v>
      </c>
      <c r="E19" s="4" t="n">
        <v>28</v>
      </c>
      <c r="F19" s="4" t="n">
        <v>33.735</v>
      </c>
    </row>
    <row r="20" customFormat="false" ht="15" hidden="false" customHeight="false" outlineLevel="0" collapsed="false">
      <c r="A20" s="4" t="s">
        <v>24</v>
      </c>
      <c r="B20" s="4" t="s">
        <v>26</v>
      </c>
      <c r="C20" s="4" t="n">
        <v>2013</v>
      </c>
      <c r="D20" s="4" t="n">
        <v>165</v>
      </c>
      <c r="E20" s="4" t="n">
        <v>48</v>
      </c>
      <c r="F20" s="4" t="n">
        <v>29.091</v>
      </c>
    </row>
    <row r="21" customFormat="false" ht="15" hidden="false" customHeight="false" outlineLevel="0" collapsed="false">
      <c r="A21" s="4" t="s">
        <v>24</v>
      </c>
      <c r="B21" s="4" t="s">
        <v>26</v>
      </c>
      <c r="C21" s="4" t="n">
        <v>2014</v>
      </c>
      <c r="D21" s="4" t="n">
        <v>77</v>
      </c>
      <c r="E21" s="4" t="n">
        <v>27</v>
      </c>
      <c r="F21" s="4" t="n">
        <v>35.065</v>
      </c>
    </row>
    <row r="22" customFormat="false" ht="15" hidden="false" customHeight="false" outlineLevel="0" collapsed="false">
      <c r="A22" s="4" t="s">
        <v>24</v>
      </c>
      <c r="B22" s="4" t="s">
        <v>26</v>
      </c>
      <c r="C22" s="4" t="n">
        <v>2015</v>
      </c>
      <c r="D22" s="4" t="n">
        <v>119</v>
      </c>
      <c r="E22" s="4" t="n">
        <v>72</v>
      </c>
      <c r="F22" s="4" t="n">
        <v>60.504</v>
      </c>
    </row>
    <row r="23" customFormat="false" ht="15" hidden="false" customHeight="false" outlineLevel="0" collapsed="false">
      <c r="A23" s="4" t="s">
        <v>24</v>
      </c>
      <c r="B23" s="4" t="s">
        <v>26</v>
      </c>
      <c r="C23" s="4" t="n">
        <v>2016</v>
      </c>
      <c r="D23" s="4" t="n">
        <v>186</v>
      </c>
      <c r="E23" s="4" t="n">
        <v>36</v>
      </c>
      <c r="F23" s="4" t="n">
        <v>19.355</v>
      </c>
    </row>
    <row r="24" customFormat="false" ht="15" hidden="false" customHeight="false" outlineLevel="0" collapsed="false">
      <c r="A24" s="4" t="s">
        <v>24</v>
      </c>
      <c r="B24" s="4" t="s">
        <v>26</v>
      </c>
      <c r="C24" s="4" t="n">
        <v>2018</v>
      </c>
      <c r="D24" s="4" t="n">
        <v>9</v>
      </c>
      <c r="E24" s="4" t="n">
        <v>9</v>
      </c>
      <c r="F24" s="4" t="n">
        <v>100</v>
      </c>
    </row>
    <row r="25" customFormat="false" ht="15" hidden="false" customHeight="false" outlineLevel="0" collapsed="false">
      <c r="A25" s="4" t="s">
        <v>24</v>
      </c>
      <c r="B25" s="4" t="s">
        <v>26</v>
      </c>
      <c r="C25" s="4" t="n">
        <v>2019</v>
      </c>
      <c r="D25" s="4" t="n">
        <v>6</v>
      </c>
      <c r="E25" s="4" t="n">
        <v>6</v>
      </c>
      <c r="F25" s="4" t="n">
        <v>100</v>
      </c>
    </row>
    <row r="26" customFormat="false" ht="15" hidden="false" customHeight="false" outlineLevel="0" collapsed="false">
      <c r="A26" s="4" t="s">
        <v>24</v>
      </c>
      <c r="B26" s="4" t="s">
        <v>27</v>
      </c>
      <c r="C26" s="4" t="n">
        <v>2008</v>
      </c>
      <c r="D26" s="4" t="n">
        <v>1</v>
      </c>
      <c r="E26" s="4" t="n">
        <v>0</v>
      </c>
      <c r="F26" s="4" t="n">
        <v>0</v>
      </c>
    </row>
    <row r="27" customFormat="false" ht="15" hidden="false" customHeight="false" outlineLevel="0" collapsed="false">
      <c r="A27" s="4" t="s">
        <v>24</v>
      </c>
      <c r="B27" s="4" t="s">
        <v>27</v>
      </c>
      <c r="C27" s="4" t="n">
        <v>2009</v>
      </c>
      <c r="D27" s="4" t="n">
        <v>4</v>
      </c>
      <c r="E27" s="4" t="n">
        <v>0</v>
      </c>
      <c r="F27" s="4" t="n">
        <v>0</v>
      </c>
    </row>
    <row r="28" customFormat="false" ht="15" hidden="false" customHeight="false" outlineLevel="0" collapsed="false">
      <c r="A28" s="4" t="s">
        <v>24</v>
      </c>
      <c r="B28" s="4" t="s">
        <v>27</v>
      </c>
      <c r="C28" s="4" t="n">
        <v>2010</v>
      </c>
      <c r="D28" s="4" t="n">
        <v>21</v>
      </c>
      <c r="E28" s="4" t="n">
        <v>0</v>
      </c>
      <c r="F28" s="4" t="n">
        <v>0</v>
      </c>
    </row>
    <row r="29" customFormat="false" ht="15" hidden="false" customHeight="false" outlineLevel="0" collapsed="false">
      <c r="A29" s="4" t="s">
        <v>24</v>
      </c>
      <c r="B29" s="4" t="s">
        <v>27</v>
      </c>
      <c r="C29" s="4" t="n">
        <v>2011</v>
      </c>
      <c r="D29" s="4" t="n">
        <v>11</v>
      </c>
      <c r="E29" s="4" t="n">
        <v>0</v>
      </c>
      <c r="F29" s="4" t="n">
        <v>0</v>
      </c>
    </row>
    <row r="30" customFormat="false" ht="15" hidden="false" customHeight="false" outlineLevel="0" collapsed="false">
      <c r="A30" s="4" t="s">
        <v>24</v>
      </c>
      <c r="B30" s="4" t="s">
        <v>27</v>
      </c>
      <c r="C30" s="4" t="n">
        <v>2012</v>
      </c>
      <c r="D30" s="4" t="n">
        <v>12</v>
      </c>
      <c r="E30" s="4" t="n">
        <v>0</v>
      </c>
      <c r="F30" s="4" t="n">
        <v>0</v>
      </c>
    </row>
    <row r="31" customFormat="false" ht="15" hidden="false" customHeight="false" outlineLevel="0" collapsed="false">
      <c r="A31" s="4" t="s">
        <v>24</v>
      </c>
      <c r="B31" s="4" t="s">
        <v>27</v>
      </c>
      <c r="C31" s="4" t="n">
        <v>2013</v>
      </c>
      <c r="D31" s="4" t="n">
        <v>21</v>
      </c>
      <c r="E31" s="4" t="n">
        <v>0</v>
      </c>
      <c r="F31" s="4" t="n">
        <v>0</v>
      </c>
    </row>
    <row r="32" customFormat="false" ht="15" hidden="false" customHeight="false" outlineLevel="0" collapsed="false">
      <c r="A32" s="4" t="s">
        <v>24</v>
      </c>
      <c r="B32" s="4" t="s">
        <v>27</v>
      </c>
      <c r="C32" s="4" t="n">
        <v>2014</v>
      </c>
      <c r="D32" s="4" t="n">
        <v>7</v>
      </c>
      <c r="E32" s="4" t="n">
        <v>0</v>
      </c>
      <c r="F32" s="4" t="n">
        <v>0</v>
      </c>
    </row>
    <row r="33" customFormat="false" ht="15" hidden="false" customHeight="false" outlineLevel="0" collapsed="false">
      <c r="A33" s="4" t="s">
        <v>24</v>
      </c>
      <c r="B33" s="4" t="s">
        <v>27</v>
      </c>
      <c r="C33" s="4" t="n">
        <v>2015</v>
      </c>
      <c r="D33" s="4" t="n">
        <v>9</v>
      </c>
      <c r="E33" s="4" t="n">
        <v>0</v>
      </c>
      <c r="F33" s="4" t="n">
        <v>0</v>
      </c>
    </row>
    <row r="34" customFormat="false" ht="15" hidden="false" customHeight="false" outlineLevel="0" collapsed="false">
      <c r="A34" s="4" t="s">
        <v>24</v>
      </c>
      <c r="B34" s="4" t="s">
        <v>27</v>
      </c>
      <c r="C34" s="4" t="n">
        <v>2018</v>
      </c>
      <c r="D34" s="4" t="n">
        <v>9</v>
      </c>
      <c r="E34" s="4" t="n">
        <v>0</v>
      </c>
      <c r="F34" s="4" t="n">
        <v>0</v>
      </c>
    </row>
    <row r="35" customFormat="false" ht="15" hidden="false" customHeight="false" outlineLevel="0" collapsed="false">
      <c r="A35" s="4" t="s">
        <v>24</v>
      </c>
      <c r="B35" s="4" t="s">
        <v>27</v>
      </c>
      <c r="C35" s="4" t="n">
        <v>2019</v>
      </c>
      <c r="D35" s="4" t="n">
        <v>6</v>
      </c>
      <c r="E35" s="4" t="n">
        <v>0</v>
      </c>
      <c r="F35" s="4" t="n">
        <v>0</v>
      </c>
    </row>
    <row r="36" customFormat="false" ht="15" hidden="false" customHeight="false" outlineLevel="0" collapsed="false">
      <c r="A36" s="4" t="s">
        <v>24</v>
      </c>
      <c r="B36" s="4" t="s">
        <v>28</v>
      </c>
      <c r="C36" s="4" t="n">
        <v>2001</v>
      </c>
      <c r="D36" s="4" t="n">
        <v>2</v>
      </c>
      <c r="E36" s="4" t="n">
        <v>0</v>
      </c>
      <c r="F36" s="4" t="n">
        <v>0</v>
      </c>
    </row>
    <row r="37" customFormat="false" ht="15" hidden="false" customHeight="false" outlineLevel="0" collapsed="false">
      <c r="A37" s="4" t="s">
        <v>24</v>
      </c>
      <c r="B37" s="4" t="s">
        <v>28</v>
      </c>
      <c r="C37" s="4" t="n">
        <v>2002</v>
      </c>
      <c r="D37" s="4" t="n">
        <v>2</v>
      </c>
      <c r="E37" s="4" t="n">
        <v>0</v>
      </c>
      <c r="F37" s="4" t="n">
        <v>0</v>
      </c>
    </row>
    <row r="38" customFormat="false" ht="15" hidden="false" customHeight="false" outlineLevel="0" collapsed="false">
      <c r="A38" s="4" t="s">
        <v>24</v>
      </c>
      <c r="B38" s="4" t="s">
        <v>28</v>
      </c>
      <c r="C38" s="4" t="n">
        <v>2007</v>
      </c>
      <c r="D38" s="4" t="n">
        <v>4</v>
      </c>
      <c r="E38" s="4" t="n">
        <v>0</v>
      </c>
      <c r="F38" s="4" t="n">
        <v>0</v>
      </c>
    </row>
    <row r="39" customFormat="false" ht="15" hidden="false" customHeight="false" outlineLevel="0" collapsed="false">
      <c r="A39" s="4" t="s">
        <v>24</v>
      </c>
      <c r="B39" s="4" t="s">
        <v>28</v>
      </c>
      <c r="C39" s="4" t="n">
        <v>2009</v>
      </c>
      <c r="D39" s="4" t="n">
        <v>2</v>
      </c>
      <c r="E39" s="4" t="n">
        <v>0</v>
      </c>
      <c r="F39" s="4" t="n">
        <v>0</v>
      </c>
    </row>
    <row r="40" customFormat="false" ht="15" hidden="false" customHeight="false" outlineLevel="0" collapsed="false">
      <c r="A40" s="4" t="s">
        <v>24</v>
      </c>
      <c r="B40" s="4" t="s">
        <v>28</v>
      </c>
      <c r="C40" s="4" t="n">
        <v>2010</v>
      </c>
      <c r="D40" s="4" t="n">
        <v>5</v>
      </c>
      <c r="E40" s="4" t="n">
        <v>0</v>
      </c>
      <c r="F40" s="4" t="n">
        <v>0</v>
      </c>
    </row>
    <row r="41" customFormat="false" ht="15" hidden="false" customHeight="false" outlineLevel="0" collapsed="false">
      <c r="A41" s="4" t="s">
        <v>24</v>
      </c>
      <c r="B41" s="4" t="s">
        <v>28</v>
      </c>
      <c r="C41" s="4" t="n">
        <v>2013</v>
      </c>
      <c r="D41" s="4" t="n">
        <v>29</v>
      </c>
      <c r="E41" s="4" t="n">
        <v>2</v>
      </c>
      <c r="F41" s="4" t="n">
        <v>6.897</v>
      </c>
    </row>
    <row r="42" customFormat="false" ht="15" hidden="false" customHeight="false" outlineLevel="0" collapsed="false">
      <c r="A42" s="4" t="s">
        <v>24</v>
      </c>
      <c r="B42" s="4" t="s">
        <v>28</v>
      </c>
      <c r="C42" s="4" t="n">
        <v>2014</v>
      </c>
      <c r="D42" s="4" t="n">
        <v>43</v>
      </c>
      <c r="E42" s="4" t="n">
        <v>0</v>
      </c>
      <c r="F42" s="4" t="n">
        <v>0</v>
      </c>
    </row>
    <row r="43" customFormat="false" ht="15" hidden="false" customHeight="false" outlineLevel="0" collapsed="false">
      <c r="A43" s="4" t="s">
        <v>24</v>
      </c>
      <c r="B43" s="4" t="s">
        <v>28</v>
      </c>
      <c r="C43" s="4" t="n">
        <v>2015</v>
      </c>
      <c r="D43" s="4" t="n">
        <v>90</v>
      </c>
      <c r="E43" s="4" t="n">
        <v>2</v>
      </c>
      <c r="F43" s="4" t="n">
        <v>2.222</v>
      </c>
    </row>
    <row r="44" customFormat="false" ht="15" hidden="false" customHeight="false" outlineLevel="0" collapsed="false">
      <c r="A44" s="4" t="s">
        <v>24</v>
      </c>
      <c r="B44" s="4" t="s">
        <v>28</v>
      </c>
      <c r="C44" s="4" t="n">
        <v>2016</v>
      </c>
      <c r="D44" s="4" t="n">
        <v>68</v>
      </c>
      <c r="E44" s="4" t="n">
        <v>2</v>
      </c>
      <c r="F44" s="4" t="n">
        <v>2.941</v>
      </c>
    </row>
    <row r="45" customFormat="false" ht="15" hidden="false" customHeight="false" outlineLevel="0" collapsed="false">
      <c r="A45" s="4" t="s">
        <v>24</v>
      </c>
      <c r="B45" s="4" t="s">
        <v>29</v>
      </c>
      <c r="C45" s="4" t="n">
        <v>2018</v>
      </c>
      <c r="D45" s="4" t="n">
        <v>4</v>
      </c>
      <c r="E45" s="4" t="n">
        <v>0</v>
      </c>
      <c r="F45" s="4" t="n">
        <v>0</v>
      </c>
    </row>
    <row r="46" customFormat="false" ht="15" hidden="false" customHeight="false" outlineLevel="0" collapsed="false">
      <c r="A46" s="4" t="s">
        <v>24</v>
      </c>
      <c r="B46" s="4" t="s">
        <v>29</v>
      </c>
      <c r="C46" s="4" t="n">
        <v>2019</v>
      </c>
      <c r="D46" s="4" t="n">
        <v>6</v>
      </c>
      <c r="E46" s="4" t="n">
        <v>0</v>
      </c>
      <c r="F46" s="4" t="n">
        <v>0</v>
      </c>
    </row>
    <row r="47" customFormat="false" ht="15" hidden="false" customHeight="false" outlineLevel="0" collapsed="false">
      <c r="A47" s="4" t="s">
        <v>24</v>
      </c>
      <c r="B47" s="4" t="s">
        <v>30</v>
      </c>
      <c r="C47" s="4" t="n">
        <v>2013</v>
      </c>
      <c r="D47" s="4" t="n">
        <v>29</v>
      </c>
      <c r="E47" s="4" t="n">
        <v>0</v>
      </c>
      <c r="F47" s="4" t="n">
        <v>0</v>
      </c>
    </row>
    <row r="48" customFormat="false" ht="15" hidden="false" customHeight="false" outlineLevel="0" collapsed="false">
      <c r="A48" s="4" t="s">
        <v>24</v>
      </c>
      <c r="B48" s="4" t="s">
        <v>30</v>
      </c>
      <c r="C48" s="4" t="n">
        <v>2014</v>
      </c>
      <c r="D48" s="4" t="n">
        <v>43</v>
      </c>
      <c r="E48" s="4" t="n">
        <v>0</v>
      </c>
      <c r="F48" s="4" t="n">
        <v>0</v>
      </c>
    </row>
    <row r="49" customFormat="false" ht="15" hidden="false" customHeight="false" outlineLevel="0" collapsed="false">
      <c r="A49" s="4" t="s">
        <v>24</v>
      </c>
      <c r="B49" s="4" t="s">
        <v>30</v>
      </c>
      <c r="C49" s="4" t="n">
        <v>2015</v>
      </c>
      <c r="D49" s="4" t="n">
        <v>90</v>
      </c>
      <c r="E49" s="4" t="n">
        <v>0</v>
      </c>
      <c r="F49" s="4" t="n">
        <v>0</v>
      </c>
    </row>
    <row r="50" customFormat="false" ht="15" hidden="false" customHeight="false" outlineLevel="0" collapsed="false">
      <c r="A50" s="4" t="s">
        <v>24</v>
      </c>
      <c r="B50" s="4" t="s">
        <v>30</v>
      </c>
      <c r="C50" s="4" t="n">
        <v>2016</v>
      </c>
      <c r="D50" s="4" t="n">
        <v>68</v>
      </c>
      <c r="E50" s="4" t="n">
        <v>0</v>
      </c>
      <c r="F50" s="4" t="n">
        <v>0</v>
      </c>
    </row>
    <row r="51" customFormat="false" ht="15" hidden="false" customHeight="false" outlineLevel="0" collapsed="false">
      <c r="A51" s="4" t="s">
        <v>24</v>
      </c>
      <c r="B51" s="4" t="s">
        <v>31</v>
      </c>
      <c r="C51" s="4" t="n">
        <v>2008</v>
      </c>
      <c r="D51" s="4" t="n">
        <v>1</v>
      </c>
      <c r="E51" s="4" t="n">
        <v>0</v>
      </c>
      <c r="F51" s="4" t="n">
        <v>0</v>
      </c>
    </row>
    <row r="52" customFormat="false" ht="15" hidden="false" customHeight="false" outlineLevel="0" collapsed="false">
      <c r="A52" s="4" t="s">
        <v>24</v>
      </c>
      <c r="B52" s="4" t="s">
        <v>31</v>
      </c>
      <c r="C52" s="4" t="n">
        <v>2009</v>
      </c>
      <c r="D52" s="4" t="n">
        <v>4</v>
      </c>
      <c r="E52" s="4" t="n">
        <v>0</v>
      </c>
      <c r="F52" s="4" t="n">
        <v>0</v>
      </c>
    </row>
    <row r="53" customFormat="false" ht="15" hidden="false" customHeight="false" outlineLevel="0" collapsed="false">
      <c r="A53" s="4" t="s">
        <v>24</v>
      </c>
      <c r="B53" s="4" t="s">
        <v>31</v>
      </c>
      <c r="C53" s="4" t="n">
        <v>2010</v>
      </c>
      <c r="D53" s="4" t="n">
        <v>21</v>
      </c>
      <c r="E53" s="4" t="n">
        <v>0</v>
      </c>
      <c r="F53" s="4" t="n">
        <v>0</v>
      </c>
    </row>
    <row r="54" customFormat="false" ht="15" hidden="false" customHeight="false" outlineLevel="0" collapsed="false">
      <c r="A54" s="4" t="s">
        <v>24</v>
      </c>
      <c r="B54" s="4" t="s">
        <v>31</v>
      </c>
      <c r="C54" s="4" t="n">
        <v>2011</v>
      </c>
      <c r="D54" s="4" t="n">
        <v>11</v>
      </c>
      <c r="E54" s="4" t="n">
        <v>0</v>
      </c>
      <c r="F54" s="4" t="n">
        <v>0</v>
      </c>
    </row>
    <row r="55" customFormat="false" ht="15" hidden="false" customHeight="false" outlineLevel="0" collapsed="false">
      <c r="A55" s="4" t="s">
        <v>24</v>
      </c>
      <c r="B55" s="4" t="s">
        <v>31</v>
      </c>
      <c r="C55" s="4" t="n">
        <v>2012</v>
      </c>
      <c r="D55" s="4" t="n">
        <v>12</v>
      </c>
      <c r="E55" s="4" t="n">
        <v>0</v>
      </c>
      <c r="F55" s="4" t="n">
        <v>0</v>
      </c>
    </row>
    <row r="56" customFormat="false" ht="15" hidden="false" customHeight="false" outlineLevel="0" collapsed="false">
      <c r="A56" s="4" t="s">
        <v>24</v>
      </c>
      <c r="B56" s="4" t="s">
        <v>31</v>
      </c>
      <c r="C56" s="4" t="n">
        <v>2013</v>
      </c>
      <c r="D56" s="4" t="n">
        <v>50</v>
      </c>
      <c r="E56" s="4" t="n">
        <v>1</v>
      </c>
      <c r="F56" s="4" t="n">
        <v>2</v>
      </c>
    </row>
    <row r="57" customFormat="false" ht="15" hidden="false" customHeight="false" outlineLevel="0" collapsed="false">
      <c r="A57" s="4" t="s">
        <v>24</v>
      </c>
      <c r="B57" s="4" t="s">
        <v>31</v>
      </c>
      <c r="C57" s="4" t="n">
        <v>2014</v>
      </c>
      <c r="D57" s="4" t="n">
        <v>50</v>
      </c>
      <c r="E57" s="4" t="n">
        <v>0</v>
      </c>
      <c r="F57" s="4" t="n">
        <v>0</v>
      </c>
    </row>
    <row r="58" customFormat="false" ht="15" hidden="false" customHeight="false" outlineLevel="0" collapsed="false">
      <c r="A58" s="4" t="s">
        <v>24</v>
      </c>
      <c r="B58" s="4" t="s">
        <v>31</v>
      </c>
      <c r="C58" s="4" t="n">
        <v>2015</v>
      </c>
      <c r="D58" s="4" t="n">
        <v>99</v>
      </c>
      <c r="E58" s="4" t="n">
        <v>1</v>
      </c>
      <c r="F58" s="4" t="n">
        <v>1.01</v>
      </c>
    </row>
    <row r="59" customFormat="false" ht="15" hidden="false" customHeight="false" outlineLevel="0" collapsed="false">
      <c r="A59" s="4" t="s">
        <v>24</v>
      </c>
      <c r="B59" s="4" t="s">
        <v>31</v>
      </c>
      <c r="C59" s="4" t="n">
        <v>2016</v>
      </c>
      <c r="D59" s="4" t="n">
        <v>68</v>
      </c>
      <c r="E59" s="4" t="n">
        <v>2</v>
      </c>
      <c r="F59" s="4" t="n">
        <v>2.941</v>
      </c>
    </row>
    <row r="60" customFormat="false" ht="15" hidden="false" customHeight="false" outlineLevel="0" collapsed="false">
      <c r="A60" s="4" t="s">
        <v>24</v>
      </c>
      <c r="B60" s="4" t="s">
        <v>31</v>
      </c>
      <c r="C60" s="4" t="n">
        <v>2018</v>
      </c>
      <c r="D60" s="4" t="n">
        <v>5</v>
      </c>
      <c r="E60" s="4" t="n">
        <v>0</v>
      </c>
      <c r="F60" s="4" t="n">
        <v>0</v>
      </c>
    </row>
    <row r="61" customFormat="false" ht="15" hidden="false" customHeight="false" outlineLevel="0" collapsed="false">
      <c r="A61" s="4" t="s">
        <v>24</v>
      </c>
      <c r="B61" s="4" t="s">
        <v>32</v>
      </c>
      <c r="C61" s="4" t="n">
        <v>1999</v>
      </c>
      <c r="D61" s="4" t="n">
        <v>21</v>
      </c>
      <c r="E61" s="4" t="n">
        <v>0</v>
      </c>
      <c r="F61" s="4" t="n">
        <v>0</v>
      </c>
    </row>
    <row r="62" customFormat="false" ht="15" hidden="false" customHeight="false" outlineLevel="0" collapsed="false">
      <c r="A62" s="4" t="s">
        <v>24</v>
      </c>
      <c r="B62" s="4" t="s">
        <v>32</v>
      </c>
      <c r="C62" s="4" t="n">
        <v>2000</v>
      </c>
      <c r="D62" s="4" t="n">
        <v>27</v>
      </c>
      <c r="E62" s="4" t="n">
        <v>2</v>
      </c>
      <c r="F62" s="4" t="n">
        <v>7.407</v>
      </c>
    </row>
    <row r="63" customFormat="false" ht="15" hidden="false" customHeight="false" outlineLevel="0" collapsed="false">
      <c r="A63" s="4" t="s">
        <v>24</v>
      </c>
      <c r="B63" s="4" t="s">
        <v>32</v>
      </c>
      <c r="C63" s="4" t="n">
        <v>2001</v>
      </c>
      <c r="D63" s="4" t="n">
        <v>34</v>
      </c>
      <c r="E63" s="4" t="n">
        <v>0</v>
      </c>
      <c r="F63" s="4" t="n">
        <v>0</v>
      </c>
    </row>
    <row r="64" customFormat="false" ht="15" hidden="false" customHeight="false" outlineLevel="0" collapsed="false">
      <c r="A64" s="4" t="s">
        <v>24</v>
      </c>
      <c r="B64" s="4" t="s">
        <v>32</v>
      </c>
      <c r="C64" s="4" t="n">
        <v>2002</v>
      </c>
      <c r="D64" s="4" t="n">
        <v>22</v>
      </c>
      <c r="E64" s="4" t="n">
        <v>0</v>
      </c>
      <c r="F64" s="4" t="n">
        <v>0</v>
      </c>
    </row>
    <row r="65" customFormat="false" ht="15" hidden="false" customHeight="false" outlineLevel="0" collapsed="false">
      <c r="A65" s="4" t="s">
        <v>24</v>
      </c>
      <c r="B65" s="4" t="s">
        <v>32</v>
      </c>
      <c r="C65" s="4" t="n">
        <v>2004</v>
      </c>
      <c r="D65" s="4" t="n">
        <v>15</v>
      </c>
      <c r="E65" s="4" t="n">
        <v>0</v>
      </c>
      <c r="F65" s="4" t="n">
        <v>0</v>
      </c>
    </row>
    <row r="66" customFormat="false" ht="15" hidden="false" customHeight="false" outlineLevel="0" collapsed="false">
      <c r="A66" s="4" t="s">
        <v>24</v>
      </c>
      <c r="B66" s="4" t="s">
        <v>32</v>
      </c>
      <c r="C66" s="4" t="n">
        <v>2005</v>
      </c>
      <c r="D66" s="4" t="n">
        <v>51</v>
      </c>
      <c r="E66" s="4" t="n">
        <v>0</v>
      </c>
      <c r="F66" s="4" t="n">
        <v>0</v>
      </c>
    </row>
    <row r="67" customFormat="false" ht="15" hidden="false" customHeight="false" outlineLevel="0" collapsed="false">
      <c r="A67" s="4" t="s">
        <v>24</v>
      </c>
      <c r="B67" s="4" t="s">
        <v>32</v>
      </c>
      <c r="C67" s="4" t="n">
        <v>2006</v>
      </c>
      <c r="D67" s="4" t="n">
        <v>60</v>
      </c>
      <c r="E67" s="4" t="n">
        <v>0</v>
      </c>
      <c r="F67" s="4" t="n">
        <v>0</v>
      </c>
    </row>
    <row r="68" customFormat="false" ht="15" hidden="false" customHeight="false" outlineLevel="0" collapsed="false">
      <c r="A68" s="4" t="s">
        <v>24</v>
      </c>
      <c r="B68" s="4" t="s">
        <v>32</v>
      </c>
      <c r="C68" s="4" t="n">
        <v>2007</v>
      </c>
      <c r="D68" s="4" t="n">
        <v>57</v>
      </c>
      <c r="E68" s="4" t="n">
        <v>0</v>
      </c>
      <c r="F68" s="4" t="n">
        <v>0</v>
      </c>
    </row>
    <row r="69" customFormat="false" ht="15" hidden="false" customHeight="false" outlineLevel="0" collapsed="false">
      <c r="A69" s="4" t="s">
        <v>24</v>
      </c>
      <c r="B69" s="4" t="s">
        <v>32</v>
      </c>
      <c r="C69" s="4" t="n">
        <v>2008</v>
      </c>
      <c r="D69" s="4" t="n">
        <v>64</v>
      </c>
      <c r="E69" s="4" t="n">
        <v>0</v>
      </c>
      <c r="F69" s="4" t="n">
        <v>0</v>
      </c>
    </row>
    <row r="70" customFormat="false" ht="15" hidden="false" customHeight="false" outlineLevel="0" collapsed="false">
      <c r="A70" s="4" t="s">
        <v>24</v>
      </c>
      <c r="B70" s="4" t="s">
        <v>32</v>
      </c>
      <c r="C70" s="4" t="n">
        <v>2009</v>
      </c>
      <c r="D70" s="4" t="n">
        <v>62</v>
      </c>
      <c r="E70" s="4" t="n">
        <v>0</v>
      </c>
      <c r="F70" s="4" t="n">
        <v>0</v>
      </c>
    </row>
    <row r="71" customFormat="false" ht="15" hidden="false" customHeight="false" outlineLevel="0" collapsed="false">
      <c r="A71" s="4" t="s">
        <v>24</v>
      </c>
      <c r="B71" s="4" t="s">
        <v>32</v>
      </c>
      <c r="C71" s="4" t="n">
        <v>2010</v>
      </c>
      <c r="D71" s="4" t="n">
        <v>66</v>
      </c>
      <c r="E71" s="4" t="n">
        <v>0</v>
      </c>
      <c r="F71" s="4" t="n">
        <v>0</v>
      </c>
    </row>
    <row r="72" customFormat="false" ht="15" hidden="false" customHeight="false" outlineLevel="0" collapsed="false">
      <c r="A72" s="4" t="s">
        <v>24</v>
      </c>
      <c r="B72" s="4" t="s">
        <v>32</v>
      </c>
      <c r="C72" s="4" t="n">
        <v>2011</v>
      </c>
      <c r="D72" s="4" t="n">
        <v>58</v>
      </c>
      <c r="E72" s="4" t="n">
        <v>0</v>
      </c>
      <c r="F72" s="4" t="n">
        <v>0</v>
      </c>
    </row>
    <row r="73" customFormat="false" ht="15" hidden="false" customHeight="false" outlineLevel="0" collapsed="false">
      <c r="A73" s="4" t="s">
        <v>24</v>
      </c>
      <c r="B73" s="4" t="s">
        <v>32</v>
      </c>
      <c r="C73" s="4" t="n">
        <v>2012</v>
      </c>
      <c r="D73" s="4" t="n">
        <v>61</v>
      </c>
      <c r="E73" s="4" t="n">
        <v>0</v>
      </c>
      <c r="F73" s="4" t="n">
        <v>0</v>
      </c>
    </row>
    <row r="74" customFormat="false" ht="15" hidden="false" customHeight="false" outlineLevel="0" collapsed="false">
      <c r="A74" s="4" t="s">
        <v>24</v>
      </c>
      <c r="B74" s="4" t="s">
        <v>32</v>
      </c>
      <c r="C74" s="4" t="n">
        <v>2013</v>
      </c>
      <c r="D74" s="4" t="n">
        <v>101</v>
      </c>
      <c r="E74" s="4" t="n">
        <v>0</v>
      </c>
      <c r="F74" s="4" t="n">
        <v>0</v>
      </c>
    </row>
    <row r="75" customFormat="false" ht="15" hidden="false" customHeight="false" outlineLevel="0" collapsed="false">
      <c r="A75" s="4" t="s">
        <v>24</v>
      </c>
      <c r="B75" s="4" t="s">
        <v>32</v>
      </c>
      <c r="C75" s="4" t="n">
        <v>2014</v>
      </c>
      <c r="D75" s="4" t="n">
        <v>50</v>
      </c>
      <c r="E75" s="4" t="n">
        <v>0</v>
      </c>
      <c r="F75" s="4" t="n">
        <v>0</v>
      </c>
    </row>
    <row r="76" customFormat="false" ht="15" hidden="false" customHeight="false" outlineLevel="0" collapsed="false">
      <c r="A76" s="4" t="s">
        <v>24</v>
      </c>
      <c r="B76" s="4" t="s">
        <v>32</v>
      </c>
      <c r="C76" s="4" t="n">
        <v>2015</v>
      </c>
      <c r="D76" s="4" t="n">
        <v>99</v>
      </c>
      <c r="E76" s="4" t="n">
        <v>1</v>
      </c>
      <c r="F76" s="4" t="n">
        <v>1.01</v>
      </c>
    </row>
    <row r="77" customFormat="false" ht="15" hidden="false" customHeight="false" outlineLevel="0" collapsed="false">
      <c r="A77" s="4" t="s">
        <v>24</v>
      </c>
      <c r="B77" s="4" t="s">
        <v>32</v>
      </c>
      <c r="C77" s="4" t="n">
        <v>2016</v>
      </c>
      <c r="D77" s="4" t="n">
        <v>68</v>
      </c>
      <c r="E77" s="4" t="n">
        <v>0</v>
      </c>
      <c r="F77" s="4" t="n">
        <v>0</v>
      </c>
    </row>
    <row r="78" customFormat="false" ht="15" hidden="false" customHeight="false" outlineLevel="0" collapsed="false">
      <c r="A78" s="4" t="s">
        <v>24</v>
      </c>
      <c r="B78" s="4" t="s">
        <v>32</v>
      </c>
      <c r="C78" s="4" t="n">
        <v>2018</v>
      </c>
      <c r="D78" s="4" t="n">
        <v>9</v>
      </c>
      <c r="E78" s="4" t="n">
        <v>4</v>
      </c>
      <c r="F78" s="4" t="n">
        <v>44.444</v>
      </c>
    </row>
    <row r="79" customFormat="false" ht="15" hidden="false" customHeight="false" outlineLevel="0" collapsed="false">
      <c r="A79" s="4" t="s">
        <v>24</v>
      </c>
      <c r="B79" s="4" t="s">
        <v>32</v>
      </c>
      <c r="C79" s="4" t="n">
        <v>2019</v>
      </c>
      <c r="D79" s="4" t="n">
        <v>6</v>
      </c>
      <c r="E79" s="4" t="n">
        <v>6</v>
      </c>
      <c r="F79" s="4" t="n">
        <v>100</v>
      </c>
    </row>
    <row r="80" customFormat="false" ht="15" hidden="false" customHeight="false" outlineLevel="0" collapsed="false">
      <c r="A80" s="4" t="s">
        <v>24</v>
      </c>
      <c r="B80" s="4" t="s">
        <v>33</v>
      </c>
      <c r="C80" s="4" t="n">
        <v>2008</v>
      </c>
      <c r="D80" s="4" t="n">
        <v>12</v>
      </c>
      <c r="E80" s="4" t="n">
        <v>0</v>
      </c>
      <c r="F80" s="4" t="n">
        <v>0</v>
      </c>
    </row>
    <row r="81" customFormat="false" ht="15" hidden="false" customHeight="false" outlineLevel="0" collapsed="false">
      <c r="A81" s="4" t="s">
        <v>24</v>
      </c>
      <c r="B81" s="4" t="s">
        <v>33</v>
      </c>
      <c r="C81" s="4" t="n">
        <v>2009</v>
      </c>
      <c r="D81" s="4" t="n">
        <v>34</v>
      </c>
      <c r="E81" s="4" t="n">
        <v>0</v>
      </c>
      <c r="F81" s="4" t="n">
        <v>0</v>
      </c>
    </row>
    <row r="82" customFormat="false" ht="15" hidden="false" customHeight="false" outlineLevel="0" collapsed="false">
      <c r="A82" s="4" t="s">
        <v>24</v>
      </c>
      <c r="B82" s="4" t="s">
        <v>33</v>
      </c>
      <c r="C82" s="4" t="n">
        <v>2010</v>
      </c>
      <c r="D82" s="4" t="n">
        <v>56</v>
      </c>
      <c r="E82" s="4" t="n">
        <v>0</v>
      </c>
      <c r="F82" s="4" t="n">
        <v>0</v>
      </c>
    </row>
    <row r="83" customFormat="false" ht="15" hidden="false" customHeight="false" outlineLevel="0" collapsed="false">
      <c r="A83" s="4" t="s">
        <v>24</v>
      </c>
      <c r="B83" s="4" t="s">
        <v>33</v>
      </c>
      <c r="C83" s="4" t="n">
        <v>2011</v>
      </c>
      <c r="D83" s="4" t="n">
        <v>42</v>
      </c>
      <c r="E83" s="4" t="n">
        <v>0</v>
      </c>
      <c r="F83" s="4" t="n">
        <v>0</v>
      </c>
    </row>
    <row r="84" customFormat="false" ht="15" hidden="false" customHeight="false" outlineLevel="0" collapsed="false">
      <c r="A84" s="4" t="s">
        <v>24</v>
      </c>
      <c r="B84" s="4" t="s">
        <v>33</v>
      </c>
      <c r="C84" s="4" t="n">
        <v>2012</v>
      </c>
      <c r="D84" s="4" t="n">
        <v>22</v>
      </c>
      <c r="E84" s="4" t="n">
        <v>0</v>
      </c>
      <c r="F84" s="4" t="n">
        <v>0</v>
      </c>
    </row>
    <row r="85" customFormat="false" ht="15" hidden="false" customHeight="false" outlineLevel="0" collapsed="false">
      <c r="A85" s="4" t="s">
        <v>24</v>
      </c>
      <c r="B85" s="4" t="s">
        <v>33</v>
      </c>
      <c r="C85" s="4" t="n">
        <v>2013</v>
      </c>
      <c r="D85" s="4" t="n">
        <v>64</v>
      </c>
      <c r="E85" s="4" t="n">
        <v>0</v>
      </c>
      <c r="F85" s="4" t="n">
        <v>0</v>
      </c>
    </row>
    <row r="86" customFormat="false" ht="15" hidden="false" customHeight="false" outlineLevel="0" collapsed="false">
      <c r="A86" s="4" t="s">
        <v>24</v>
      </c>
      <c r="B86" s="4" t="s">
        <v>33</v>
      </c>
      <c r="C86" s="4" t="n">
        <v>2014</v>
      </c>
      <c r="D86" s="4" t="n">
        <v>27</v>
      </c>
      <c r="E86" s="4" t="n">
        <v>0</v>
      </c>
      <c r="F86" s="4" t="n">
        <v>0</v>
      </c>
    </row>
    <row r="87" customFormat="false" ht="15" hidden="false" customHeight="false" outlineLevel="0" collapsed="false">
      <c r="A87" s="4" t="s">
        <v>24</v>
      </c>
      <c r="B87" s="4" t="s">
        <v>33</v>
      </c>
      <c r="C87" s="4" t="n">
        <v>2015</v>
      </c>
      <c r="D87" s="4" t="n">
        <v>20</v>
      </c>
      <c r="E87" s="4" t="n">
        <v>0</v>
      </c>
      <c r="F87" s="4" t="n">
        <v>0</v>
      </c>
    </row>
    <row r="88" customFormat="false" ht="15" hidden="false" customHeight="false" outlineLevel="0" collapsed="false">
      <c r="A88" s="4" t="s">
        <v>24</v>
      </c>
      <c r="B88" s="4" t="s">
        <v>33</v>
      </c>
      <c r="C88" s="4" t="n">
        <v>2016</v>
      </c>
      <c r="D88" s="4" t="n">
        <v>118</v>
      </c>
      <c r="E88" s="4" t="n">
        <v>0</v>
      </c>
      <c r="F88" s="4" t="n">
        <v>0</v>
      </c>
    </row>
    <row r="89" customFormat="false" ht="15" hidden="false" customHeight="false" outlineLevel="0" collapsed="false">
      <c r="A89" s="4" t="s">
        <v>24</v>
      </c>
      <c r="B89" s="4" t="s">
        <v>34</v>
      </c>
      <c r="C89" s="4" t="n">
        <v>1994</v>
      </c>
      <c r="D89" s="4" t="n">
        <v>4</v>
      </c>
      <c r="E89" s="4" t="n">
        <v>0</v>
      </c>
      <c r="F89" s="4" t="n">
        <v>0</v>
      </c>
    </row>
    <row r="90" customFormat="false" ht="15" hidden="false" customHeight="false" outlineLevel="0" collapsed="false">
      <c r="A90" s="4" t="s">
        <v>24</v>
      </c>
      <c r="B90" s="4" t="s">
        <v>34</v>
      </c>
      <c r="C90" s="4" t="n">
        <v>1996</v>
      </c>
      <c r="D90" s="4" t="n">
        <v>3</v>
      </c>
      <c r="E90" s="4" t="n">
        <v>0</v>
      </c>
      <c r="F90" s="4" t="n">
        <v>0</v>
      </c>
    </row>
    <row r="91" customFormat="false" ht="15" hidden="false" customHeight="false" outlineLevel="0" collapsed="false">
      <c r="A91" s="4" t="s">
        <v>24</v>
      </c>
      <c r="B91" s="4" t="s">
        <v>34</v>
      </c>
      <c r="C91" s="4" t="n">
        <v>1998</v>
      </c>
      <c r="D91" s="4" t="n">
        <v>7</v>
      </c>
      <c r="E91" s="4" t="n">
        <v>0</v>
      </c>
      <c r="F91" s="4" t="n">
        <v>0</v>
      </c>
    </row>
    <row r="92" customFormat="false" ht="15" hidden="false" customHeight="false" outlineLevel="0" collapsed="false">
      <c r="A92" s="4" t="s">
        <v>24</v>
      </c>
      <c r="B92" s="4" t="s">
        <v>34</v>
      </c>
      <c r="C92" s="4" t="n">
        <v>1999</v>
      </c>
      <c r="D92" s="4" t="n">
        <v>21</v>
      </c>
      <c r="E92" s="4" t="n">
        <v>6</v>
      </c>
      <c r="F92" s="4" t="n">
        <v>28.571</v>
      </c>
    </row>
    <row r="93" customFormat="false" ht="15" hidden="false" customHeight="false" outlineLevel="0" collapsed="false">
      <c r="A93" s="4" t="s">
        <v>24</v>
      </c>
      <c r="B93" s="4" t="s">
        <v>34</v>
      </c>
      <c r="C93" s="4" t="n">
        <v>2000</v>
      </c>
      <c r="D93" s="4" t="n">
        <v>27</v>
      </c>
      <c r="E93" s="4" t="n">
        <v>9</v>
      </c>
      <c r="F93" s="4" t="n">
        <v>33.333</v>
      </c>
    </row>
    <row r="94" customFormat="false" ht="15" hidden="false" customHeight="false" outlineLevel="0" collapsed="false">
      <c r="A94" s="4" t="s">
        <v>24</v>
      </c>
      <c r="B94" s="4" t="s">
        <v>34</v>
      </c>
      <c r="C94" s="4" t="n">
        <v>2001</v>
      </c>
      <c r="D94" s="4" t="n">
        <v>36</v>
      </c>
      <c r="E94" s="4" t="n">
        <v>26</v>
      </c>
      <c r="F94" s="4" t="n">
        <v>72.222</v>
      </c>
    </row>
    <row r="95" customFormat="false" ht="15" hidden="false" customHeight="false" outlineLevel="0" collapsed="false">
      <c r="A95" s="4" t="s">
        <v>24</v>
      </c>
      <c r="B95" s="4" t="s">
        <v>34</v>
      </c>
      <c r="C95" s="4" t="n">
        <v>2002</v>
      </c>
      <c r="D95" s="4" t="n">
        <v>24</v>
      </c>
      <c r="E95" s="4" t="n">
        <v>20</v>
      </c>
      <c r="F95" s="4" t="n">
        <v>83.333</v>
      </c>
    </row>
    <row r="96" customFormat="false" ht="15" hidden="false" customHeight="false" outlineLevel="0" collapsed="false">
      <c r="A96" s="4" t="s">
        <v>24</v>
      </c>
      <c r="B96" s="4" t="s">
        <v>34</v>
      </c>
      <c r="C96" s="4" t="n">
        <v>2004</v>
      </c>
      <c r="D96" s="4" t="n">
        <v>15</v>
      </c>
      <c r="E96" s="4" t="n">
        <v>8</v>
      </c>
      <c r="F96" s="4" t="n">
        <v>53.333</v>
      </c>
    </row>
    <row r="97" customFormat="false" ht="15" hidden="false" customHeight="false" outlineLevel="0" collapsed="false">
      <c r="A97" s="4" t="s">
        <v>24</v>
      </c>
      <c r="B97" s="4" t="s">
        <v>34</v>
      </c>
      <c r="C97" s="4" t="n">
        <v>2005</v>
      </c>
      <c r="D97" s="4" t="n">
        <v>51</v>
      </c>
      <c r="E97" s="4" t="n">
        <v>31</v>
      </c>
      <c r="F97" s="4" t="n">
        <v>60.784</v>
      </c>
    </row>
    <row r="98" customFormat="false" ht="15" hidden="false" customHeight="false" outlineLevel="0" collapsed="false">
      <c r="A98" s="4" t="s">
        <v>24</v>
      </c>
      <c r="B98" s="4" t="s">
        <v>34</v>
      </c>
      <c r="C98" s="4" t="n">
        <v>2006</v>
      </c>
      <c r="D98" s="4" t="n">
        <v>60</v>
      </c>
      <c r="E98" s="4" t="n">
        <v>41</v>
      </c>
      <c r="F98" s="4" t="n">
        <v>68.333</v>
      </c>
    </row>
    <row r="99" customFormat="false" ht="15" hidden="false" customHeight="false" outlineLevel="0" collapsed="false">
      <c r="A99" s="4" t="s">
        <v>24</v>
      </c>
      <c r="B99" s="4" t="s">
        <v>34</v>
      </c>
      <c r="C99" s="4" t="n">
        <v>2007</v>
      </c>
      <c r="D99" s="4" t="n">
        <v>61</v>
      </c>
      <c r="E99" s="4" t="n">
        <v>29</v>
      </c>
      <c r="F99" s="4" t="n">
        <v>47.541</v>
      </c>
    </row>
    <row r="100" customFormat="false" ht="15" hidden="false" customHeight="false" outlineLevel="0" collapsed="false">
      <c r="A100" s="4" t="s">
        <v>24</v>
      </c>
      <c r="B100" s="4" t="s">
        <v>34</v>
      </c>
      <c r="C100" s="4" t="n">
        <v>2008</v>
      </c>
      <c r="D100" s="4" t="n">
        <v>76</v>
      </c>
      <c r="E100" s="4" t="n">
        <v>31</v>
      </c>
      <c r="F100" s="4" t="n">
        <v>40.789</v>
      </c>
    </row>
    <row r="101" customFormat="false" ht="15" hidden="false" customHeight="false" outlineLevel="0" collapsed="false">
      <c r="A101" s="4" t="s">
        <v>24</v>
      </c>
      <c r="B101" s="4" t="s">
        <v>34</v>
      </c>
      <c r="C101" s="4" t="n">
        <v>2009</v>
      </c>
      <c r="D101" s="4" t="n">
        <v>98</v>
      </c>
      <c r="E101" s="4" t="n">
        <v>19</v>
      </c>
      <c r="F101" s="4" t="n">
        <v>19.388</v>
      </c>
    </row>
    <row r="102" customFormat="false" ht="15" hidden="false" customHeight="false" outlineLevel="0" collapsed="false">
      <c r="A102" s="4" t="s">
        <v>24</v>
      </c>
      <c r="B102" s="4" t="s">
        <v>34</v>
      </c>
      <c r="C102" s="4" t="n">
        <v>2010</v>
      </c>
      <c r="D102" s="4" t="n">
        <v>127</v>
      </c>
      <c r="E102" s="4" t="n">
        <v>26</v>
      </c>
      <c r="F102" s="4" t="n">
        <v>20.472</v>
      </c>
    </row>
    <row r="103" customFormat="false" ht="15" hidden="false" customHeight="false" outlineLevel="0" collapsed="false">
      <c r="A103" s="4" t="s">
        <v>24</v>
      </c>
      <c r="B103" s="4" t="s">
        <v>34</v>
      </c>
      <c r="C103" s="4" t="n">
        <v>2011</v>
      </c>
      <c r="D103" s="4" t="n">
        <v>100</v>
      </c>
      <c r="E103" s="4" t="n">
        <v>25</v>
      </c>
      <c r="F103" s="4" t="n">
        <v>25</v>
      </c>
    </row>
    <row r="104" customFormat="false" ht="15" hidden="false" customHeight="false" outlineLevel="0" collapsed="false">
      <c r="A104" s="4" t="s">
        <v>24</v>
      </c>
      <c r="B104" s="4" t="s">
        <v>34</v>
      </c>
      <c r="C104" s="4" t="n">
        <v>2012</v>
      </c>
      <c r="D104" s="4" t="n">
        <v>83</v>
      </c>
      <c r="E104" s="4" t="n">
        <v>25</v>
      </c>
      <c r="F104" s="4" t="n">
        <v>30.12</v>
      </c>
    </row>
    <row r="105" customFormat="false" ht="15" hidden="false" customHeight="false" outlineLevel="0" collapsed="false">
      <c r="A105" s="4" t="s">
        <v>24</v>
      </c>
      <c r="B105" s="4" t="s">
        <v>34</v>
      </c>
      <c r="C105" s="4" t="n">
        <v>2013</v>
      </c>
      <c r="D105" s="4" t="n">
        <v>165</v>
      </c>
      <c r="E105" s="4" t="n">
        <v>43</v>
      </c>
      <c r="F105" s="4" t="n">
        <v>26.061</v>
      </c>
    </row>
    <row r="106" customFormat="false" ht="15" hidden="false" customHeight="false" outlineLevel="0" collapsed="false">
      <c r="A106" s="4" t="s">
        <v>24</v>
      </c>
      <c r="B106" s="4" t="s">
        <v>34</v>
      </c>
      <c r="C106" s="4" t="n">
        <v>2014</v>
      </c>
      <c r="D106" s="4" t="n">
        <v>77</v>
      </c>
      <c r="E106" s="4" t="n">
        <v>27</v>
      </c>
      <c r="F106" s="4" t="n">
        <v>35.065</v>
      </c>
    </row>
    <row r="107" customFormat="false" ht="15" hidden="false" customHeight="false" outlineLevel="0" collapsed="false">
      <c r="A107" s="4" t="s">
        <v>24</v>
      </c>
      <c r="B107" s="4" t="s">
        <v>34</v>
      </c>
      <c r="C107" s="4" t="n">
        <v>2015</v>
      </c>
      <c r="D107" s="4" t="n">
        <v>119</v>
      </c>
      <c r="E107" s="4" t="n">
        <v>61</v>
      </c>
      <c r="F107" s="4" t="n">
        <v>51.261</v>
      </c>
    </row>
    <row r="108" customFormat="false" ht="15" hidden="false" customHeight="false" outlineLevel="0" collapsed="false">
      <c r="A108" s="4" t="s">
        <v>24</v>
      </c>
      <c r="B108" s="4" t="s">
        <v>34</v>
      </c>
      <c r="C108" s="4" t="n">
        <v>2016</v>
      </c>
      <c r="D108" s="4" t="n">
        <v>186</v>
      </c>
      <c r="E108" s="4" t="n">
        <v>27</v>
      </c>
      <c r="F108" s="4" t="n">
        <v>14.516</v>
      </c>
    </row>
    <row r="109" customFormat="false" ht="15" hidden="false" customHeight="false" outlineLevel="0" collapsed="false">
      <c r="A109" s="4" t="s">
        <v>24</v>
      </c>
      <c r="B109" s="4" t="s">
        <v>34</v>
      </c>
      <c r="C109" s="4" t="n">
        <v>2018</v>
      </c>
      <c r="D109" s="4" t="n">
        <v>9</v>
      </c>
      <c r="E109" s="4" t="n">
        <v>9</v>
      </c>
      <c r="F109" s="4" t="n">
        <v>100</v>
      </c>
    </row>
    <row r="110" customFormat="false" ht="15" hidden="false" customHeight="false" outlineLevel="0" collapsed="false">
      <c r="A110" s="4" t="s">
        <v>24</v>
      </c>
      <c r="B110" s="4" t="s">
        <v>34</v>
      </c>
      <c r="C110" s="4" t="n">
        <v>2019</v>
      </c>
      <c r="D110" s="4" t="n">
        <v>6</v>
      </c>
      <c r="E110" s="4" t="n">
        <v>6</v>
      </c>
      <c r="F110" s="4" t="n">
        <v>100</v>
      </c>
    </row>
    <row r="111" customFormat="false" ht="15" hidden="false" customHeight="false" outlineLevel="0" collapsed="false">
      <c r="A111" s="4" t="s">
        <v>24</v>
      </c>
      <c r="B111" s="4" t="s">
        <v>35</v>
      </c>
      <c r="C111" s="4" t="n">
        <v>1994</v>
      </c>
      <c r="D111" s="4" t="n">
        <v>3</v>
      </c>
      <c r="E111" s="4" t="n">
        <v>0</v>
      </c>
      <c r="F111" s="4" t="n">
        <v>0</v>
      </c>
    </row>
    <row r="112" customFormat="false" ht="15" hidden="false" customHeight="false" outlineLevel="0" collapsed="false">
      <c r="A112" s="4" t="s">
        <v>24</v>
      </c>
      <c r="B112" s="4" t="s">
        <v>35</v>
      </c>
      <c r="C112" s="4" t="n">
        <v>1996</v>
      </c>
      <c r="D112" s="4" t="n">
        <v>3</v>
      </c>
      <c r="E112" s="4" t="n">
        <v>0</v>
      </c>
      <c r="F112" s="4" t="n">
        <v>0</v>
      </c>
    </row>
    <row r="113" customFormat="false" ht="15" hidden="false" customHeight="false" outlineLevel="0" collapsed="false">
      <c r="A113" s="4" t="s">
        <v>24</v>
      </c>
      <c r="B113" s="4" t="s">
        <v>35</v>
      </c>
      <c r="C113" s="4" t="n">
        <v>1998</v>
      </c>
      <c r="D113" s="4" t="n">
        <v>4</v>
      </c>
      <c r="E113" s="4" t="n">
        <v>0</v>
      </c>
      <c r="F113" s="4" t="n">
        <v>0</v>
      </c>
    </row>
    <row r="114" customFormat="false" ht="15" hidden="false" customHeight="false" outlineLevel="0" collapsed="false">
      <c r="A114" s="4" t="s">
        <v>24</v>
      </c>
      <c r="B114" s="4" t="s">
        <v>35</v>
      </c>
      <c r="C114" s="4" t="n">
        <v>1999</v>
      </c>
      <c r="D114" s="4" t="n">
        <v>21</v>
      </c>
      <c r="E114" s="4" t="n">
        <v>10</v>
      </c>
      <c r="F114" s="4" t="n">
        <v>47.619</v>
      </c>
    </row>
    <row r="115" customFormat="false" ht="15" hidden="false" customHeight="false" outlineLevel="0" collapsed="false">
      <c r="A115" s="4" t="s">
        <v>24</v>
      </c>
      <c r="B115" s="4" t="s">
        <v>35</v>
      </c>
      <c r="C115" s="4" t="n">
        <v>2000</v>
      </c>
      <c r="D115" s="4" t="n">
        <v>27</v>
      </c>
      <c r="E115" s="4" t="n">
        <v>25</v>
      </c>
      <c r="F115" s="4" t="n">
        <v>92.593</v>
      </c>
    </row>
    <row r="116" customFormat="false" ht="15" hidden="false" customHeight="false" outlineLevel="0" collapsed="false">
      <c r="A116" s="4" t="s">
        <v>24</v>
      </c>
      <c r="B116" s="4" t="s">
        <v>35</v>
      </c>
      <c r="C116" s="4" t="n">
        <v>2001</v>
      </c>
      <c r="D116" s="4" t="n">
        <v>36</v>
      </c>
      <c r="E116" s="4" t="n">
        <v>34</v>
      </c>
      <c r="F116" s="4" t="n">
        <v>94.444</v>
      </c>
    </row>
    <row r="117" customFormat="false" ht="15" hidden="false" customHeight="false" outlineLevel="0" collapsed="false">
      <c r="A117" s="4" t="s">
        <v>24</v>
      </c>
      <c r="B117" s="4" t="s">
        <v>35</v>
      </c>
      <c r="C117" s="4" t="n">
        <v>2002</v>
      </c>
      <c r="D117" s="4" t="n">
        <v>24</v>
      </c>
      <c r="E117" s="4" t="n">
        <v>22</v>
      </c>
      <c r="F117" s="4" t="n">
        <v>91.667</v>
      </c>
    </row>
    <row r="118" customFormat="false" ht="15" hidden="false" customHeight="false" outlineLevel="0" collapsed="false">
      <c r="A118" s="4" t="s">
        <v>24</v>
      </c>
      <c r="B118" s="4" t="s">
        <v>35</v>
      </c>
      <c r="C118" s="4" t="n">
        <v>2004</v>
      </c>
      <c r="D118" s="4" t="n">
        <v>15</v>
      </c>
      <c r="E118" s="4" t="n">
        <v>13</v>
      </c>
      <c r="F118" s="4" t="n">
        <v>86.667</v>
      </c>
    </row>
    <row r="119" customFormat="false" ht="15" hidden="false" customHeight="false" outlineLevel="0" collapsed="false">
      <c r="A119" s="4" t="s">
        <v>24</v>
      </c>
      <c r="B119" s="4" t="s">
        <v>35</v>
      </c>
      <c r="C119" s="4" t="n">
        <v>2005</v>
      </c>
      <c r="D119" s="4" t="n">
        <v>51</v>
      </c>
      <c r="E119" s="4" t="n">
        <v>45</v>
      </c>
      <c r="F119" s="4" t="n">
        <v>88.235</v>
      </c>
    </row>
    <row r="120" customFormat="false" ht="15" hidden="false" customHeight="false" outlineLevel="0" collapsed="false">
      <c r="A120" s="4" t="s">
        <v>24</v>
      </c>
      <c r="B120" s="4" t="s">
        <v>35</v>
      </c>
      <c r="C120" s="4" t="n">
        <v>2006</v>
      </c>
      <c r="D120" s="4" t="n">
        <v>60</v>
      </c>
      <c r="E120" s="4" t="n">
        <v>48</v>
      </c>
      <c r="F120" s="4" t="n">
        <v>80</v>
      </c>
    </row>
    <row r="121" customFormat="false" ht="15" hidden="false" customHeight="false" outlineLevel="0" collapsed="false">
      <c r="A121" s="4" t="s">
        <v>24</v>
      </c>
      <c r="B121" s="4" t="s">
        <v>35</v>
      </c>
      <c r="C121" s="4" t="n">
        <v>2007</v>
      </c>
      <c r="D121" s="4" t="n">
        <v>61</v>
      </c>
      <c r="E121" s="4" t="n">
        <v>49</v>
      </c>
      <c r="F121" s="4" t="n">
        <v>80.328</v>
      </c>
    </row>
    <row r="122" customFormat="false" ht="15" hidden="false" customHeight="false" outlineLevel="0" collapsed="false">
      <c r="A122" s="4" t="s">
        <v>24</v>
      </c>
      <c r="B122" s="4" t="s">
        <v>35</v>
      </c>
      <c r="C122" s="4" t="n">
        <v>2008</v>
      </c>
      <c r="D122" s="4" t="n">
        <v>79</v>
      </c>
      <c r="E122" s="4" t="n">
        <v>58</v>
      </c>
      <c r="F122" s="4" t="n">
        <v>73.418</v>
      </c>
    </row>
    <row r="123" customFormat="false" ht="15" hidden="false" customHeight="false" outlineLevel="0" collapsed="false">
      <c r="A123" s="4" t="s">
        <v>24</v>
      </c>
      <c r="B123" s="4" t="s">
        <v>35</v>
      </c>
      <c r="C123" s="4" t="n">
        <v>2009</v>
      </c>
      <c r="D123" s="4" t="n">
        <v>106</v>
      </c>
      <c r="E123" s="4" t="n">
        <v>55</v>
      </c>
      <c r="F123" s="4" t="n">
        <v>51.887</v>
      </c>
    </row>
    <row r="124" customFormat="false" ht="15" hidden="false" customHeight="false" outlineLevel="0" collapsed="false">
      <c r="A124" s="4" t="s">
        <v>24</v>
      </c>
      <c r="B124" s="4" t="s">
        <v>35</v>
      </c>
      <c r="C124" s="4" t="n">
        <v>2010</v>
      </c>
      <c r="D124" s="4" t="n">
        <v>129</v>
      </c>
      <c r="E124" s="4" t="n">
        <v>52</v>
      </c>
      <c r="F124" s="4" t="n">
        <v>40.31</v>
      </c>
    </row>
    <row r="125" customFormat="false" ht="15" hidden="false" customHeight="false" outlineLevel="0" collapsed="false">
      <c r="A125" s="4" t="s">
        <v>24</v>
      </c>
      <c r="B125" s="4" t="s">
        <v>35</v>
      </c>
      <c r="C125" s="4" t="n">
        <v>2011</v>
      </c>
      <c r="D125" s="4" t="n">
        <v>143</v>
      </c>
      <c r="E125" s="4" t="n">
        <v>60</v>
      </c>
      <c r="F125" s="4" t="n">
        <v>41.958</v>
      </c>
    </row>
    <row r="126" customFormat="false" ht="15" hidden="false" customHeight="false" outlineLevel="0" collapsed="false">
      <c r="A126" s="4" t="s">
        <v>24</v>
      </c>
      <c r="B126" s="4" t="s">
        <v>35</v>
      </c>
      <c r="C126" s="4" t="n">
        <v>2012</v>
      </c>
      <c r="D126" s="4" t="n">
        <v>110</v>
      </c>
      <c r="E126" s="4" t="n">
        <v>54</v>
      </c>
      <c r="F126" s="4" t="n">
        <v>49.091</v>
      </c>
    </row>
    <row r="127" customFormat="false" ht="15" hidden="false" customHeight="false" outlineLevel="0" collapsed="false">
      <c r="A127" s="4" t="s">
        <v>24</v>
      </c>
      <c r="B127" s="4" t="s">
        <v>35</v>
      </c>
      <c r="C127" s="4" t="n">
        <v>2013</v>
      </c>
      <c r="D127" s="4" t="n">
        <v>211</v>
      </c>
      <c r="E127" s="4" t="n">
        <v>81</v>
      </c>
      <c r="F127" s="4" t="n">
        <v>38.389</v>
      </c>
    </row>
    <row r="128" customFormat="false" ht="15" hidden="false" customHeight="false" outlineLevel="0" collapsed="false">
      <c r="A128" s="4" t="s">
        <v>24</v>
      </c>
      <c r="B128" s="4" t="s">
        <v>35</v>
      </c>
      <c r="C128" s="4" t="n">
        <v>2014</v>
      </c>
      <c r="D128" s="4" t="n">
        <v>90</v>
      </c>
      <c r="E128" s="4" t="n">
        <v>9</v>
      </c>
      <c r="F128" s="4" t="n">
        <v>10</v>
      </c>
    </row>
    <row r="129" customFormat="false" ht="15" hidden="false" customHeight="false" outlineLevel="0" collapsed="false">
      <c r="A129" s="4" t="s">
        <v>24</v>
      </c>
      <c r="B129" s="4" t="s">
        <v>35</v>
      </c>
      <c r="C129" s="4" t="n">
        <v>2015</v>
      </c>
      <c r="D129" s="4" t="n">
        <v>119</v>
      </c>
      <c r="E129" s="4" t="n">
        <v>7</v>
      </c>
      <c r="F129" s="4" t="n">
        <v>5.882</v>
      </c>
    </row>
    <row r="130" customFormat="false" ht="15" hidden="false" customHeight="false" outlineLevel="0" collapsed="false">
      <c r="A130" s="4" t="s">
        <v>24</v>
      </c>
      <c r="B130" s="4" t="s">
        <v>35</v>
      </c>
      <c r="C130" s="4" t="n">
        <v>2016</v>
      </c>
      <c r="D130" s="4" t="n">
        <v>186</v>
      </c>
      <c r="E130" s="4" t="n">
        <v>0</v>
      </c>
      <c r="F130" s="4" t="n">
        <v>0</v>
      </c>
    </row>
    <row r="131" customFormat="false" ht="15" hidden="false" customHeight="false" outlineLevel="0" collapsed="false">
      <c r="A131" s="4" t="s">
        <v>24</v>
      </c>
      <c r="B131" s="4" t="s">
        <v>35</v>
      </c>
      <c r="C131" s="4" t="n">
        <v>2018</v>
      </c>
      <c r="D131" s="4" t="n">
        <v>9</v>
      </c>
      <c r="E131" s="4" t="n">
        <v>4</v>
      </c>
      <c r="F131" s="4" t="n">
        <v>44.444</v>
      </c>
    </row>
    <row r="132" customFormat="false" ht="15" hidden="false" customHeight="false" outlineLevel="0" collapsed="false">
      <c r="A132" s="4" t="s">
        <v>24</v>
      </c>
      <c r="B132" s="4" t="s">
        <v>35</v>
      </c>
      <c r="C132" s="4" t="n">
        <v>2019</v>
      </c>
      <c r="D132" s="4" t="n">
        <v>6</v>
      </c>
      <c r="E132" s="4" t="n">
        <v>6</v>
      </c>
      <c r="F132" s="4" t="n">
        <v>100</v>
      </c>
    </row>
    <row r="133" customFormat="false" ht="15" hidden="false" customHeight="false" outlineLevel="0" collapsed="false">
      <c r="A133" s="4" t="s">
        <v>24</v>
      </c>
      <c r="B133" s="4" t="s">
        <v>36</v>
      </c>
      <c r="C133" s="4" t="n">
        <v>2008</v>
      </c>
      <c r="D133" s="4" t="n">
        <v>1</v>
      </c>
      <c r="E133" s="4" t="n">
        <v>0</v>
      </c>
      <c r="F133" s="4" t="n">
        <v>0</v>
      </c>
    </row>
    <row r="134" customFormat="false" ht="15" hidden="false" customHeight="false" outlineLevel="0" collapsed="false">
      <c r="A134" s="4" t="s">
        <v>24</v>
      </c>
      <c r="B134" s="4" t="s">
        <v>36</v>
      </c>
      <c r="C134" s="4" t="n">
        <v>2009</v>
      </c>
      <c r="D134" s="4" t="n">
        <v>4</v>
      </c>
      <c r="E134" s="4" t="n">
        <v>0</v>
      </c>
      <c r="F134" s="4" t="n">
        <v>0</v>
      </c>
    </row>
    <row r="135" customFormat="false" ht="15" hidden="false" customHeight="false" outlineLevel="0" collapsed="false">
      <c r="A135" s="4" t="s">
        <v>24</v>
      </c>
      <c r="B135" s="4" t="s">
        <v>36</v>
      </c>
      <c r="C135" s="4" t="n">
        <v>2010</v>
      </c>
      <c r="D135" s="4" t="n">
        <v>10</v>
      </c>
      <c r="E135" s="4" t="n">
        <v>0</v>
      </c>
      <c r="F135" s="4" t="n">
        <v>0</v>
      </c>
    </row>
    <row r="136" customFormat="false" ht="15" hidden="false" customHeight="false" outlineLevel="0" collapsed="false">
      <c r="A136" s="4" t="s">
        <v>24</v>
      </c>
      <c r="B136" s="4" t="s">
        <v>36</v>
      </c>
      <c r="C136" s="4" t="n">
        <v>2011</v>
      </c>
      <c r="D136" s="4" t="n">
        <v>9</v>
      </c>
      <c r="E136" s="4" t="n">
        <v>0</v>
      </c>
      <c r="F136" s="4" t="n">
        <v>0</v>
      </c>
    </row>
    <row r="137" customFormat="false" ht="15" hidden="false" customHeight="false" outlineLevel="0" collapsed="false">
      <c r="A137" s="4" t="s">
        <v>24</v>
      </c>
      <c r="B137" s="4" t="s">
        <v>36</v>
      </c>
      <c r="C137" s="4" t="n">
        <v>2012</v>
      </c>
      <c r="D137" s="4" t="n">
        <v>12</v>
      </c>
      <c r="E137" s="4" t="n">
        <v>0</v>
      </c>
      <c r="F137" s="4" t="n">
        <v>0</v>
      </c>
    </row>
    <row r="138" customFormat="false" ht="15" hidden="false" customHeight="false" outlineLevel="0" collapsed="false">
      <c r="A138" s="4" t="s">
        <v>24</v>
      </c>
      <c r="B138" s="4" t="s">
        <v>36</v>
      </c>
      <c r="C138" s="4" t="n">
        <v>2013</v>
      </c>
      <c r="D138" s="4" t="n">
        <v>16</v>
      </c>
      <c r="E138" s="4" t="n">
        <v>0</v>
      </c>
      <c r="F138" s="4" t="n">
        <v>0</v>
      </c>
    </row>
    <row r="139" customFormat="false" ht="15" hidden="false" customHeight="false" outlineLevel="0" collapsed="false">
      <c r="A139" s="4" t="s">
        <v>24</v>
      </c>
      <c r="B139" s="4" t="s">
        <v>36</v>
      </c>
      <c r="C139" s="4" t="n">
        <v>2014</v>
      </c>
      <c r="D139" s="4" t="n">
        <v>6</v>
      </c>
      <c r="E139" s="4" t="n">
        <v>0</v>
      </c>
      <c r="F139" s="4" t="n">
        <v>0</v>
      </c>
    </row>
    <row r="140" customFormat="false" ht="15" hidden="false" customHeight="false" outlineLevel="0" collapsed="false">
      <c r="A140" s="4" t="s">
        <v>24</v>
      </c>
      <c r="B140" s="4" t="s">
        <v>36</v>
      </c>
      <c r="C140" s="4" t="n">
        <v>2015</v>
      </c>
      <c r="D140" s="4" t="n">
        <v>7</v>
      </c>
      <c r="E140" s="4" t="n">
        <v>0</v>
      </c>
      <c r="F140" s="4" t="n">
        <v>0</v>
      </c>
    </row>
    <row r="141" customFormat="false" ht="15" hidden="false" customHeight="false" outlineLevel="0" collapsed="false">
      <c r="A141" s="4" t="s">
        <v>24</v>
      </c>
      <c r="B141" s="4" t="s">
        <v>37</v>
      </c>
      <c r="C141" s="4" t="n">
        <v>1994</v>
      </c>
      <c r="D141" s="4" t="n">
        <v>4</v>
      </c>
      <c r="E141" s="4" t="n">
        <v>0</v>
      </c>
      <c r="F141" s="4" t="n">
        <v>0</v>
      </c>
    </row>
    <row r="142" customFormat="false" ht="15" hidden="false" customHeight="false" outlineLevel="0" collapsed="false">
      <c r="A142" s="4" t="s">
        <v>24</v>
      </c>
      <c r="B142" s="4" t="s">
        <v>37</v>
      </c>
      <c r="C142" s="4" t="n">
        <v>1996</v>
      </c>
      <c r="D142" s="4" t="n">
        <v>3</v>
      </c>
      <c r="E142" s="4" t="n">
        <v>0</v>
      </c>
      <c r="F142" s="4" t="n">
        <v>0</v>
      </c>
    </row>
    <row r="143" customFormat="false" ht="15" hidden="false" customHeight="false" outlineLevel="0" collapsed="false">
      <c r="A143" s="4" t="s">
        <v>24</v>
      </c>
      <c r="B143" s="4" t="s">
        <v>37</v>
      </c>
      <c r="C143" s="4" t="n">
        <v>1998</v>
      </c>
      <c r="D143" s="4" t="n">
        <v>7</v>
      </c>
      <c r="E143" s="4" t="n">
        <v>0</v>
      </c>
      <c r="F143" s="4" t="n">
        <v>0</v>
      </c>
    </row>
    <row r="144" customFormat="false" ht="15" hidden="false" customHeight="false" outlineLevel="0" collapsed="false">
      <c r="A144" s="4" t="s">
        <v>24</v>
      </c>
      <c r="B144" s="4" t="s">
        <v>37</v>
      </c>
      <c r="C144" s="4" t="n">
        <v>2001</v>
      </c>
      <c r="D144" s="4" t="n">
        <v>2</v>
      </c>
      <c r="E144" s="4" t="n">
        <v>0</v>
      </c>
      <c r="F144" s="4" t="n">
        <v>0</v>
      </c>
    </row>
    <row r="145" customFormat="false" ht="15" hidden="false" customHeight="false" outlineLevel="0" collapsed="false">
      <c r="A145" s="4" t="s">
        <v>24</v>
      </c>
      <c r="B145" s="4" t="s">
        <v>37</v>
      </c>
      <c r="C145" s="4" t="n">
        <v>2002</v>
      </c>
      <c r="D145" s="4" t="n">
        <v>2</v>
      </c>
      <c r="E145" s="4" t="n">
        <v>0</v>
      </c>
      <c r="F145" s="4" t="n">
        <v>0</v>
      </c>
    </row>
    <row r="146" customFormat="false" ht="15" hidden="false" customHeight="false" outlineLevel="0" collapsed="false">
      <c r="A146" s="4" t="s">
        <v>24</v>
      </c>
      <c r="B146" s="4" t="s">
        <v>37</v>
      </c>
      <c r="C146" s="4" t="n">
        <v>2007</v>
      </c>
      <c r="D146" s="4" t="n">
        <v>4</v>
      </c>
      <c r="E146" s="4" t="n">
        <v>0</v>
      </c>
      <c r="F146" s="4" t="n">
        <v>0</v>
      </c>
    </row>
    <row r="147" customFormat="false" ht="15" hidden="false" customHeight="false" outlineLevel="0" collapsed="false">
      <c r="A147" s="4" t="s">
        <v>24</v>
      </c>
      <c r="B147" s="4" t="s">
        <v>37</v>
      </c>
      <c r="C147" s="4" t="n">
        <v>2008</v>
      </c>
      <c r="D147" s="4" t="n">
        <v>1</v>
      </c>
      <c r="E147" s="4" t="n">
        <v>0</v>
      </c>
      <c r="F147" s="4" t="n">
        <v>0</v>
      </c>
    </row>
    <row r="148" customFormat="false" ht="15" hidden="false" customHeight="false" outlineLevel="0" collapsed="false">
      <c r="A148" s="4" t="s">
        <v>24</v>
      </c>
      <c r="B148" s="4" t="s">
        <v>37</v>
      </c>
      <c r="C148" s="4" t="n">
        <v>2009</v>
      </c>
      <c r="D148" s="4" t="n">
        <v>6</v>
      </c>
      <c r="E148" s="4" t="n">
        <v>0</v>
      </c>
      <c r="F148" s="4" t="n">
        <v>0</v>
      </c>
    </row>
    <row r="149" customFormat="false" ht="15" hidden="false" customHeight="false" outlineLevel="0" collapsed="false">
      <c r="A149" s="4" t="s">
        <v>24</v>
      </c>
      <c r="B149" s="4" t="s">
        <v>37</v>
      </c>
      <c r="C149" s="4" t="n">
        <v>2010</v>
      </c>
      <c r="D149" s="4" t="n">
        <v>26</v>
      </c>
      <c r="E149" s="4" t="n">
        <v>0</v>
      </c>
      <c r="F149" s="4" t="n">
        <v>0</v>
      </c>
    </row>
    <row r="150" customFormat="false" ht="15" hidden="false" customHeight="false" outlineLevel="0" collapsed="false">
      <c r="A150" s="4" t="s">
        <v>24</v>
      </c>
      <c r="B150" s="4" t="s">
        <v>37</v>
      </c>
      <c r="C150" s="4" t="n">
        <v>2011</v>
      </c>
      <c r="D150" s="4" t="n">
        <v>11</v>
      </c>
      <c r="E150" s="4" t="n">
        <v>0</v>
      </c>
      <c r="F150" s="4" t="n">
        <v>0</v>
      </c>
    </row>
    <row r="151" customFormat="false" ht="15" hidden="false" customHeight="false" outlineLevel="0" collapsed="false">
      <c r="A151" s="4" t="s">
        <v>24</v>
      </c>
      <c r="B151" s="4" t="s">
        <v>37</v>
      </c>
      <c r="C151" s="4" t="n">
        <v>2012</v>
      </c>
      <c r="D151" s="4" t="n">
        <v>12</v>
      </c>
      <c r="E151" s="4" t="n">
        <v>0</v>
      </c>
      <c r="F151" s="4" t="n">
        <v>0</v>
      </c>
    </row>
    <row r="152" customFormat="false" ht="15" hidden="false" customHeight="false" outlineLevel="0" collapsed="false">
      <c r="A152" s="4" t="s">
        <v>24</v>
      </c>
      <c r="B152" s="4" t="s">
        <v>37</v>
      </c>
      <c r="C152" s="4" t="n">
        <v>2013</v>
      </c>
      <c r="D152" s="4" t="n">
        <v>21</v>
      </c>
      <c r="E152" s="4" t="n">
        <v>0</v>
      </c>
      <c r="F152" s="4" t="n">
        <v>0</v>
      </c>
    </row>
    <row r="153" customFormat="false" ht="15" hidden="false" customHeight="false" outlineLevel="0" collapsed="false">
      <c r="A153" s="4" t="s">
        <v>24</v>
      </c>
      <c r="B153" s="4" t="s">
        <v>37</v>
      </c>
      <c r="C153" s="4" t="n">
        <v>2014</v>
      </c>
      <c r="D153" s="4" t="n">
        <v>7</v>
      </c>
      <c r="E153" s="4" t="n">
        <v>0</v>
      </c>
      <c r="F153" s="4" t="n">
        <v>0</v>
      </c>
    </row>
    <row r="154" customFormat="false" ht="15" hidden="false" customHeight="false" outlineLevel="0" collapsed="false">
      <c r="A154" s="4" t="s">
        <v>24</v>
      </c>
      <c r="B154" s="4" t="s">
        <v>37</v>
      </c>
      <c r="C154" s="4" t="n">
        <v>2015</v>
      </c>
      <c r="D154" s="4" t="n">
        <v>9</v>
      </c>
      <c r="E154" s="4" t="n">
        <v>0</v>
      </c>
      <c r="F154" s="4" t="n">
        <v>0</v>
      </c>
    </row>
    <row r="155" customFormat="false" ht="15" hidden="false" customHeight="false" outlineLevel="0" collapsed="false">
      <c r="A155" s="4" t="s">
        <v>24</v>
      </c>
      <c r="B155" s="4" t="s">
        <v>37</v>
      </c>
      <c r="C155" s="4" t="n">
        <v>2018</v>
      </c>
      <c r="D155" s="4" t="n">
        <v>9</v>
      </c>
      <c r="E155" s="4" t="n">
        <v>0</v>
      </c>
      <c r="F155" s="4" t="n">
        <v>0</v>
      </c>
    </row>
    <row r="156" customFormat="false" ht="15" hidden="false" customHeight="false" outlineLevel="0" collapsed="false">
      <c r="A156" s="4" t="s">
        <v>24</v>
      </c>
      <c r="B156" s="4" t="s">
        <v>37</v>
      </c>
      <c r="C156" s="4" t="n">
        <v>2019</v>
      </c>
      <c r="D156" s="4" t="n">
        <v>6</v>
      </c>
      <c r="E156" s="4" t="n">
        <v>0</v>
      </c>
      <c r="F156" s="4" t="n">
        <v>0</v>
      </c>
    </row>
    <row r="157" customFormat="false" ht="15" hidden="false" customHeight="false" outlineLevel="0" collapsed="false">
      <c r="A157" s="4" t="s">
        <v>24</v>
      </c>
      <c r="B157" s="4" t="s">
        <v>38</v>
      </c>
      <c r="C157" s="4" t="n">
        <v>1994</v>
      </c>
      <c r="D157" s="4" t="n">
        <v>4</v>
      </c>
      <c r="E157" s="4" t="n">
        <v>0</v>
      </c>
      <c r="F157" s="4" t="n">
        <v>0</v>
      </c>
    </row>
    <row r="158" customFormat="false" ht="15" hidden="false" customHeight="false" outlineLevel="0" collapsed="false">
      <c r="A158" s="4" t="s">
        <v>24</v>
      </c>
      <c r="B158" s="4" t="s">
        <v>38</v>
      </c>
      <c r="C158" s="4" t="n">
        <v>1996</v>
      </c>
      <c r="D158" s="4" t="n">
        <v>3</v>
      </c>
      <c r="E158" s="4" t="n">
        <v>0</v>
      </c>
      <c r="F158" s="4" t="n">
        <v>0</v>
      </c>
    </row>
    <row r="159" customFormat="false" ht="15" hidden="false" customHeight="false" outlineLevel="0" collapsed="false">
      <c r="A159" s="4" t="s">
        <v>24</v>
      </c>
      <c r="B159" s="4" t="s">
        <v>38</v>
      </c>
      <c r="C159" s="4" t="n">
        <v>1998</v>
      </c>
      <c r="D159" s="4" t="n">
        <v>7</v>
      </c>
      <c r="E159" s="4" t="n">
        <v>0</v>
      </c>
      <c r="F159" s="4" t="n">
        <v>0</v>
      </c>
    </row>
    <row r="160" customFormat="false" ht="15" hidden="false" customHeight="false" outlineLevel="0" collapsed="false">
      <c r="A160" s="4" t="s">
        <v>24</v>
      </c>
      <c r="B160" s="4" t="s">
        <v>38</v>
      </c>
      <c r="C160" s="4" t="n">
        <v>2001</v>
      </c>
      <c r="D160" s="4" t="n">
        <v>2</v>
      </c>
      <c r="E160" s="4" t="n">
        <v>0</v>
      </c>
      <c r="F160" s="4" t="n">
        <v>0</v>
      </c>
    </row>
    <row r="161" customFormat="false" ht="15" hidden="false" customHeight="false" outlineLevel="0" collapsed="false">
      <c r="A161" s="4" t="s">
        <v>24</v>
      </c>
      <c r="B161" s="4" t="s">
        <v>38</v>
      </c>
      <c r="C161" s="4" t="n">
        <v>2002</v>
      </c>
      <c r="D161" s="4" t="n">
        <v>2</v>
      </c>
      <c r="E161" s="4" t="n">
        <v>0</v>
      </c>
      <c r="F161" s="4" t="n">
        <v>0</v>
      </c>
    </row>
    <row r="162" customFormat="false" ht="15" hidden="false" customHeight="false" outlineLevel="0" collapsed="false">
      <c r="A162" s="4" t="s">
        <v>24</v>
      </c>
      <c r="B162" s="4" t="s">
        <v>38</v>
      </c>
      <c r="C162" s="4" t="n">
        <v>2007</v>
      </c>
      <c r="D162" s="4" t="n">
        <v>4</v>
      </c>
      <c r="E162" s="4" t="n">
        <v>0</v>
      </c>
      <c r="F162" s="4" t="n">
        <v>0</v>
      </c>
    </row>
    <row r="163" customFormat="false" ht="15" hidden="false" customHeight="false" outlineLevel="0" collapsed="false">
      <c r="A163" s="4" t="s">
        <v>24</v>
      </c>
      <c r="B163" s="4" t="s">
        <v>38</v>
      </c>
      <c r="C163" s="4" t="n">
        <v>2009</v>
      </c>
      <c r="D163" s="4" t="n">
        <v>2</v>
      </c>
      <c r="E163" s="4" t="n">
        <v>0</v>
      </c>
      <c r="F163" s="4" t="n">
        <v>0</v>
      </c>
    </row>
    <row r="164" customFormat="false" ht="15" hidden="false" customHeight="false" outlineLevel="0" collapsed="false">
      <c r="A164" s="4" t="s">
        <v>24</v>
      </c>
      <c r="B164" s="4" t="s">
        <v>38</v>
      </c>
      <c r="C164" s="4" t="n">
        <v>2010</v>
      </c>
      <c r="D164" s="4" t="n">
        <v>5</v>
      </c>
      <c r="E164" s="4" t="n">
        <v>0</v>
      </c>
      <c r="F164" s="4" t="n">
        <v>0</v>
      </c>
    </row>
    <row r="165" customFormat="false" ht="15" hidden="false" customHeight="false" outlineLevel="0" collapsed="false">
      <c r="A165" s="4" t="s">
        <v>24</v>
      </c>
      <c r="B165" s="4" t="s">
        <v>39</v>
      </c>
      <c r="C165" s="4" t="n">
        <v>2008</v>
      </c>
      <c r="D165" s="4" t="n">
        <v>1</v>
      </c>
      <c r="E165" s="4" t="n">
        <v>0</v>
      </c>
      <c r="F165" s="4" t="n">
        <v>0</v>
      </c>
    </row>
    <row r="166" customFormat="false" ht="15" hidden="false" customHeight="false" outlineLevel="0" collapsed="false">
      <c r="A166" s="4" t="s">
        <v>24</v>
      </c>
      <c r="B166" s="4" t="s">
        <v>39</v>
      </c>
      <c r="C166" s="4" t="n">
        <v>2009</v>
      </c>
      <c r="D166" s="4" t="n">
        <v>4</v>
      </c>
      <c r="E166" s="4" t="n">
        <v>0</v>
      </c>
      <c r="F166" s="4" t="n">
        <v>0</v>
      </c>
    </row>
    <row r="167" customFormat="false" ht="15" hidden="false" customHeight="false" outlineLevel="0" collapsed="false">
      <c r="A167" s="4" t="s">
        <v>24</v>
      </c>
      <c r="B167" s="4" t="s">
        <v>39</v>
      </c>
      <c r="C167" s="4" t="n">
        <v>2010</v>
      </c>
      <c r="D167" s="4" t="n">
        <v>21</v>
      </c>
      <c r="E167" s="4" t="n">
        <v>0</v>
      </c>
      <c r="F167" s="4" t="n">
        <v>0</v>
      </c>
    </row>
    <row r="168" customFormat="false" ht="15" hidden="false" customHeight="false" outlineLevel="0" collapsed="false">
      <c r="A168" s="4" t="s">
        <v>24</v>
      </c>
      <c r="B168" s="4" t="s">
        <v>39</v>
      </c>
      <c r="C168" s="4" t="n">
        <v>2011</v>
      </c>
      <c r="D168" s="4" t="n">
        <v>11</v>
      </c>
      <c r="E168" s="4" t="n">
        <v>0</v>
      </c>
      <c r="F168" s="4" t="n">
        <v>0</v>
      </c>
    </row>
    <row r="169" customFormat="false" ht="15" hidden="false" customHeight="false" outlineLevel="0" collapsed="false">
      <c r="A169" s="4" t="s">
        <v>24</v>
      </c>
      <c r="B169" s="4" t="s">
        <v>39</v>
      </c>
      <c r="C169" s="4" t="n">
        <v>2012</v>
      </c>
      <c r="D169" s="4" t="n">
        <v>12</v>
      </c>
      <c r="E169" s="4" t="n">
        <v>0</v>
      </c>
      <c r="F169" s="4" t="n">
        <v>0</v>
      </c>
    </row>
    <row r="170" customFormat="false" ht="15" hidden="false" customHeight="false" outlineLevel="0" collapsed="false">
      <c r="A170" s="4" t="s">
        <v>24</v>
      </c>
      <c r="B170" s="4" t="s">
        <v>39</v>
      </c>
      <c r="C170" s="4" t="n">
        <v>2013</v>
      </c>
      <c r="D170" s="4" t="n">
        <v>21</v>
      </c>
      <c r="E170" s="4" t="n">
        <v>0</v>
      </c>
      <c r="F170" s="4" t="n">
        <v>0</v>
      </c>
    </row>
    <row r="171" customFormat="false" ht="15" hidden="false" customHeight="false" outlineLevel="0" collapsed="false">
      <c r="A171" s="4" t="s">
        <v>24</v>
      </c>
      <c r="B171" s="4" t="s">
        <v>39</v>
      </c>
      <c r="C171" s="4" t="n">
        <v>2014</v>
      </c>
      <c r="D171" s="4" t="n">
        <v>7</v>
      </c>
      <c r="E171" s="4" t="n">
        <v>0</v>
      </c>
      <c r="F171" s="4" t="n">
        <v>0</v>
      </c>
    </row>
    <row r="172" customFormat="false" ht="15" hidden="false" customHeight="false" outlineLevel="0" collapsed="false">
      <c r="A172" s="4" t="s">
        <v>24</v>
      </c>
      <c r="B172" s="4" t="s">
        <v>39</v>
      </c>
      <c r="C172" s="4" t="n">
        <v>2015</v>
      </c>
      <c r="D172" s="4" t="n">
        <v>9</v>
      </c>
      <c r="E172" s="4" t="n">
        <v>0</v>
      </c>
      <c r="F172" s="4" t="n">
        <v>0</v>
      </c>
    </row>
    <row r="173" customFormat="false" ht="15" hidden="false" customHeight="false" outlineLevel="0" collapsed="false">
      <c r="A173" s="4" t="s">
        <v>24</v>
      </c>
      <c r="B173" s="4" t="s">
        <v>39</v>
      </c>
      <c r="C173" s="4" t="n">
        <v>2018</v>
      </c>
      <c r="D173" s="4" t="n">
        <v>9</v>
      </c>
      <c r="E173" s="4" t="n">
        <v>0</v>
      </c>
      <c r="F173" s="4" t="n">
        <v>0</v>
      </c>
    </row>
    <row r="174" customFormat="false" ht="15" hidden="false" customHeight="false" outlineLevel="0" collapsed="false">
      <c r="A174" s="4" t="s">
        <v>24</v>
      </c>
      <c r="B174" s="4" t="s">
        <v>39</v>
      </c>
      <c r="C174" s="4" t="n">
        <v>2019</v>
      </c>
      <c r="D174" s="4" t="n">
        <v>6</v>
      </c>
      <c r="E174" s="4" t="n">
        <v>0</v>
      </c>
      <c r="F174" s="4" t="n">
        <v>0</v>
      </c>
    </row>
    <row r="175" customFormat="false" ht="15" hidden="false" customHeight="false" outlineLevel="0" collapsed="false">
      <c r="A175" s="4" t="s">
        <v>24</v>
      </c>
      <c r="B175" s="4" t="s">
        <v>40</v>
      </c>
      <c r="C175" s="4" t="n">
        <v>1994</v>
      </c>
      <c r="D175" s="4" t="n">
        <v>4</v>
      </c>
      <c r="E175" s="4" t="n">
        <v>0</v>
      </c>
      <c r="F175" s="4" t="n">
        <v>0</v>
      </c>
    </row>
    <row r="176" customFormat="false" ht="15" hidden="false" customHeight="false" outlineLevel="0" collapsed="false">
      <c r="A176" s="4" t="s">
        <v>24</v>
      </c>
      <c r="B176" s="4" t="s">
        <v>40</v>
      </c>
      <c r="C176" s="4" t="n">
        <v>1996</v>
      </c>
      <c r="D176" s="4" t="n">
        <v>3</v>
      </c>
      <c r="E176" s="4" t="n">
        <v>0</v>
      </c>
      <c r="F176" s="4" t="n">
        <v>0</v>
      </c>
    </row>
    <row r="177" customFormat="false" ht="15" hidden="false" customHeight="false" outlineLevel="0" collapsed="false">
      <c r="A177" s="4" t="s">
        <v>24</v>
      </c>
      <c r="B177" s="4" t="s">
        <v>40</v>
      </c>
      <c r="C177" s="4" t="n">
        <v>1998</v>
      </c>
      <c r="D177" s="4" t="n">
        <v>7</v>
      </c>
      <c r="E177" s="4" t="n">
        <v>0</v>
      </c>
      <c r="F177" s="4" t="n">
        <v>0</v>
      </c>
    </row>
    <row r="178" customFormat="false" ht="15" hidden="false" customHeight="false" outlineLevel="0" collapsed="false">
      <c r="A178" s="4" t="s">
        <v>24</v>
      </c>
      <c r="B178" s="4" t="s">
        <v>40</v>
      </c>
      <c r="C178" s="4" t="n">
        <v>2001</v>
      </c>
      <c r="D178" s="4" t="n">
        <v>2</v>
      </c>
      <c r="E178" s="4" t="n">
        <v>0</v>
      </c>
      <c r="F178" s="4" t="n">
        <v>0</v>
      </c>
    </row>
    <row r="179" customFormat="false" ht="15" hidden="false" customHeight="false" outlineLevel="0" collapsed="false">
      <c r="A179" s="4" t="s">
        <v>24</v>
      </c>
      <c r="B179" s="4" t="s">
        <v>40</v>
      </c>
      <c r="C179" s="4" t="n">
        <v>2002</v>
      </c>
      <c r="D179" s="4" t="n">
        <v>2</v>
      </c>
      <c r="E179" s="4" t="n">
        <v>0</v>
      </c>
      <c r="F179" s="4" t="n">
        <v>0</v>
      </c>
    </row>
    <row r="180" customFormat="false" ht="15" hidden="false" customHeight="false" outlineLevel="0" collapsed="false">
      <c r="A180" s="4" t="s">
        <v>24</v>
      </c>
      <c r="B180" s="4" t="s">
        <v>40</v>
      </c>
      <c r="C180" s="4" t="n">
        <v>2007</v>
      </c>
      <c r="D180" s="4" t="n">
        <v>4</v>
      </c>
      <c r="E180" s="4" t="n">
        <v>0</v>
      </c>
      <c r="F180" s="4" t="n">
        <v>0</v>
      </c>
    </row>
    <row r="181" customFormat="false" ht="15" hidden="false" customHeight="false" outlineLevel="0" collapsed="false">
      <c r="A181" s="4" t="s">
        <v>24</v>
      </c>
      <c r="B181" s="4" t="s">
        <v>40</v>
      </c>
      <c r="C181" s="4" t="n">
        <v>2008</v>
      </c>
      <c r="D181" s="4" t="n">
        <v>13</v>
      </c>
      <c r="E181" s="4" t="n">
        <v>1</v>
      </c>
      <c r="F181" s="4" t="n">
        <v>7.692</v>
      </c>
    </row>
    <row r="182" customFormat="false" ht="15" hidden="false" customHeight="false" outlineLevel="0" collapsed="false">
      <c r="A182" s="4" t="s">
        <v>24</v>
      </c>
      <c r="B182" s="4" t="s">
        <v>40</v>
      </c>
      <c r="C182" s="4" t="n">
        <v>2009</v>
      </c>
      <c r="D182" s="4" t="n">
        <v>40</v>
      </c>
      <c r="E182" s="4" t="n">
        <v>4</v>
      </c>
      <c r="F182" s="4" t="n">
        <v>10</v>
      </c>
    </row>
    <row r="183" customFormat="false" ht="15" hidden="false" customHeight="false" outlineLevel="0" collapsed="false">
      <c r="A183" s="4" t="s">
        <v>24</v>
      </c>
      <c r="B183" s="4" t="s">
        <v>40</v>
      </c>
      <c r="C183" s="4" t="n">
        <v>2010</v>
      </c>
      <c r="D183" s="4" t="n">
        <v>71</v>
      </c>
      <c r="E183" s="4" t="n">
        <v>10</v>
      </c>
      <c r="F183" s="4" t="n">
        <v>14.085</v>
      </c>
    </row>
    <row r="184" customFormat="false" ht="15" hidden="false" customHeight="false" outlineLevel="0" collapsed="false">
      <c r="A184" s="4" t="s">
        <v>24</v>
      </c>
      <c r="B184" s="4" t="s">
        <v>40</v>
      </c>
      <c r="C184" s="4" t="n">
        <v>2011</v>
      </c>
      <c r="D184" s="4" t="n">
        <v>51</v>
      </c>
      <c r="E184" s="4" t="n">
        <v>9</v>
      </c>
      <c r="F184" s="4" t="n">
        <v>17.647</v>
      </c>
    </row>
    <row r="185" customFormat="false" ht="15" hidden="false" customHeight="false" outlineLevel="0" collapsed="false">
      <c r="A185" s="4" t="s">
        <v>24</v>
      </c>
      <c r="B185" s="4" t="s">
        <v>40</v>
      </c>
      <c r="C185" s="4" t="n">
        <v>2012</v>
      </c>
      <c r="D185" s="4" t="n">
        <v>34</v>
      </c>
      <c r="E185" s="4" t="n">
        <v>11</v>
      </c>
      <c r="F185" s="4" t="n">
        <v>32.353</v>
      </c>
    </row>
    <row r="186" customFormat="false" ht="15" hidden="false" customHeight="false" outlineLevel="0" collapsed="false">
      <c r="A186" s="4" t="s">
        <v>24</v>
      </c>
      <c r="B186" s="4" t="s">
        <v>40</v>
      </c>
      <c r="C186" s="4" t="n">
        <v>2013</v>
      </c>
      <c r="D186" s="4" t="n">
        <v>109</v>
      </c>
      <c r="E186" s="4" t="n">
        <v>18</v>
      </c>
      <c r="F186" s="4" t="n">
        <v>16.514</v>
      </c>
    </row>
    <row r="187" customFormat="false" ht="15" hidden="false" customHeight="false" outlineLevel="0" collapsed="false">
      <c r="A187" s="4" t="s">
        <v>24</v>
      </c>
      <c r="B187" s="4" t="s">
        <v>40</v>
      </c>
      <c r="C187" s="4" t="n">
        <v>2014</v>
      </c>
      <c r="D187" s="4" t="n">
        <v>76</v>
      </c>
      <c r="E187" s="4" t="n">
        <v>11</v>
      </c>
      <c r="F187" s="4" t="n">
        <v>14.474</v>
      </c>
    </row>
    <row r="188" customFormat="false" ht="15" hidden="false" customHeight="false" outlineLevel="0" collapsed="false">
      <c r="A188" s="4" t="s">
        <v>24</v>
      </c>
      <c r="B188" s="4" t="s">
        <v>40</v>
      </c>
      <c r="C188" s="4" t="n">
        <v>2015</v>
      </c>
      <c r="D188" s="4" t="n">
        <v>117</v>
      </c>
      <c r="E188" s="4" t="n">
        <v>18</v>
      </c>
      <c r="F188" s="4" t="n">
        <v>15.385</v>
      </c>
    </row>
    <row r="189" customFormat="false" ht="15" hidden="false" customHeight="false" outlineLevel="0" collapsed="false">
      <c r="A189" s="4" t="s">
        <v>24</v>
      </c>
      <c r="B189" s="4" t="s">
        <v>40</v>
      </c>
      <c r="C189" s="4" t="n">
        <v>2016</v>
      </c>
      <c r="D189" s="4" t="n">
        <v>186</v>
      </c>
      <c r="E189" s="4" t="n">
        <v>9</v>
      </c>
      <c r="F189" s="4" t="n">
        <v>4.839</v>
      </c>
    </row>
    <row r="190" customFormat="false" ht="15" hidden="false" customHeight="false" outlineLevel="0" collapsed="false">
      <c r="A190" s="4" t="s">
        <v>24</v>
      </c>
      <c r="B190" s="4" t="s">
        <v>41</v>
      </c>
      <c r="C190" s="4" t="n">
        <v>2008</v>
      </c>
      <c r="D190" s="4" t="n">
        <v>1</v>
      </c>
      <c r="E190" s="4" t="n">
        <v>1</v>
      </c>
      <c r="F190" s="4" t="n">
        <v>100</v>
      </c>
    </row>
    <row r="191" customFormat="false" ht="15" hidden="false" customHeight="false" outlineLevel="0" collapsed="false">
      <c r="A191" s="4" t="s">
        <v>24</v>
      </c>
      <c r="B191" s="4" t="s">
        <v>41</v>
      </c>
      <c r="C191" s="4" t="n">
        <v>2009</v>
      </c>
      <c r="D191" s="4" t="n">
        <v>4</v>
      </c>
      <c r="E191" s="4" t="n">
        <v>4</v>
      </c>
      <c r="F191" s="4" t="n">
        <v>100</v>
      </c>
    </row>
    <row r="192" customFormat="false" ht="15" hidden="false" customHeight="false" outlineLevel="0" collapsed="false">
      <c r="A192" s="4" t="s">
        <v>24</v>
      </c>
      <c r="B192" s="4" t="s">
        <v>41</v>
      </c>
      <c r="C192" s="4" t="n">
        <v>2010</v>
      </c>
      <c r="D192" s="4" t="n">
        <v>21</v>
      </c>
      <c r="E192" s="4" t="n">
        <v>17</v>
      </c>
      <c r="F192" s="4" t="n">
        <v>80.952</v>
      </c>
    </row>
    <row r="193" customFormat="false" ht="15" hidden="false" customHeight="false" outlineLevel="0" collapsed="false">
      <c r="A193" s="4" t="s">
        <v>24</v>
      </c>
      <c r="B193" s="4" t="s">
        <v>41</v>
      </c>
      <c r="C193" s="4" t="n">
        <v>2011</v>
      </c>
      <c r="D193" s="4" t="n">
        <v>11</v>
      </c>
      <c r="E193" s="4" t="n">
        <v>11</v>
      </c>
      <c r="F193" s="4" t="n">
        <v>100</v>
      </c>
    </row>
    <row r="194" customFormat="false" ht="15" hidden="false" customHeight="false" outlineLevel="0" collapsed="false">
      <c r="A194" s="4" t="s">
        <v>24</v>
      </c>
      <c r="B194" s="4" t="s">
        <v>41</v>
      </c>
      <c r="C194" s="4" t="n">
        <v>2012</v>
      </c>
      <c r="D194" s="4" t="n">
        <v>12</v>
      </c>
      <c r="E194" s="4" t="n">
        <v>12</v>
      </c>
      <c r="F194" s="4" t="n">
        <v>100</v>
      </c>
    </row>
    <row r="195" customFormat="false" ht="15" hidden="false" customHeight="false" outlineLevel="0" collapsed="false">
      <c r="A195" s="4" t="s">
        <v>24</v>
      </c>
      <c r="B195" s="4" t="s">
        <v>41</v>
      </c>
      <c r="C195" s="4" t="n">
        <v>2013</v>
      </c>
      <c r="D195" s="4" t="n">
        <v>21</v>
      </c>
      <c r="E195" s="4" t="n">
        <v>20</v>
      </c>
      <c r="F195" s="4" t="n">
        <v>95.238</v>
      </c>
    </row>
    <row r="196" customFormat="false" ht="15" hidden="false" customHeight="false" outlineLevel="0" collapsed="false">
      <c r="A196" s="4" t="s">
        <v>24</v>
      </c>
      <c r="B196" s="4" t="s">
        <v>41</v>
      </c>
      <c r="C196" s="4" t="n">
        <v>2014</v>
      </c>
      <c r="D196" s="4" t="n">
        <v>7</v>
      </c>
      <c r="E196" s="4" t="n">
        <v>7</v>
      </c>
      <c r="F196" s="4" t="n">
        <v>100</v>
      </c>
    </row>
    <row r="197" customFormat="false" ht="15" hidden="false" customHeight="false" outlineLevel="0" collapsed="false">
      <c r="A197" s="4" t="s">
        <v>24</v>
      </c>
      <c r="B197" s="4" t="s">
        <v>41</v>
      </c>
      <c r="C197" s="4" t="n">
        <v>2015</v>
      </c>
      <c r="D197" s="4" t="n">
        <v>9</v>
      </c>
      <c r="E197" s="4" t="n">
        <v>8</v>
      </c>
      <c r="F197" s="4" t="n">
        <v>88.889</v>
      </c>
    </row>
    <row r="198" customFormat="false" ht="15" hidden="false" customHeight="false" outlineLevel="0" collapsed="false">
      <c r="A198" s="4" t="s">
        <v>24</v>
      </c>
      <c r="B198" s="4" t="s">
        <v>41</v>
      </c>
      <c r="C198" s="4" t="n">
        <v>2018</v>
      </c>
      <c r="D198" s="4" t="n">
        <v>5</v>
      </c>
      <c r="E198" s="4" t="n">
        <v>5</v>
      </c>
      <c r="F198" s="4" t="n">
        <v>100</v>
      </c>
    </row>
    <row r="199" customFormat="false" ht="15" hidden="false" customHeight="false" outlineLevel="0" collapsed="false">
      <c r="A199" s="4" t="s">
        <v>24</v>
      </c>
      <c r="B199" s="4" t="s">
        <v>42</v>
      </c>
      <c r="C199" s="4" t="n">
        <v>1994</v>
      </c>
      <c r="D199" s="4" t="n">
        <v>4</v>
      </c>
      <c r="E199" s="4" t="n">
        <v>0</v>
      </c>
      <c r="F199" s="4" t="n">
        <v>0</v>
      </c>
    </row>
    <row r="200" customFormat="false" ht="15" hidden="false" customHeight="false" outlineLevel="0" collapsed="false">
      <c r="A200" s="4" t="s">
        <v>24</v>
      </c>
      <c r="B200" s="4" t="s">
        <v>42</v>
      </c>
      <c r="C200" s="4" t="n">
        <v>1996</v>
      </c>
      <c r="D200" s="4" t="n">
        <v>3</v>
      </c>
      <c r="E200" s="4" t="n">
        <v>0</v>
      </c>
      <c r="F200" s="4" t="n">
        <v>0</v>
      </c>
    </row>
    <row r="201" customFormat="false" ht="15" hidden="false" customHeight="false" outlineLevel="0" collapsed="false">
      <c r="A201" s="4" t="s">
        <v>24</v>
      </c>
      <c r="B201" s="4" t="s">
        <v>42</v>
      </c>
      <c r="C201" s="4" t="n">
        <v>1998</v>
      </c>
      <c r="D201" s="4" t="n">
        <v>7</v>
      </c>
      <c r="E201" s="4" t="n">
        <v>0</v>
      </c>
      <c r="F201" s="4" t="n">
        <v>0</v>
      </c>
    </row>
    <row r="202" customFormat="false" ht="15" hidden="false" customHeight="false" outlineLevel="0" collapsed="false">
      <c r="A202" s="4" t="s">
        <v>24</v>
      </c>
      <c r="B202" s="4" t="s">
        <v>42</v>
      </c>
      <c r="C202" s="4" t="n">
        <v>2001</v>
      </c>
      <c r="D202" s="4" t="n">
        <v>2</v>
      </c>
      <c r="E202" s="4" t="n">
        <v>0</v>
      </c>
      <c r="F202" s="4" t="n">
        <v>0</v>
      </c>
    </row>
    <row r="203" customFormat="false" ht="15" hidden="false" customHeight="false" outlineLevel="0" collapsed="false">
      <c r="A203" s="4" t="s">
        <v>24</v>
      </c>
      <c r="B203" s="4" t="s">
        <v>42</v>
      </c>
      <c r="C203" s="4" t="n">
        <v>2002</v>
      </c>
      <c r="D203" s="4" t="n">
        <v>2</v>
      </c>
      <c r="E203" s="4" t="n">
        <v>0</v>
      </c>
      <c r="F203" s="4" t="n">
        <v>0</v>
      </c>
    </row>
    <row r="204" customFormat="false" ht="15" hidden="false" customHeight="false" outlineLevel="0" collapsed="false">
      <c r="A204" s="4" t="s">
        <v>24</v>
      </c>
      <c r="B204" s="4" t="s">
        <v>42</v>
      </c>
      <c r="C204" s="4" t="n">
        <v>2007</v>
      </c>
      <c r="D204" s="4" t="n">
        <v>4</v>
      </c>
      <c r="E204" s="4" t="n">
        <v>0</v>
      </c>
      <c r="F204" s="4" t="n">
        <v>0</v>
      </c>
    </row>
    <row r="205" customFormat="false" ht="15" hidden="false" customHeight="false" outlineLevel="0" collapsed="false">
      <c r="A205" s="4" t="s">
        <v>24</v>
      </c>
      <c r="B205" s="4" t="s">
        <v>42</v>
      </c>
      <c r="C205" s="4" t="n">
        <v>2009</v>
      </c>
      <c r="D205" s="4" t="n">
        <v>2</v>
      </c>
      <c r="E205" s="4" t="n">
        <v>0</v>
      </c>
      <c r="F205" s="4" t="n">
        <v>0</v>
      </c>
    </row>
    <row r="206" customFormat="false" ht="15" hidden="false" customHeight="false" outlineLevel="0" collapsed="false">
      <c r="A206" s="4" t="s">
        <v>24</v>
      </c>
      <c r="B206" s="4" t="s">
        <v>42</v>
      </c>
      <c r="C206" s="4" t="n">
        <v>2010</v>
      </c>
      <c r="D206" s="4" t="n">
        <v>5</v>
      </c>
      <c r="E206" s="4" t="n">
        <v>0</v>
      </c>
      <c r="F206" s="4" t="n">
        <v>0</v>
      </c>
    </row>
    <row r="207" customFormat="false" ht="15" hidden="false" customHeight="false" outlineLevel="0" collapsed="false">
      <c r="A207" s="4" t="s">
        <v>24</v>
      </c>
      <c r="B207" s="4" t="s">
        <v>43</v>
      </c>
      <c r="C207" s="4" t="n">
        <v>2018</v>
      </c>
      <c r="D207" s="4" t="n">
        <v>4</v>
      </c>
      <c r="E207" s="4" t="n">
        <v>4</v>
      </c>
      <c r="F207" s="4" t="n">
        <v>100</v>
      </c>
    </row>
    <row r="208" customFormat="false" ht="15" hidden="false" customHeight="false" outlineLevel="0" collapsed="false">
      <c r="A208" s="4" t="s">
        <v>24</v>
      </c>
      <c r="B208" s="4" t="s">
        <v>43</v>
      </c>
      <c r="C208" s="4" t="n">
        <v>2019</v>
      </c>
      <c r="D208" s="4" t="n">
        <v>6</v>
      </c>
      <c r="E208" s="4" t="n">
        <v>6</v>
      </c>
      <c r="F208" s="4" t="n">
        <v>100</v>
      </c>
    </row>
    <row r="209" customFormat="false" ht="15" hidden="false" customHeight="false" outlineLevel="0" collapsed="false">
      <c r="A209" s="4" t="s">
        <v>24</v>
      </c>
      <c r="B209" s="4" t="s">
        <v>44</v>
      </c>
      <c r="C209" s="4" t="n">
        <v>1994</v>
      </c>
      <c r="D209" s="4" t="n">
        <v>4</v>
      </c>
      <c r="E209" s="4" t="n">
        <v>0</v>
      </c>
      <c r="F209" s="4" t="n">
        <v>0</v>
      </c>
    </row>
    <row r="210" customFormat="false" ht="15" hidden="false" customHeight="false" outlineLevel="0" collapsed="false">
      <c r="A210" s="4" t="s">
        <v>24</v>
      </c>
      <c r="B210" s="4" t="s">
        <v>44</v>
      </c>
      <c r="C210" s="4" t="n">
        <v>1996</v>
      </c>
      <c r="D210" s="4" t="n">
        <v>3</v>
      </c>
      <c r="E210" s="4" t="n">
        <v>0</v>
      </c>
      <c r="F210" s="4" t="n">
        <v>0</v>
      </c>
    </row>
    <row r="211" customFormat="false" ht="15" hidden="false" customHeight="false" outlineLevel="0" collapsed="false">
      <c r="A211" s="4" t="s">
        <v>24</v>
      </c>
      <c r="B211" s="4" t="s">
        <v>44</v>
      </c>
      <c r="C211" s="4" t="n">
        <v>1998</v>
      </c>
      <c r="D211" s="4" t="n">
        <v>7</v>
      </c>
      <c r="E211" s="4" t="n">
        <v>0</v>
      </c>
      <c r="F211" s="4" t="n">
        <v>0</v>
      </c>
    </row>
    <row r="212" customFormat="false" ht="15" hidden="false" customHeight="false" outlineLevel="0" collapsed="false">
      <c r="A212" s="4" t="s">
        <v>24</v>
      </c>
      <c r="B212" s="4" t="s">
        <v>44</v>
      </c>
      <c r="C212" s="4" t="n">
        <v>2001</v>
      </c>
      <c r="D212" s="4" t="n">
        <v>2</v>
      </c>
      <c r="E212" s="4" t="n">
        <v>0</v>
      </c>
      <c r="F212" s="4" t="n">
        <v>0</v>
      </c>
    </row>
    <row r="213" customFormat="false" ht="15" hidden="false" customHeight="false" outlineLevel="0" collapsed="false">
      <c r="A213" s="4" t="s">
        <v>24</v>
      </c>
      <c r="B213" s="4" t="s">
        <v>44</v>
      </c>
      <c r="C213" s="4" t="n">
        <v>2002</v>
      </c>
      <c r="D213" s="4" t="n">
        <v>2</v>
      </c>
      <c r="E213" s="4" t="n">
        <v>0</v>
      </c>
      <c r="F213" s="4" t="n">
        <v>0</v>
      </c>
    </row>
    <row r="214" customFormat="false" ht="15" hidden="false" customHeight="false" outlineLevel="0" collapsed="false">
      <c r="A214" s="4" t="s">
        <v>24</v>
      </c>
      <c r="B214" s="4" t="s">
        <v>44</v>
      </c>
      <c r="C214" s="4" t="n">
        <v>2007</v>
      </c>
      <c r="D214" s="4" t="n">
        <v>4</v>
      </c>
      <c r="E214" s="4" t="n">
        <v>0</v>
      </c>
      <c r="F214" s="4" t="n">
        <v>0</v>
      </c>
    </row>
    <row r="215" customFormat="false" ht="15" hidden="false" customHeight="false" outlineLevel="0" collapsed="false">
      <c r="A215" s="4" t="s">
        <v>24</v>
      </c>
      <c r="B215" s="4" t="s">
        <v>44</v>
      </c>
      <c r="C215" s="4" t="n">
        <v>2009</v>
      </c>
      <c r="D215" s="4" t="n">
        <v>2</v>
      </c>
      <c r="E215" s="4" t="n">
        <v>0</v>
      </c>
      <c r="F215" s="4" t="n">
        <v>0</v>
      </c>
    </row>
    <row r="216" customFormat="false" ht="15" hidden="false" customHeight="false" outlineLevel="0" collapsed="false">
      <c r="A216" s="4" t="s">
        <v>24</v>
      </c>
      <c r="B216" s="4" t="s">
        <v>44</v>
      </c>
      <c r="C216" s="4" t="n">
        <v>2010</v>
      </c>
      <c r="D216" s="4" t="n">
        <v>5</v>
      </c>
      <c r="E216" s="4" t="n">
        <v>0</v>
      </c>
      <c r="F216" s="4" t="n">
        <v>0</v>
      </c>
    </row>
    <row r="217" customFormat="false" ht="15" hidden="false" customHeight="false" outlineLevel="0" collapsed="false">
      <c r="A217" s="4" t="s">
        <v>24</v>
      </c>
      <c r="B217" s="4" t="s">
        <v>45</v>
      </c>
      <c r="C217" s="4" t="n">
        <v>1994</v>
      </c>
      <c r="D217" s="4" t="n">
        <v>4</v>
      </c>
      <c r="E217" s="4" t="n">
        <v>0</v>
      </c>
      <c r="F217" s="4" t="n">
        <v>0</v>
      </c>
    </row>
    <row r="218" customFormat="false" ht="15" hidden="false" customHeight="false" outlineLevel="0" collapsed="false">
      <c r="A218" s="4" t="s">
        <v>24</v>
      </c>
      <c r="B218" s="4" t="s">
        <v>45</v>
      </c>
      <c r="C218" s="4" t="n">
        <v>1996</v>
      </c>
      <c r="D218" s="4" t="n">
        <v>3</v>
      </c>
      <c r="E218" s="4" t="n">
        <v>0</v>
      </c>
      <c r="F218" s="4" t="n">
        <v>0</v>
      </c>
    </row>
    <row r="219" customFormat="false" ht="15" hidden="false" customHeight="false" outlineLevel="0" collapsed="false">
      <c r="A219" s="4" t="s">
        <v>24</v>
      </c>
      <c r="B219" s="4" t="s">
        <v>45</v>
      </c>
      <c r="C219" s="4" t="n">
        <v>1998</v>
      </c>
      <c r="D219" s="4" t="n">
        <v>7</v>
      </c>
      <c r="E219" s="4" t="n">
        <v>0</v>
      </c>
      <c r="F219" s="4" t="n">
        <v>0</v>
      </c>
    </row>
    <row r="220" customFormat="false" ht="15" hidden="false" customHeight="false" outlineLevel="0" collapsed="false">
      <c r="A220" s="4" t="s">
        <v>24</v>
      </c>
      <c r="B220" s="4" t="s">
        <v>45</v>
      </c>
      <c r="C220" s="4" t="n">
        <v>2001</v>
      </c>
      <c r="D220" s="4" t="n">
        <v>2</v>
      </c>
      <c r="E220" s="4" t="n">
        <v>0</v>
      </c>
      <c r="F220" s="4" t="n">
        <v>0</v>
      </c>
    </row>
    <row r="221" customFormat="false" ht="15" hidden="false" customHeight="false" outlineLevel="0" collapsed="false">
      <c r="A221" s="4" t="s">
        <v>24</v>
      </c>
      <c r="B221" s="4" t="s">
        <v>45</v>
      </c>
      <c r="C221" s="4" t="n">
        <v>2002</v>
      </c>
      <c r="D221" s="4" t="n">
        <v>2</v>
      </c>
      <c r="E221" s="4" t="n">
        <v>0</v>
      </c>
      <c r="F221" s="4" t="n">
        <v>0</v>
      </c>
    </row>
    <row r="222" customFormat="false" ht="15" hidden="false" customHeight="false" outlineLevel="0" collapsed="false">
      <c r="A222" s="4" t="s">
        <v>24</v>
      </c>
      <c r="B222" s="4" t="s">
        <v>45</v>
      </c>
      <c r="C222" s="4" t="n">
        <v>2007</v>
      </c>
      <c r="D222" s="4" t="n">
        <v>4</v>
      </c>
      <c r="E222" s="4" t="n">
        <v>0</v>
      </c>
      <c r="F222" s="4" t="n">
        <v>0</v>
      </c>
    </row>
    <row r="223" customFormat="false" ht="15" hidden="false" customHeight="false" outlineLevel="0" collapsed="false">
      <c r="A223" s="4" t="s">
        <v>24</v>
      </c>
      <c r="B223" s="4" t="s">
        <v>45</v>
      </c>
      <c r="C223" s="4" t="n">
        <v>2008</v>
      </c>
      <c r="D223" s="4" t="n">
        <v>1</v>
      </c>
      <c r="E223" s="4" t="n">
        <v>1</v>
      </c>
      <c r="F223" s="4" t="n">
        <v>100</v>
      </c>
    </row>
    <row r="224" customFormat="false" ht="15" hidden="false" customHeight="false" outlineLevel="0" collapsed="false">
      <c r="A224" s="4" t="s">
        <v>24</v>
      </c>
      <c r="B224" s="4" t="s">
        <v>45</v>
      </c>
      <c r="C224" s="4" t="n">
        <v>2009</v>
      </c>
      <c r="D224" s="4" t="n">
        <v>6</v>
      </c>
      <c r="E224" s="4" t="n">
        <v>3</v>
      </c>
      <c r="F224" s="4" t="n">
        <v>50</v>
      </c>
    </row>
    <row r="225" customFormat="false" ht="15" hidden="false" customHeight="false" outlineLevel="0" collapsed="false">
      <c r="A225" s="4" t="s">
        <v>24</v>
      </c>
      <c r="B225" s="4" t="s">
        <v>45</v>
      </c>
      <c r="C225" s="4" t="n">
        <v>2010</v>
      </c>
      <c r="D225" s="4" t="n">
        <v>26</v>
      </c>
      <c r="E225" s="4" t="n">
        <v>8</v>
      </c>
      <c r="F225" s="4" t="n">
        <v>30.769</v>
      </c>
    </row>
    <row r="226" customFormat="false" ht="15" hidden="false" customHeight="false" outlineLevel="0" collapsed="false">
      <c r="A226" s="4" t="s">
        <v>24</v>
      </c>
      <c r="B226" s="4" t="s">
        <v>45</v>
      </c>
      <c r="C226" s="4" t="n">
        <v>2011</v>
      </c>
      <c r="D226" s="4" t="n">
        <v>11</v>
      </c>
      <c r="E226" s="4" t="n">
        <v>6</v>
      </c>
      <c r="F226" s="4" t="n">
        <v>54.545</v>
      </c>
    </row>
    <row r="227" customFormat="false" ht="15" hidden="false" customHeight="false" outlineLevel="0" collapsed="false">
      <c r="A227" s="4" t="s">
        <v>24</v>
      </c>
      <c r="B227" s="4" t="s">
        <v>45</v>
      </c>
      <c r="C227" s="4" t="n">
        <v>2012</v>
      </c>
      <c r="D227" s="4" t="n">
        <v>12</v>
      </c>
      <c r="E227" s="4" t="n">
        <v>7</v>
      </c>
      <c r="F227" s="4" t="n">
        <v>58.333</v>
      </c>
    </row>
    <row r="228" customFormat="false" ht="15" hidden="false" customHeight="false" outlineLevel="0" collapsed="false">
      <c r="A228" s="4" t="s">
        <v>24</v>
      </c>
      <c r="B228" s="4" t="s">
        <v>45</v>
      </c>
      <c r="C228" s="4" t="n">
        <v>2013</v>
      </c>
      <c r="D228" s="4" t="n">
        <v>50</v>
      </c>
      <c r="E228" s="4" t="n">
        <v>18</v>
      </c>
      <c r="F228" s="4" t="n">
        <v>36</v>
      </c>
    </row>
    <row r="229" customFormat="false" ht="15" hidden="false" customHeight="false" outlineLevel="0" collapsed="false">
      <c r="A229" s="4" t="s">
        <v>24</v>
      </c>
      <c r="B229" s="4" t="s">
        <v>45</v>
      </c>
      <c r="C229" s="4" t="n">
        <v>2014</v>
      </c>
      <c r="D229" s="4" t="n">
        <v>50</v>
      </c>
      <c r="E229" s="4" t="n">
        <v>24</v>
      </c>
      <c r="F229" s="4" t="n">
        <v>48</v>
      </c>
    </row>
    <row r="230" customFormat="false" ht="15" hidden="false" customHeight="false" outlineLevel="0" collapsed="false">
      <c r="A230" s="4" t="s">
        <v>24</v>
      </c>
      <c r="B230" s="4" t="s">
        <v>45</v>
      </c>
      <c r="C230" s="4" t="n">
        <v>2015</v>
      </c>
      <c r="D230" s="4" t="n">
        <v>99</v>
      </c>
      <c r="E230" s="4" t="n">
        <v>48</v>
      </c>
      <c r="F230" s="4" t="n">
        <v>48.485</v>
      </c>
    </row>
    <row r="231" customFormat="false" ht="15" hidden="false" customHeight="false" outlineLevel="0" collapsed="false">
      <c r="A231" s="4" t="s">
        <v>24</v>
      </c>
      <c r="B231" s="4" t="s">
        <v>45</v>
      </c>
      <c r="C231" s="4" t="n">
        <v>2016</v>
      </c>
      <c r="D231" s="4" t="n">
        <v>68</v>
      </c>
      <c r="E231" s="4" t="n">
        <v>19</v>
      </c>
      <c r="F231" s="4" t="n">
        <v>27.941</v>
      </c>
    </row>
    <row r="232" customFormat="false" ht="15" hidden="false" customHeight="false" outlineLevel="0" collapsed="false">
      <c r="A232" s="4" t="s">
        <v>24</v>
      </c>
      <c r="B232" s="4" t="s">
        <v>45</v>
      </c>
      <c r="C232" s="4" t="n">
        <v>2018</v>
      </c>
      <c r="D232" s="4" t="n">
        <v>9</v>
      </c>
      <c r="E232" s="4" t="n">
        <v>0</v>
      </c>
      <c r="F232" s="4" t="n">
        <v>0</v>
      </c>
    </row>
    <row r="233" customFormat="false" ht="15" hidden="false" customHeight="false" outlineLevel="0" collapsed="false">
      <c r="A233" s="4" t="s">
        <v>24</v>
      </c>
      <c r="B233" s="4" t="s">
        <v>45</v>
      </c>
      <c r="C233" s="4" t="n">
        <v>2019</v>
      </c>
      <c r="D233" s="4" t="n">
        <v>6</v>
      </c>
      <c r="E233" s="4" t="n">
        <v>0</v>
      </c>
      <c r="F233" s="4" t="n">
        <v>0</v>
      </c>
    </row>
    <row r="234" customFormat="false" ht="15" hidden="false" customHeight="false" outlineLevel="0" collapsed="false">
      <c r="A234" s="4" t="s">
        <v>24</v>
      </c>
      <c r="B234" s="4" t="s">
        <v>46</v>
      </c>
      <c r="C234" s="4" t="n">
        <v>1994</v>
      </c>
      <c r="D234" s="4" t="n">
        <v>4</v>
      </c>
      <c r="E234" s="4" t="n">
        <v>0</v>
      </c>
      <c r="F234" s="4" t="n">
        <v>0</v>
      </c>
    </row>
    <row r="235" customFormat="false" ht="15" hidden="false" customHeight="false" outlineLevel="0" collapsed="false">
      <c r="A235" s="4" t="s">
        <v>24</v>
      </c>
      <c r="B235" s="4" t="s">
        <v>46</v>
      </c>
      <c r="C235" s="4" t="n">
        <v>1996</v>
      </c>
      <c r="D235" s="4" t="n">
        <v>3</v>
      </c>
      <c r="E235" s="4" t="n">
        <v>0</v>
      </c>
      <c r="F235" s="4" t="n">
        <v>0</v>
      </c>
    </row>
    <row r="236" customFormat="false" ht="15" hidden="false" customHeight="false" outlineLevel="0" collapsed="false">
      <c r="A236" s="4" t="s">
        <v>24</v>
      </c>
      <c r="B236" s="4" t="s">
        <v>46</v>
      </c>
      <c r="C236" s="4" t="n">
        <v>1998</v>
      </c>
      <c r="D236" s="4" t="n">
        <v>7</v>
      </c>
      <c r="E236" s="4" t="n">
        <v>0</v>
      </c>
      <c r="F236" s="4" t="n">
        <v>0</v>
      </c>
    </row>
    <row r="237" customFormat="false" ht="15" hidden="false" customHeight="false" outlineLevel="0" collapsed="false">
      <c r="A237" s="4" t="s">
        <v>24</v>
      </c>
      <c r="B237" s="4" t="s">
        <v>46</v>
      </c>
      <c r="C237" s="4" t="n">
        <v>2001</v>
      </c>
      <c r="D237" s="4" t="n">
        <v>2</v>
      </c>
      <c r="E237" s="4" t="n">
        <v>0</v>
      </c>
      <c r="F237" s="4" t="n">
        <v>0</v>
      </c>
    </row>
    <row r="238" customFormat="false" ht="15" hidden="false" customHeight="false" outlineLevel="0" collapsed="false">
      <c r="A238" s="4" t="s">
        <v>24</v>
      </c>
      <c r="B238" s="4" t="s">
        <v>46</v>
      </c>
      <c r="C238" s="4" t="n">
        <v>2002</v>
      </c>
      <c r="D238" s="4" t="n">
        <v>2</v>
      </c>
      <c r="E238" s="4" t="n">
        <v>0</v>
      </c>
      <c r="F238" s="4" t="n">
        <v>0</v>
      </c>
    </row>
    <row r="239" customFormat="false" ht="15" hidden="false" customHeight="false" outlineLevel="0" collapsed="false">
      <c r="A239" s="4" t="s">
        <v>24</v>
      </c>
      <c r="B239" s="4" t="s">
        <v>46</v>
      </c>
      <c r="C239" s="4" t="n">
        <v>2007</v>
      </c>
      <c r="D239" s="4" t="n">
        <v>4</v>
      </c>
      <c r="E239" s="4" t="n">
        <v>0</v>
      </c>
      <c r="F239" s="4" t="n">
        <v>0</v>
      </c>
    </row>
    <row r="240" customFormat="false" ht="15" hidden="false" customHeight="false" outlineLevel="0" collapsed="false">
      <c r="A240" s="4" t="s">
        <v>24</v>
      </c>
      <c r="B240" s="4" t="s">
        <v>46</v>
      </c>
      <c r="C240" s="4" t="n">
        <v>2009</v>
      </c>
      <c r="D240" s="4" t="n">
        <v>2</v>
      </c>
      <c r="E240" s="4" t="n">
        <v>0</v>
      </c>
      <c r="F240" s="4" t="n">
        <v>0</v>
      </c>
    </row>
    <row r="241" customFormat="false" ht="15" hidden="false" customHeight="false" outlineLevel="0" collapsed="false">
      <c r="A241" s="4" t="s">
        <v>24</v>
      </c>
      <c r="B241" s="4" t="s">
        <v>46</v>
      </c>
      <c r="C241" s="4" t="n">
        <v>2010</v>
      </c>
      <c r="D241" s="4" t="n">
        <v>5</v>
      </c>
      <c r="E241" s="4" t="n">
        <v>0</v>
      </c>
      <c r="F241" s="4" t="n">
        <v>0</v>
      </c>
    </row>
    <row r="242" customFormat="false" ht="15" hidden="false" customHeight="false" outlineLevel="0" collapsed="false">
      <c r="A242" s="4" t="s">
        <v>24</v>
      </c>
      <c r="B242" s="4" t="s">
        <v>47</v>
      </c>
      <c r="C242" s="4" t="n">
        <v>1999</v>
      </c>
      <c r="D242" s="4" t="n">
        <v>21</v>
      </c>
      <c r="E242" s="4" t="n">
        <v>6</v>
      </c>
      <c r="F242" s="4" t="n">
        <v>28.571</v>
      </c>
    </row>
    <row r="243" customFormat="false" ht="15" hidden="false" customHeight="false" outlineLevel="0" collapsed="false">
      <c r="A243" s="4" t="s">
        <v>24</v>
      </c>
      <c r="B243" s="4" t="s">
        <v>47</v>
      </c>
      <c r="C243" s="4" t="n">
        <v>2000</v>
      </c>
      <c r="D243" s="4" t="n">
        <v>27</v>
      </c>
      <c r="E243" s="4" t="n">
        <v>9</v>
      </c>
      <c r="F243" s="4" t="n">
        <v>33.333</v>
      </c>
    </row>
    <row r="244" customFormat="false" ht="15" hidden="false" customHeight="false" outlineLevel="0" collapsed="false">
      <c r="A244" s="4" t="s">
        <v>24</v>
      </c>
      <c r="B244" s="4" t="s">
        <v>47</v>
      </c>
      <c r="C244" s="4" t="n">
        <v>2001</v>
      </c>
      <c r="D244" s="4" t="n">
        <v>34</v>
      </c>
      <c r="E244" s="4" t="n">
        <v>26</v>
      </c>
      <c r="F244" s="4" t="n">
        <v>76.471</v>
      </c>
    </row>
    <row r="245" customFormat="false" ht="15" hidden="false" customHeight="false" outlineLevel="0" collapsed="false">
      <c r="A245" s="4" t="s">
        <v>24</v>
      </c>
      <c r="B245" s="4" t="s">
        <v>47</v>
      </c>
      <c r="C245" s="4" t="n">
        <v>2002</v>
      </c>
      <c r="D245" s="4" t="n">
        <v>22</v>
      </c>
      <c r="E245" s="4" t="n">
        <v>20</v>
      </c>
      <c r="F245" s="4" t="n">
        <v>90.909</v>
      </c>
    </row>
    <row r="246" customFormat="false" ht="15" hidden="false" customHeight="false" outlineLevel="0" collapsed="false">
      <c r="A246" s="4" t="s">
        <v>24</v>
      </c>
      <c r="B246" s="4" t="s">
        <v>47</v>
      </c>
      <c r="C246" s="4" t="n">
        <v>2004</v>
      </c>
      <c r="D246" s="4" t="n">
        <v>15</v>
      </c>
      <c r="E246" s="4" t="n">
        <v>8</v>
      </c>
      <c r="F246" s="4" t="n">
        <v>53.333</v>
      </c>
    </row>
    <row r="247" customFormat="false" ht="15" hidden="false" customHeight="false" outlineLevel="0" collapsed="false">
      <c r="A247" s="4" t="s">
        <v>24</v>
      </c>
      <c r="B247" s="4" t="s">
        <v>47</v>
      </c>
      <c r="C247" s="4" t="n">
        <v>2005</v>
      </c>
      <c r="D247" s="4" t="n">
        <v>51</v>
      </c>
      <c r="E247" s="4" t="n">
        <v>30</v>
      </c>
      <c r="F247" s="4" t="n">
        <v>58.824</v>
      </c>
    </row>
    <row r="248" customFormat="false" ht="15" hidden="false" customHeight="false" outlineLevel="0" collapsed="false">
      <c r="A248" s="4" t="s">
        <v>24</v>
      </c>
      <c r="B248" s="4" t="s">
        <v>47</v>
      </c>
      <c r="C248" s="4" t="n">
        <v>2006</v>
      </c>
      <c r="D248" s="4" t="n">
        <v>60</v>
      </c>
      <c r="E248" s="4" t="n">
        <v>36</v>
      </c>
      <c r="F248" s="4" t="n">
        <v>60</v>
      </c>
    </row>
    <row r="249" customFormat="false" ht="15" hidden="false" customHeight="false" outlineLevel="0" collapsed="false">
      <c r="A249" s="4" t="s">
        <v>24</v>
      </c>
      <c r="B249" s="4" t="s">
        <v>47</v>
      </c>
      <c r="C249" s="4" t="n">
        <v>2007</v>
      </c>
      <c r="D249" s="4" t="n">
        <v>57</v>
      </c>
      <c r="E249" s="4" t="n">
        <v>27</v>
      </c>
      <c r="F249" s="4" t="n">
        <v>47.368</v>
      </c>
    </row>
    <row r="250" customFormat="false" ht="15" hidden="false" customHeight="false" outlineLevel="0" collapsed="false">
      <c r="A250" s="4" t="s">
        <v>24</v>
      </c>
      <c r="B250" s="4" t="s">
        <v>47</v>
      </c>
      <c r="C250" s="4" t="n">
        <v>2008</v>
      </c>
      <c r="D250" s="4" t="n">
        <v>76</v>
      </c>
      <c r="E250" s="4" t="n">
        <v>22</v>
      </c>
      <c r="F250" s="4" t="n">
        <v>28.947</v>
      </c>
    </row>
    <row r="251" customFormat="false" ht="15" hidden="false" customHeight="false" outlineLevel="0" collapsed="false">
      <c r="A251" s="4" t="s">
        <v>24</v>
      </c>
      <c r="B251" s="4" t="s">
        <v>47</v>
      </c>
      <c r="C251" s="4" t="n">
        <v>2009</v>
      </c>
      <c r="D251" s="4" t="n">
        <v>96</v>
      </c>
      <c r="E251" s="4" t="n">
        <v>19</v>
      </c>
      <c r="F251" s="4" t="n">
        <v>19.792</v>
      </c>
    </row>
    <row r="252" customFormat="false" ht="15" hidden="false" customHeight="false" outlineLevel="0" collapsed="false">
      <c r="A252" s="4" t="s">
        <v>24</v>
      </c>
      <c r="B252" s="4" t="s">
        <v>47</v>
      </c>
      <c r="C252" s="4" t="n">
        <v>2010</v>
      </c>
      <c r="D252" s="4" t="n">
        <v>122</v>
      </c>
      <c r="E252" s="4" t="n">
        <v>29</v>
      </c>
      <c r="F252" s="4" t="n">
        <v>23.77</v>
      </c>
    </row>
    <row r="253" customFormat="false" ht="15" hidden="false" customHeight="false" outlineLevel="0" collapsed="false">
      <c r="A253" s="4" t="s">
        <v>24</v>
      </c>
      <c r="B253" s="4" t="s">
        <v>47</v>
      </c>
      <c r="C253" s="4" t="n">
        <v>2011</v>
      </c>
      <c r="D253" s="4" t="n">
        <v>100</v>
      </c>
      <c r="E253" s="4" t="n">
        <v>27</v>
      </c>
      <c r="F253" s="4" t="n">
        <v>27</v>
      </c>
    </row>
    <row r="254" customFormat="false" ht="15" hidden="false" customHeight="false" outlineLevel="0" collapsed="false">
      <c r="A254" s="4" t="s">
        <v>24</v>
      </c>
      <c r="B254" s="4" t="s">
        <v>47</v>
      </c>
      <c r="C254" s="4" t="n">
        <v>2012</v>
      </c>
      <c r="D254" s="4" t="n">
        <v>83</v>
      </c>
      <c r="E254" s="4" t="n">
        <v>23</v>
      </c>
      <c r="F254" s="4" t="n">
        <v>27.711</v>
      </c>
    </row>
    <row r="255" customFormat="false" ht="15" hidden="false" customHeight="false" outlineLevel="0" collapsed="false">
      <c r="A255" s="4" t="s">
        <v>24</v>
      </c>
      <c r="B255" s="4" t="s">
        <v>47</v>
      </c>
      <c r="C255" s="4" t="n">
        <v>2013</v>
      </c>
      <c r="D255" s="4" t="n">
        <v>165</v>
      </c>
      <c r="E255" s="4" t="n">
        <v>42</v>
      </c>
      <c r="F255" s="4" t="n">
        <v>25.455</v>
      </c>
    </row>
    <row r="256" customFormat="false" ht="15" hidden="false" customHeight="false" outlineLevel="0" collapsed="false">
      <c r="A256" s="4" t="s">
        <v>24</v>
      </c>
      <c r="B256" s="4" t="s">
        <v>47</v>
      </c>
      <c r="C256" s="4" t="n">
        <v>2014</v>
      </c>
      <c r="D256" s="4" t="n">
        <v>77</v>
      </c>
      <c r="E256" s="4" t="n">
        <v>25</v>
      </c>
      <c r="F256" s="4" t="n">
        <v>32.468</v>
      </c>
    </row>
    <row r="257" customFormat="false" ht="15" hidden="false" customHeight="false" outlineLevel="0" collapsed="false">
      <c r="A257" s="4" t="s">
        <v>24</v>
      </c>
      <c r="B257" s="4" t="s">
        <v>47</v>
      </c>
      <c r="C257" s="4" t="n">
        <v>2015</v>
      </c>
      <c r="D257" s="4" t="n">
        <v>119</v>
      </c>
      <c r="E257" s="4" t="n">
        <v>66</v>
      </c>
      <c r="F257" s="4" t="n">
        <v>55.462</v>
      </c>
    </row>
    <row r="258" customFormat="false" ht="15" hidden="false" customHeight="false" outlineLevel="0" collapsed="false">
      <c r="A258" s="4" t="s">
        <v>24</v>
      </c>
      <c r="B258" s="4" t="s">
        <v>47</v>
      </c>
      <c r="C258" s="4" t="n">
        <v>2016</v>
      </c>
      <c r="D258" s="4" t="n">
        <v>186</v>
      </c>
      <c r="E258" s="4" t="n">
        <v>35</v>
      </c>
      <c r="F258" s="4" t="n">
        <v>18.817</v>
      </c>
    </row>
    <row r="259" customFormat="false" ht="15" hidden="false" customHeight="false" outlineLevel="0" collapsed="false">
      <c r="A259" s="4" t="s">
        <v>24</v>
      </c>
      <c r="B259" s="4" t="s">
        <v>47</v>
      </c>
      <c r="C259" s="4" t="n">
        <v>2018</v>
      </c>
      <c r="D259" s="4" t="n">
        <v>9</v>
      </c>
      <c r="E259" s="4" t="n">
        <v>9</v>
      </c>
      <c r="F259" s="4" t="n">
        <v>100</v>
      </c>
    </row>
    <row r="260" customFormat="false" ht="15" hidden="false" customHeight="false" outlineLevel="0" collapsed="false">
      <c r="A260" s="4" t="s">
        <v>24</v>
      </c>
      <c r="B260" s="4" t="s">
        <v>47</v>
      </c>
      <c r="C260" s="4" t="n">
        <v>2019</v>
      </c>
      <c r="D260" s="4" t="n">
        <v>6</v>
      </c>
      <c r="E260" s="4" t="n">
        <v>6</v>
      </c>
      <c r="F260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48</v>
      </c>
      <c r="B1" s="1" t="s">
        <v>49</v>
      </c>
    </row>
    <row r="2" customFormat="false" ht="15" hidden="false" customHeight="false" outlineLevel="0" collapsed="false">
      <c r="A2" s="1" t="s">
        <v>50</v>
      </c>
      <c r="B2" s="2" t="s">
        <v>51</v>
      </c>
    </row>
    <row r="3" customFormat="false" ht="15" hidden="false" customHeight="false" outlineLevel="0" collapsed="false">
      <c r="A3" s="1" t="s">
        <v>52</v>
      </c>
      <c r="B3" s="2" t="s">
        <v>53</v>
      </c>
    </row>
    <row r="4" customFormat="false" ht="15" hidden="false" customHeight="false" outlineLevel="0" collapsed="false">
      <c r="A4" s="1" t="s">
        <v>54</v>
      </c>
      <c r="B4" s="2" t="s">
        <v>55</v>
      </c>
    </row>
    <row r="5" customFormat="false" ht="15" hidden="false" customHeight="false" outlineLevel="0" collapsed="false">
      <c r="A5" s="1" t="s">
        <v>56</v>
      </c>
      <c r="B5" s="2" t="s">
        <v>57</v>
      </c>
    </row>
    <row r="6" customFormat="false" ht="15" hidden="false" customHeight="false" outlineLevel="0" collapsed="false">
      <c r="A6" s="1" t="s">
        <v>58</v>
      </c>
      <c r="B6" s="2" t="s">
        <v>59</v>
      </c>
    </row>
    <row r="7" customFormat="false" ht="26.85" hidden="false" customHeight="false" outlineLevel="0" collapsed="false">
      <c r="A7" s="1" t="s">
        <v>60</v>
      </c>
      <c r="B7" s="2" t="s">
        <v>15</v>
      </c>
    </row>
    <row r="8" customFormat="false" ht="52.2" hidden="false" customHeight="false" outlineLevel="0" collapsed="false">
      <c r="A8" s="1" t="s">
        <v>61</v>
      </c>
      <c r="B8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5" min="14" style="0" width="16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20</v>
      </c>
      <c r="L1" s="3" t="s">
        <v>71</v>
      </c>
      <c r="M1" s="3" t="s">
        <v>72</v>
      </c>
      <c r="N1" s="3" t="s">
        <v>73</v>
      </c>
      <c r="O1" s="3" t="s">
        <v>74</v>
      </c>
    </row>
    <row r="2" customFormat="false" ht="15" hidden="false" customHeight="false" outlineLevel="0" collapsed="false">
      <c r="A2" s="4" t="s">
        <v>24</v>
      </c>
      <c r="B2" s="4" t="s">
        <v>26</v>
      </c>
      <c r="C2" s="4" t="n">
        <v>-1.093</v>
      </c>
      <c r="D2" s="4" t="n">
        <v>0.191</v>
      </c>
      <c r="E2" s="4" t="s">
        <v>75</v>
      </c>
      <c r="F2" s="4" t="n">
        <v>0.093</v>
      </c>
      <c r="G2" s="4" t="n">
        <v>20</v>
      </c>
      <c r="H2" s="4" t="n">
        <v>1348</v>
      </c>
      <c r="I2" s="4" t="n">
        <v>2019</v>
      </c>
      <c r="J2" s="4" t="n">
        <v>100</v>
      </c>
      <c r="K2" s="4" t="n">
        <v>2025</v>
      </c>
      <c r="L2" s="4" t="n">
        <v>3</v>
      </c>
      <c r="M2" s="4" t="n">
        <v>21.779</v>
      </c>
      <c r="N2" s="4" t="n">
        <v>0</v>
      </c>
      <c r="O2" s="4" t="n">
        <v>47.335</v>
      </c>
    </row>
    <row r="3" customFormat="false" ht="15" hidden="false" customHeight="false" outlineLevel="0" collapsed="false">
      <c r="A3" s="4" t="s">
        <v>24</v>
      </c>
      <c r="B3" s="4" t="s">
        <v>26</v>
      </c>
      <c r="C3" s="4" t="n">
        <v>-1.093</v>
      </c>
      <c r="D3" s="4" t="n">
        <v>0.191</v>
      </c>
      <c r="E3" s="4" t="s">
        <v>75</v>
      </c>
      <c r="F3" s="4" t="n">
        <v>0.093</v>
      </c>
      <c r="G3" s="4" t="n">
        <v>20</v>
      </c>
      <c r="H3" s="4" t="n">
        <v>1348</v>
      </c>
      <c r="I3" s="4" t="n">
        <v>2019</v>
      </c>
      <c r="J3" s="4" t="n">
        <v>100</v>
      </c>
      <c r="K3" s="4" t="n">
        <v>2026</v>
      </c>
      <c r="L3" s="4" t="n">
        <v>4</v>
      </c>
      <c r="M3" s="4" t="n">
        <v>20.686</v>
      </c>
      <c r="N3" s="4" t="n">
        <v>0</v>
      </c>
      <c r="O3" s="4" t="n">
        <v>47.859</v>
      </c>
    </row>
    <row r="4" customFormat="false" ht="15" hidden="false" customHeight="false" outlineLevel="0" collapsed="false">
      <c r="A4" s="4" t="s">
        <v>24</v>
      </c>
      <c r="B4" s="4" t="s">
        <v>26</v>
      </c>
      <c r="C4" s="4" t="n">
        <v>-1.093</v>
      </c>
      <c r="D4" s="4" t="n">
        <v>0.191</v>
      </c>
      <c r="E4" s="4" t="s">
        <v>75</v>
      </c>
      <c r="F4" s="4" t="n">
        <v>0.093</v>
      </c>
      <c r="G4" s="4" t="n">
        <v>20</v>
      </c>
      <c r="H4" s="4" t="n">
        <v>1348</v>
      </c>
      <c r="I4" s="4" t="n">
        <v>2019</v>
      </c>
      <c r="J4" s="4" t="n">
        <v>100</v>
      </c>
      <c r="K4" s="4" t="n">
        <v>2027</v>
      </c>
      <c r="L4" s="4" t="n">
        <v>5</v>
      </c>
      <c r="M4" s="4" t="n">
        <v>19.593</v>
      </c>
      <c r="N4" s="4" t="n">
        <v>0</v>
      </c>
      <c r="O4" s="4" t="n">
        <v>48.392</v>
      </c>
    </row>
    <row r="5" customFormat="false" ht="15" hidden="false" customHeight="false" outlineLevel="0" collapsed="false">
      <c r="A5" s="4" t="s">
        <v>24</v>
      </c>
      <c r="B5" s="4" t="s">
        <v>26</v>
      </c>
      <c r="C5" s="4" t="n">
        <v>-1.093</v>
      </c>
      <c r="D5" s="4" t="n">
        <v>0.191</v>
      </c>
      <c r="E5" s="4" t="s">
        <v>75</v>
      </c>
      <c r="F5" s="4" t="n">
        <v>0.093</v>
      </c>
      <c r="G5" s="4" t="n">
        <v>20</v>
      </c>
      <c r="H5" s="4" t="n">
        <v>1348</v>
      </c>
      <c r="I5" s="4" t="n">
        <v>2019</v>
      </c>
      <c r="J5" s="4" t="n">
        <v>100</v>
      </c>
      <c r="K5" s="4" t="n">
        <v>2028</v>
      </c>
      <c r="L5" s="4" t="n">
        <v>6</v>
      </c>
      <c r="M5" s="4" t="n">
        <v>18.5</v>
      </c>
      <c r="N5" s="4" t="n">
        <v>0</v>
      </c>
      <c r="O5" s="4" t="n">
        <v>48.932</v>
      </c>
    </row>
    <row r="6" customFormat="false" ht="15" hidden="false" customHeight="false" outlineLevel="0" collapsed="false">
      <c r="A6" s="4" t="s">
        <v>24</v>
      </c>
      <c r="B6" s="4" t="s">
        <v>26</v>
      </c>
      <c r="C6" s="4" t="n">
        <v>-1.093</v>
      </c>
      <c r="D6" s="4" t="n">
        <v>0.191</v>
      </c>
      <c r="E6" s="4" t="s">
        <v>75</v>
      </c>
      <c r="F6" s="4" t="n">
        <v>0.093</v>
      </c>
      <c r="G6" s="4" t="n">
        <v>20</v>
      </c>
      <c r="H6" s="4" t="n">
        <v>1348</v>
      </c>
      <c r="I6" s="4" t="n">
        <v>2019</v>
      </c>
      <c r="J6" s="4" t="n">
        <v>100</v>
      </c>
      <c r="K6" s="4" t="n">
        <v>2029</v>
      </c>
      <c r="L6" s="4" t="n">
        <v>7</v>
      </c>
      <c r="M6" s="4" t="n">
        <v>17.407</v>
      </c>
      <c r="N6" s="4" t="n">
        <v>0</v>
      </c>
      <c r="O6" s="4" t="n">
        <v>49.477</v>
      </c>
    </row>
    <row r="7" customFormat="false" ht="15" hidden="false" customHeight="false" outlineLevel="0" collapsed="false">
      <c r="A7" s="4" t="s">
        <v>24</v>
      </c>
      <c r="B7" s="4" t="s">
        <v>26</v>
      </c>
      <c r="C7" s="4" t="n">
        <v>-1.093</v>
      </c>
      <c r="D7" s="4" t="n">
        <v>0.191</v>
      </c>
      <c r="E7" s="4" t="s">
        <v>75</v>
      </c>
      <c r="F7" s="4" t="n">
        <v>0.093</v>
      </c>
      <c r="G7" s="4" t="n">
        <v>20</v>
      </c>
      <c r="H7" s="4" t="n">
        <v>1348</v>
      </c>
      <c r="I7" s="4" t="n">
        <v>2019</v>
      </c>
      <c r="J7" s="4" t="n">
        <v>100</v>
      </c>
      <c r="K7" s="4" t="n">
        <v>2030</v>
      </c>
      <c r="L7" s="4" t="n">
        <v>8</v>
      </c>
      <c r="M7" s="4" t="n">
        <v>16.314</v>
      </c>
      <c r="N7" s="4" t="n">
        <v>0</v>
      </c>
      <c r="O7" s="4" t="n">
        <v>50.028</v>
      </c>
    </row>
    <row r="8" customFormat="false" ht="15" hidden="false" customHeight="false" outlineLevel="0" collapsed="false">
      <c r="A8" s="4" t="s">
        <v>24</v>
      </c>
      <c r="B8" s="4" t="s">
        <v>26</v>
      </c>
      <c r="C8" s="4" t="n">
        <v>-1.093</v>
      </c>
      <c r="D8" s="4" t="n">
        <v>0.191</v>
      </c>
      <c r="E8" s="4" t="s">
        <v>75</v>
      </c>
      <c r="F8" s="4" t="n">
        <v>0.093</v>
      </c>
      <c r="G8" s="4" t="n">
        <v>20</v>
      </c>
      <c r="H8" s="4" t="n">
        <v>1348</v>
      </c>
      <c r="I8" s="4" t="n">
        <v>2019</v>
      </c>
      <c r="J8" s="4" t="n">
        <v>100</v>
      </c>
      <c r="K8" s="4" t="n">
        <v>2031</v>
      </c>
      <c r="L8" s="4" t="n">
        <v>9</v>
      </c>
      <c r="M8" s="4" t="n">
        <v>15.221</v>
      </c>
      <c r="N8" s="4" t="n">
        <v>0</v>
      </c>
      <c r="O8" s="4" t="n">
        <v>50.583</v>
      </c>
    </row>
    <row r="9" customFormat="false" ht="15" hidden="false" customHeight="false" outlineLevel="0" collapsed="false">
      <c r="A9" s="4" t="s">
        <v>24</v>
      </c>
      <c r="B9" s="4" t="s">
        <v>27</v>
      </c>
      <c r="C9" s="4" t="n">
        <v>0</v>
      </c>
      <c r="D9" s="4"/>
      <c r="E9" s="4" t="s">
        <v>75</v>
      </c>
      <c r="F9" s="4"/>
      <c r="G9" s="4" t="n">
        <v>8</v>
      </c>
      <c r="H9" s="4" t="n">
        <v>96</v>
      </c>
      <c r="I9" s="4" t="n">
        <v>2019</v>
      </c>
      <c r="J9" s="4" t="n">
        <v>0</v>
      </c>
      <c r="K9" s="4" t="n">
        <v>2025</v>
      </c>
      <c r="L9" s="4" t="n">
        <v>3</v>
      </c>
      <c r="M9" s="4" t="n">
        <v>0</v>
      </c>
      <c r="N9" s="4" t="n">
        <v>0</v>
      </c>
      <c r="O9" s="4" t="n">
        <v>0</v>
      </c>
    </row>
    <row r="10" customFormat="false" ht="15" hidden="false" customHeight="false" outlineLevel="0" collapsed="false">
      <c r="A10" s="4" t="s">
        <v>24</v>
      </c>
      <c r="B10" s="4" t="s">
        <v>27</v>
      </c>
      <c r="C10" s="4" t="n">
        <v>0</v>
      </c>
      <c r="D10" s="4"/>
      <c r="E10" s="4" t="s">
        <v>75</v>
      </c>
      <c r="F10" s="4"/>
      <c r="G10" s="4" t="n">
        <v>8</v>
      </c>
      <c r="H10" s="4" t="n">
        <v>96</v>
      </c>
      <c r="I10" s="4" t="n">
        <v>2019</v>
      </c>
      <c r="J10" s="4" t="n">
        <v>0</v>
      </c>
      <c r="K10" s="4" t="n">
        <v>2026</v>
      </c>
      <c r="L10" s="4" t="n">
        <v>4</v>
      </c>
      <c r="M10" s="4" t="n">
        <v>0</v>
      </c>
      <c r="N10" s="4" t="n">
        <v>0</v>
      </c>
      <c r="O10" s="4" t="n">
        <v>0</v>
      </c>
    </row>
    <row r="11" customFormat="false" ht="15" hidden="false" customHeight="false" outlineLevel="0" collapsed="false">
      <c r="A11" s="4" t="s">
        <v>24</v>
      </c>
      <c r="B11" s="4" t="s">
        <v>27</v>
      </c>
      <c r="C11" s="4" t="n">
        <v>0</v>
      </c>
      <c r="D11" s="4"/>
      <c r="E11" s="4" t="s">
        <v>75</v>
      </c>
      <c r="F11" s="4"/>
      <c r="G11" s="4" t="n">
        <v>8</v>
      </c>
      <c r="H11" s="4" t="n">
        <v>96</v>
      </c>
      <c r="I11" s="4" t="n">
        <v>2019</v>
      </c>
      <c r="J11" s="4" t="n">
        <v>0</v>
      </c>
      <c r="K11" s="4" t="n">
        <v>2027</v>
      </c>
      <c r="L11" s="4" t="n">
        <v>5</v>
      </c>
      <c r="M11" s="4" t="n">
        <v>0</v>
      </c>
      <c r="N11" s="4" t="n">
        <v>0</v>
      </c>
      <c r="O11" s="4" t="n">
        <v>0</v>
      </c>
    </row>
    <row r="12" customFormat="false" ht="15" hidden="false" customHeight="false" outlineLevel="0" collapsed="false">
      <c r="A12" s="4" t="s">
        <v>24</v>
      </c>
      <c r="B12" s="4" t="s">
        <v>27</v>
      </c>
      <c r="C12" s="4" t="n">
        <v>0</v>
      </c>
      <c r="D12" s="4"/>
      <c r="E12" s="4" t="s">
        <v>75</v>
      </c>
      <c r="F12" s="4"/>
      <c r="G12" s="4" t="n">
        <v>8</v>
      </c>
      <c r="H12" s="4" t="n">
        <v>96</v>
      </c>
      <c r="I12" s="4" t="n">
        <v>2019</v>
      </c>
      <c r="J12" s="4" t="n">
        <v>0</v>
      </c>
      <c r="K12" s="4" t="n">
        <v>2028</v>
      </c>
      <c r="L12" s="4" t="n">
        <v>6</v>
      </c>
      <c r="M12" s="4" t="n">
        <v>0</v>
      </c>
      <c r="N12" s="4" t="n">
        <v>0</v>
      </c>
      <c r="O12" s="4" t="n">
        <v>0</v>
      </c>
    </row>
    <row r="13" customFormat="false" ht="15" hidden="false" customHeight="false" outlineLevel="0" collapsed="false">
      <c r="A13" s="4" t="s">
        <v>24</v>
      </c>
      <c r="B13" s="4" t="s">
        <v>27</v>
      </c>
      <c r="C13" s="4" t="n">
        <v>0</v>
      </c>
      <c r="D13" s="4"/>
      <c r="E13" s="4" t="s">
        <v>75</v>
      </c>
      <c r="F13" s="4"/>
      <c r="G13" s="4" t="n">
        <v>8</v>
      </c>
      <c r="H13" s="4" t="n">
        <v>96</v>
      </c>
      <c r="I13" s="4" t="n">
        <v>2019</v>
      </c>
      <c r="J13" s="4" t="n">
        <v>0</v>
      </c>
      <c r="K13" s="4" t="n">
        <v>2029</v>
      </c>
      <c r="L13" s="4" t="n">
        <v>7</v>
      </c>
      <c r="M13" s="4" t="n">
        <v>0</v>
      </c>
      <c r="N13" s="4" t="n">
        <v>0</v>
      </c>
      <c r="O13" s="4" t="n">
        <v>0</v>
      </c>
    </row>
    <row r="14" customFormat="false" ht="15" hidden="false" customHeight="false" outlineLevel="0" collapsed="false">
      <c r="A14" s="4" t="s">
        <v>24</v>
      </c>
      <c r="B14" s="4" t="s">
        <v>27</v>
      </c>
      <c r="C14" s="4" t="n">
        <v>0</v>
      </c>
      <c r="D14" s="4"/>
      <c r="E14" s="4" t="s">
        <v>75</v>
      </c>
      <c r="F14" s="4"/>
      <c r="G14" s="4" t="n">
        <v>8</v>
      </c>
      <c r="H14" s="4" t="n">
        <v>96</v>
      </c>
      <c r="I14" s="4" t="n">
        <v>2019</v>
      </c>
      <c r="J14" s="4" t="n">
        <v>0</v>
      </c>
      <c r="K14" s="4" t="n">
        <v>2030</v>
      </c>
      <c r="L14" s="4" t="n">
        <v>8</v>
      </c>
      <c r="M14" s="4" t="n">
        <v>0</v>
      </c>
      <c r="N14" s="4" t="n">
        <v>0</v>
      </c>
      <c r="O14" s="4" t="n">
        <v>0</v>
      </c>
    </row>
    <row r="15" customFormat="false" ht="15" hidden="false" customHeight="false" outlineLevel="0" collapsed="false">
      <c r="A15" s="4" t="s">
        <v>24</v>
      </c>
      <c r="B15" s="4" t="s">
        <v>27</v>
      </c>
      <c r="C15" s="4" t="n">
        <v>0</v>
      </c>
      <c r="D15" s="4"/>
      <c r="E15" s="4" t="s">
        <v>75</v>
      </c>
      <c r="F15" s="4"/>
      <c r="G15" s="4" t="n">
        <v>8</v>
      </c>
      <c r="H15" s="4" t="n">
        <v>96</v>
      </c>
      <c r="I15" s="4" t="n">
        <v>2019</v>
      </c>
      <c r="J15" s="4" t="n">
        <v>0</v>
      </c>
      <c r="K15" s="4" t="n">
        <v>2031</v>
      </c>
      <c r="L15" s="4" t="n">
        <v>9</v>
      </c>
      <c r="M15" s="4" t="n">
        <v>0</v>
      </c>
      <c r="N15" s="4" t="n">
        <v>0</v>
      </c>
      <c r="O15" s="4" t="n">
        <v>0</v>
      </c>
    </row>
    <row r="16" customFormat="false" ht="15" hidden="false" customHeight="false" outlineLevel="0" collapsed="false">
      <c r="A16" s="4" t="s">
        <v>24</v>
      </c>
      <c r="B16" s="4" t="s">
        <v>28</v>
      </c>
      <c r="C16" s="4" t="n">
        <v>-0.154</v>
      </c>
      <c r="D16" s="4" t="n">
        <v>0.879</v>
      </c>
      <c r="E16" s="4" t="s">
        <v>75</v>
      </c>
      <c r="F16" s="4" t="n">
        <v>0.009</v>
      </c>
      <c r="G16" s="4" t="n">
        <v>5</v>
      </c>
      <c r="H16" s="4" t="n">
        <v>235</v>
      </c>
      <c r="I16" s="4" t="n">
        <v>2016</v>
      </c>
      <c r="J16" s="4" t="n">
        <v>2.941</v>
      </c>
      <c r="K16" s="4" t="n">
        <v>2025</v>
      </c>
      <c r="L16" s="4" t="n">
        <v>3</v>
      </c>
      <c r="M16" s="4" t="n">
        <v>0.978</v>
      </c>
      <c r="N16" s="4" t="n">
        <v>0</v>
      </c>
      <c r="O16" s="4" t="n">
        <v>31.44</v>
      </c>
    </row>
    <row r="17" customFormat="false" ht="15" hidden="false" customHeight="false" outlineLevel="0" collapsed="false">
      <c r="A17" s="4" t="s">
        <v>24</v>
      </c>
      <c r="B17" s="4" t="s">
        <v>28</v>
      </c>
      <c r="C17" s="4" t="n">
        <v>-0.154</v>
      </c>
      <c r="D17" s="4" t="n">
        <v>0.879</v>
      </c>
      <c r="E17" s="4" t="s">
        <v>75</v>
      </c>
      <c r="F17" s="4" t="n">
        <v>0.009</v>
      </c>
      <c r="G17" s="4" t="n">
        <v>5</v>
      </c>
      <c r="H17" s="4" t="n">
        <v>235</v>
      </c>
      <c r="I17" s="4" t="n">
        <v>2016</v>
      </c>
      <c r="J17" s="4" t="n">
        <v>2.941</v>
      </c>
      <c r="K17" s="4" t="n">
        <v>2026</v>
      </c>
      <c r="L17" s="4" t="n">
        <v>4</v>
      </c>
      <c r="M17" s="4" t="n">
        <v>0.824</v>
      </c>
      <c r="N17" s="4" t="n">
        <v>0</v>
      </c>
      <c r="O17" s="4" t="n">
        <v>34.221</v>
      </c>
    </row>
    <row r="18" customFormat="false" ht="15" hidden="false" customHeight="false" outlineLevel="0" collapsed="false">
      <c r="A18" s="4" t="s">
        <v>24</v>
      </c>
      <c r="B18" s="4" t="s">
        <v>28</v>
      </c>
      <c r="C18" s="4" t="n">
        <v>-0.154</v>
      </c>
      <c r="D18" s="4" t="n">
        <v>0.879</v>
      </c>
      <c r="E18" s="4" t="s">
        <v>75</v>
      </c>
      <c r="F18" s="4" t="n">
        <v>0.009</v>
      </c>
      <c r="G18" s="4" t="n">
        <v>5</v>
      </c>
      <c r="H18" s="4" t="n">
        <v>235</v>
      </c>
      <c r="I18" s="4" t="n">
        <v>2016</v>
      </c>
      <c r="J18" s="4" t="n">
        <v>2.941</v>
      </c>
      <c r="K18" s="4" t="n">
        <v>2027</v>
      </c>
      <c r="L18" s="4" t="n">
        <v>5</v>
      </c>
      <c r="M18" s="4" t="n">
        <v>0.67</v>
      </c>
      <c r="N18" s="4" t="n">
        <v>0</v>
      </c>
      <c r="O18" s="4" t="n">
        <v>37.005</v>
      </c>
    </row>
    <row r="19" customFormat="false" ht="15" hidden="false" customHeight="false" outlineLevel="0" collapsed="false">
      <c r="A19" s="4" t="s">
        <v>24</v>
      </c>
      <c r="B19" s="4" t="s">
        <v>28</v>
      </c>
      <c r="C19" s="4" t="n">
        <v>-0.154</v>
      </c>
      <c r="D19" s="4" t="n">
        <v>0.879</v>
      </c>
      <c r="E19" s="4" t="s">
        <v>75</v>
      </c>
      <c r="F19" s="4" t="n">
        <v>0.009</v>
      </c>
      <c r="G19" s="4" t="n">
        <v>5</v>
      </c>
      <c r="H19" s="4" t="n">
        <v>235</v>
      </c>
      <c r="I19" s="4" t="n">
        <v>2016</v>
      </c>
      <c r="J19" s="4" t="n">
        <v>2.941</v>
      </c>
      <c r="K19" s="4" t="n">
        <v>2028</v>
      </c>
      <c r="L19" s="4" t="n">
        <v>6</v>
      </c>
      <c r="M19" s="4" t="n">
        <v>0.517</v>
      </c>
      <c r="N19" s="4" t="n">
        <v>0</v>
      </c>
      <c r="O19" s="4" t="n">
        <v>39.791</v>
      </c>
    </row>
    <row r="20" customFormat="false" ht="15" hidden="false" customHeight="false" outlineLevel="0" collapsed="false">
      <c r="A20" s="4" t="s">
        <v>24</v>
      </c>
      <c r="B20" s="4" t="s">
        <v>28</v>
      </c>
      <c r="C20" s="4" t="n">
        <v>-0.154</v>
      </c>
      <c r="D20" s="4" t="n">
        <v>0.879</v>
      </c>
      <c r="E20" s="4" t="s">
        <v>75</v>
      </c>
      <c r="F20" s="4" t="n">
        <v>0.009</v>
      </c>
      <c r="G20" s="4" t="n">
        <v>5</v>
      </c>
      <c r="H20" s="4" t="n">
        <v>235</v>
      </c>
      <c r="I20" s="4" t="n">
        <v>2016</v>
      </c>
      <c r="J20" s="4" t="n">
        <v>2.941</v>
      </c>
      <c r="K20" s="4" t="n">
        <v>2029</v>
      </c>
      <c r="L20" s="4" t="n">
        <v>7</v>
      </c>
      <c r="M20" s="4" t="n">
        <v>0.363</v>
      </c>
      <c r="N20" s="4" t="n">
        <v>0</v>
      </c>
      <c r="O20" s="4" t="n">
        <v>42.579</v>
      </c>
    </row>
    <row r="21" customFormat="false" ht="15" hidden="false" customHeight="false" outlineLevel="0" collapsed="false">
      <c r="A21" s="4" t="s">
        <v>24</v>
      </c>
      <c r="B21" s="4" t="s">
        <v>28</v>
      </c>
      <c r="C21" s="4" t="n">
        <v>-0.154</v>
      </c>
      <c r="D21" s="4" t="n">
        <v>0.879</v>
      </c>
      <c r="E21" s="4" t="s">
        <v>75</v>
      </c>
      <c r="F21" s="4" t="n">
        <v>0.009</v>
      </c>
      <c r="G21" s="4" t="n">
        <v>5</v>
      </c>
      <c r="H21" s="4" t="n">
        <v>235</v>
      </c>
      <c r="I21" s="4" t="n">
        <v>2016</v>
      </c>
      <c r="J21" s="4" t="n">
        <v>2.941</v>
      </c>
      <c r="K21" s="4" t="n">
        <v>2030</v>
      </c>
      <c r="L21" s="4" t="n">
        <v>8</v>
      </c>
      <c r="M21" s="4" t="n">
        <v>0.209</v>
      </c>
      <c r="N21" s="4" t="n">
        <v>0</v>
      </c>
      <c r="O21" s="4" t="n">
        <v>45.368</v>
      </c>
    </row>
    <row r="22" customFormat="false" ht="15" hidden="false" customHeight="false" outlineLevel="0" collapsed="false">
      <c r="A22" s="4" t="s">
        <v>24</v>
      </c>
      <c r="B22" s="4" t="s">
        <v>28</v>
      </c>
      <c r="C22" s="4" t="n">
        <v>-0.154</v>
      </c>
      <c r="D22" s="4" t="n">
        <v>0.879</v>
      </c>
      <c r="E22" s="4" t="s">
        <v>75</v>
      </c>
      <c r="F22" s="4" t="n">
        <v>0.009</v>
      </c>
      <c r="G22" s="4" t="n">
        <v>5</v>
      </c>
      <c r="H22" s="4" t="n">
        <v>235</v>
      </c>
      <c r="I22" s="4" t="n">
        <v>2016</v>
      </c>
      <c r="J22" s="4" t="n">
        <v>2.941</v>
      </c>
      <c r="K22" s="4" t="n">
        <v>2031</v>
      </c>
      <c r="L22" s="4" t="n">
        <v>9</v>
      </c>
      <c r="M22" s="4" t="n">
        <v>0.055</v>
      </c>
      <c r="N22" s="4" t="n">
        <v>0</v>
      </c>
      <c r="O22" s="4" t="n">
        <v>48.159</v>
      </c>
    </row>
    <row r="23" customFormat="false" ht="15" hidden="false" customHeight="false" outlineLevel="0" collapsed="false">
      <c r="A23" s="4" t="s">
        <v>24</v>
      </c>
      <c r="B23" s="4" t="s">
        <v>31</v>
      </c>
      <c r="C23" s="4" t="n">
        <v>0.329</v>
      </c>
      <c r="D23" s="4" t="n">
        <v>0.183</v>
      </c>
      <c r="E23" s="4" t="s">
        <v>75</v>
      </c>
      <c r="F23" s="4" t="n">
        <v>0.274</v>
      </c>
      <c r="G23" s="4" t="n">
        <v>8</v>
      </c>
      <c r="H23" s="4" t="n">
        <v>316</v>
      </c>
      <c r="I23" s="4" t="n">
        <v>2018</v>
      </c>
      <c r="J23" s="4" t="n">
        <v>0</v>
      </c>
      <c r="K23" s="4" t="n">
        <v>2025</v>
      </c>
      <c r="L23" s="4" t="n">
        <v>3</v>
      </c>
      <c r="M23" s="4" t="n">
        <v>4.813</v>
      </c>
      <c r="N23" s="4" t="n">
        <v>0</v>
      </c>
      <c r="O23" s="4" t="n">
        <v>10.661</v>
      </c>
    </row>
    <row r="24" customFormat="false" ht="15" hidden="false" customHeight="false" outlineLevel="0" collapsed="false">
      <c r="A24" s="4" t="s">
        <v>24</v>
      </c>
      <c r="B24" s="4" t="s">
        <v>31</v>
      </c>
      <c r="C24" s="4" t="n">
        <v>0.329</v>
      </c>
      <c r="D24" s="4" t="n">
        <v>0.183</v>
      </c>
      <c r="E24" s="4" t="s">
        <v>75</v>
      </c>
      <c r="F24" s="4" t="n">
        <v>0.274</v>
      </c>
      <c r="G24" s="4" t="n">
        <v>8</v>
      </c>
      <c r="H24" s="4" t="n">
        <v>316</v>
      </c>
      <c r="I24" s="4" t="n">
        <v>2018</v>
      </c>
      <c r="J24" s="4" t="n">
        <v>0</v>
      </c>
      <c r="K24" s="4" t="n">
        <v>2026</v>
      </c>
      <c r="L24" s="4" t="n">
        <v>4</v>
      </c>
      <c r="M24" s="4" t="n">
        <v>5.141</v>
      </c>
      <c r="N24" s="4" t="n">
        <v>0</v>
      </c>
      <c r="O24" s="4" t="n">
        <v>11.518</v>
      </c>
    </row>
    <row r="25" customFormat="false" ht="15" hidden="false" customHeight="false" outlineLevel="0" collapsed="false">
      <c r="A25" s="4" t="s">
        <v>24</v>
      </c>
      <c r="B25" s="4" t="s">
        <v>31</v>
      </c>
      <c r="C25" s="4" t="n">
        <v>0.329</v>
      </c>
      <c r="D25" s="4" t="n">
        <v>0.183</v>
      </c>
      <c r="E25" s="4" t="s">
        <v>75</v>
      </c>
      <c r="F25" s="4" t="n">
        <v>0.274</v>
      </c>
      <c r="G25" s="4" t="n">
        <v>8</v>
      </c>
      <c r="H25" s="4" t="n">
        <v>316</v>
      </c>
      <c r="I25" s="4" t="n">
        <v>2018</v>
      </c>
      <c r="J25" s="4" t="n">
        <v>0</v>
      </c>
      <c r="K25" s="4" t="n">
        <v>2027</v>
      </c>
      <c r="L25" s="4" t="n">
        <v>5</v>
      </c>
      <c r="M25" s="4" t="n">
        <v>5.47</v>
      </c>
      <c r="N25" s="4" t="n">
        <v>0</v>
      </c>
      <c r="O25" s="4" t="n">
        <v>12.376</v>
      </c>
    </row>
    <row r="26" customFormat="false" ht="15" hidden="false" customHeight="false" outlineLevel="0" collapsed="false">
      <c r="A26" s="4" t="s">
        <v>24</v>
      </c>
      <c r="B26" s="4" t="s">
        <v>31</v>
      </c>
      <c r="C26" s="4" t="n">
        <v>0.329</v>
      </c>
      <c r="D26" s="4" t="n">
        <v>0.183</v>
      </c>
      <c r="E26" s="4" t="s">
        <v>75</v>
      </c>
      <c r="F26" s="4" t="n">
        <v>0.274</v>
      </c>
      <c r="G26" s="4" t="n">
        <v>8</v>
      </c>
      <c r="H26" s="4" t="n">
        <v>316</v>
      </c>
      <c r="I26" s="4" t="n">
        <v>2018</v>
      </c>
      <c r="J26" s="4" t="n">
        <v>0</v>
      </c>
      <c r="K26" s="4" t="n">
        <v>2028</v>
      </c>
      <c r="L26" s="4" t="n">
        <v>6</v>
      </c>
      <c r="M26" s="4" t="n">
        <v>5.798</v>
      </c>
      <c r="N26" s="4" t="n">
        <v>0</v>
      </c>
      <c r="O26" s="4" t="n">
        <v>13.234</v>
      </c>
    </row>
    <row r="27" customFormat="false" ht="15" hidden="false" customHeight="false" outlineLevel="0" collapsed="false">
      <c r="A27" s="4" t="s">
        <v>24</v>
      </c>
      <c r="B27" s="4" t="s">
        <v>31</v>
      </c>
      <c r="C27" s="4" t="n">
        <v>0.329</v>
      </c>
      <c r="D27" s="4" t="n">
        <v>0.183</v>
      </c>
      <c r="E27" s="4" t="s">
        <v>75</v>
      </c>
      <c r="F27" s="4" t="n">
        <v>0.274</v>
      </c>
      <c r="G27" s="4" t="n">
        <v>8</v>
      </c>
      <c r="H27" s="4" t="n">
        <v>316</v>
      </c>
      <c r="I27" s="4" t="n">
        <v>2018</v>
      </c>
      <c r="J27" s="4" t="n">
        <v>0</v>
      </c>
      <c r="K27" s="4" t="n">
        <v>2029</v>
      </c>
      <c r="L27" s="4" t="n">
        <v>7</v>
      </c>
      <c r="M27" s="4" t="n">
        <v>6.127</v>
      </c>
      <c r="N27" s="4" t="n">
        <v>0</v>
      </c>
      <c r="O27" s="4" t="n">
        <v>14.093</v>
      </c>
    </row>
    <row r="28" customFormat="false" ht="15" hidden="false" customHeight="false" outlineLevel="0" collapsed="false">
      <c r="A28" s="4" t="s">
        <v>24</v>
      </c>
      <c r="B28" s="4" t="s">
        <v>31</v>
      </c>
      <c r="C28" s="4" t="n">
        <v>0.329</v>
      </c>
      <c r="D28" s="4" t="n">
        <v>0.183</v>
      </c>
      <c r="E28" s="4" t="s">
        <v>75</v>
      </c>
      <c r="F28" s="4" t="n">
        <v>0.274</v>
      </c>
      <c r="G28" s="4" t="n">
        <v>8</v>
      </c>
      <c r="H28" s="4" t="n">
        <v>316</v>
      </c>
      <c r="I28" s="4" t="n">
        <v>2018</v>
      </c>
      <c r="J28" s="4" t="n">
        <v>0</v>
      </c>
      <c r="K28" s="4" t="n">
        <v>2030</v>
      </c>
      <c r="L28" s="4" t="n">
        <v>8</v>
      </c>
      <c r="M28" s="4" t="n">
        <v>6.455</v>
      </c>
      <c r="N28" s="4" t="n">
        <v>0</v>
      </c>
      <c r="O28" s="4" t="n">
        <v>14.953</v>
      </c>
    </row>
    <row r="29" customFormat="false" ht="15" hidden="false" customHeight="false" outlineLevel="0" collapsed="false">
      <c r="A29" s="4" t="s">
        <v>24</v>
      </c>
      <c r="B29" s="4" t="s">
        <v>31</v>
      </c>
      <c r="C29" s="4" t="n">
        <v>0.329</v>
      </c>
      <c r="D29" s="4" t="n">
        <v>0.183</v>
      </c>
      <c r="E29" s="4" t="s">
        <v>75</v>
      </c>
      <c r="F29" s="4" t="n">
        <v>0.274</v>
      </c>
      <c r="G29" s="4" t="n">
        <v>8</v>
      </c>
      <c r="H29" s="4" t="n">
        <v>316</v>
      </c>
      <c r="I29" s="4" t="n">
        <v>2018</v>
      </c>
      <c r="J29" s="4" t="n">
        <v>0</v>
      </c>
      <c r="K29" s="4" t="n">
        <v>2031</v>
      </c>
      <c r="L29" s="4" t="n">
        <v>9</v>
      </c>
      <c r="M29" s="4" t="n">
        <v>6.784</v>
      </c>
      <c r="N29" s="4" t="n">
        <v>0</v>
      </c>
      <c r="O29" s="4" t="n">
        <v>15.813</v>
      </c>
    </row>
    <row r="30" customFormat="false" ht="15" hidden="false" customHeight="false" outlineLevel="0" collapsed="false">
      <c r="A30" s="4" t="s">
        <v>24</v>
      </c>
      <c r="B30" s="4" t="s">
        <v>32</v>
      </c>
      <c r="C30" s="4" t="n">
        <v>0.353</v>
      </c>
      <c r="D30" s="4" t="n">
        <v>0.452</v>
      </c>
      <c r="E30" s="4" t="s">
        <v>75</v>
      </c>
      <c r="F30" s="4" t="n">
        <v>0.034</v>
      </c>
      <c r="G30" s="4" t="n">
        <v>19</v>
      </c>
      <c r="H30" s="4" t="n">
        <v>931</v>
      </c>
      <c r="I30" s="4" t="n">
        <v>2019</v>
      </c>
      <c r="J30" s="4" t="n">
        <v>100</v>
      </c>
      <c r="K30" s="4" t="n">
        <v>2025</v>
      </c>
      <c r="L30" s="4" t="n">
        <v>3</v>
      </c>
      <c r="M30" s="4" t="n">
        <v>6.778</v>
      </c>
      <c r="N30" s="4" t="n">
        <v>0</v>
      </c>
      <c r="O30" s="4" t="n">
        <v>22.216</v>
      </c>
    </row>
    <row r="31" customFormat="false" ht="15" hidden="false" customHeight="false" outlineLevel="0" collapsed="false">
      <c r="A31" s="4" t="s">
        <v>24</v>
      </c>
      <c r="B31" s="4" t="s">
        <v>32</v>
      </c>
      <c r="C31" s="4" t="n">
        <v>0.353</v>
      </c>
      <c r="D31" s="4" t="n">
        <v>0.452</v>
      </c>
      <c r="E31" s="4" t="s">
        <v>75</v>
      </c>
      <c r="F31" s="4" t="n">
        <v>0.034</v>
      </c>
      <c r="G31" s="4" t="n">
        <v>19</v>
      </c>
      <c r="H31" s="4" t="n">
        <v>931</v>
      </c>
      <c r="I31" s="4" t="n">
        <v>2019</v>
      </c>
      <c r="J31" s="4" t="n">
        <v>100</v>
      </c>
      <c r="K31" s="4" t="n">
        <v>2026</v>
      </c>
      <c r="L31" s="4" t="n">
        <v>4</v>
      </c>
      <c r="M31" s="4" t="n">
        <v>7.131</v>
      </c>
      <c r="N31" s="4" t="n">
        <v>0</v>
      </c>
      <c r="O31" s="4" t="n">
        <v>23.496</v>
      </c>
    </row>
    <row r="32" customFormat="false" ht="15" hidden="false" customHeight="false" outlineLevel="0" collapsed="false">
      <c r="A32" s="4" t="s">
        <v>24</v>
      </c>
      <c r="B32" s="4" t="s">
        <v>32</v>
      </c>
      <c r="C32" s="4" t="n">
        <v>0.353</v>
      </c>
      <c r="D32" s="4" t="n">
        <v>0.452</v>
      </c>
      <c r="E32" s="4" t="s">
        <v>75</v>
      </c>
      <c r="F32" s="4" t="n">
        <v>0.034</v>
      </c>
      <c r="G32" s="4" t="n">
        <v>19</v>
      </c>
      <c r="H32" s="4" t="n">
        <v>931</v>
      </c>
      <c r="I32" s="4" t="n">
        <v>2019</v>
      </c>
      <c r="J32" s="4" t="n">
        <v>100</v>
      </c>
      <c r="K32" s="4" t="n">
        <v>2027</v>
      </c>
      <c r="L32" s="4" t="n">
        <v>5</v>
      </c>
      <c r="M32" s="4" t="n">
        <v>7.485</v>
      </c>
      <c r="N32" s="4" t="n">
        <v>0</v>
      </c>
      <c r="O32" s="4" t="n">
        <v>24.78</v>
      </c>
    </row>
    <row r="33" customFormat="false" ht="15" hidden="false" customHeight="false" outlineLevel="0" collapsed="false">
      <c r="A33" s="4" t="s">
        <v>24</v>
      </c>
      <c r="B33" s="4" t="s">
        <v>32</v>
      </c>
      <c r="C33" s="4" t="n">
        <v>0.353</v>
      </c>
      <c r="D33" s="4" t="n">
        <v>0.452</v>
      </c>
      <c r="E33" s="4" t="s">
        <v>75</v>
      </c>
      <c r="F33" s="4" t="n">
        <v>0.034</v>
      </c>
      <c r="G33" s="4" t="n">
        <v>19</v>
      </c>
      <c r="H33" s="4" t="n">
        <v>931</v>
      </c>
      <c r="I33" s="4" t="n">
        <v>2019</v>
      </c>
      <c r="J33" s="4" t="n">
        <v>100</v>
      </c>
      <c r="K33" s="4" t="n">
        <v>2028</v>
      </c>
      <c r="L33" s="4" t="n">
        <v>6</v>
      </c>
      <c r="M33" s="4" t="n">
        <v>7.838</v>
      </c>
      <c r="N33" s="4" t="n">
        <v>0</v>
      </c>
      <c r="O33" s="4" t="n">
        <v>26.068</v>
      </c>
    </row>
    <row r="34" customFormat="false" ht="15" hidden="false" customHeight="false" outlineLevel="0" collapsed="false">
      <c r="A34" s="4" t="s">
        <v>24</v>
      </c>
      <c r="B34" s="4" t="s">
        <v>32</v>
      </c>
      <c r="C34" s="4" t="n">
        <v>0.353</v>
      </c>
      <c r="D34" s="4" t="n">
        <v>0.452</v>
      </c>
      <c r="E34" s="4" t="s">
        <v>75</v>
      </c>
      <c r="F34" s="4" t="n">
        <v>0.034</v>
      </c>
      <c r="G34" s="4" t="n">
        <v>19</v>
      </c>
      <c r="H34" s="4" t="n">
        <v>931</v>
      </c>
      <c r="I34" s="4" t="n">
        <v>2019</v>
      </c>
      <c r="J34" s="4" t="n">
        <v>100</v>
      </c>
      <c r="K34" s="4" t="n">
        <v>2029</v>
      </c>
      <c r="L34" s="4" t="n">
        <v>7</v>
      </c>
      <c r="M34" s="4" t="n">
        <v>8.191</v>
      </c>
      <c r="N34" s="4" t="n">
        <v>0</v>
      </c>
      <c r="O34" s="4" t="n">
        <v>27.36</v>
      </c>
    </row>
    <row r="35" customFormat="false" ht="15" hidden="false" customHeight="false" outlineLevel="0" collapsed="false">
      <c r="A35" s="4" t="s">
        <v>24</v>
      </c>
      <c r="B35" s="4" t="s">
        <v>32</v>
      </c>
      <c r="C35" s="4" t="n">
        <v>0.353</v>
      </c>
      <c r="D35" s="4" t="n">
        <v>0.452</v>
      </c>
      <c r="E35" s="4" t="s">
        <v>75</v>
      </c>
      <c r="F35" s="4" t="n">
        <v>0.034</v>
      </c>
      <c r="G35" s="4" t="n">
        <v>19</v>
      </c>
      <c r="H35" s="4" t="n">
        <v>931</v>
      </c>
      <c r="I35" s="4" t="n">
        <v>2019</v>
      </c>
      <c r="J35" s="4" t="n">
        <v>100</v>
      </c>
      <c r="K35" s="4" t="n">
        <v>2030</v>
      </c>
      <c r="L35" s="4" t="n">
        <v>8</v>
      </c>
      <c r="M35" s="4" t="n">
        <v>8.545</v>
      </c>
      <c r="N35" s="4" t="n">
        <v>0</v>
      </c>
      <c r="O35" s="4" t="n">
        <v>28.654</v>
      </c>
    </row>
    <row r="36" customFormat="false" ht="15" hidden="false" customHeight="false" outlineLevel="0" collapsed="false">
      <c r="A36" s="4" t="s">
        <v>24</v>
      </c>
      <c r="B36" s="4" t="s">
        <v>32</v>
      </c>
      <c r="C36" s="4" t="n">
        <v>0.353</v>
      </c>
      <c r="D36" s="4" t="n">
        <v>0.452</v>
      </c>
      <c r="E36" s="4" t="s">
        <v>75</v>
      </c>
      <c r="F36" s="4" t="n">
        <v>0.034</v>
      </c>
      <c r="G36" s="4" t="n">
        <v>19</v>
      </c>
      <c r="H36" s="4" t="n">
        <v>931</v>
      </c>
      <c r="I36" s="4" t="n">
        <v>2019</v>
      </c>
      <c r="J36" s="4" t="n">
        <v>100</v>
      </c>
      <c r="K36" s="4" t="n">
        <v>2031</v>
      </c>
      <c r="L36" s="4" t="n">
        <v>9</v>
      </c>
      <c r="M36" s="4" t="n">
        <v>8.898</v>
      </c>
      <c r="N36" s="4" t="n">
        <v>0</v>
      </c>
      <c r="O36" s="4" t="n">
        <v>29.95</v>
      </c>
    </row>
    <row r="37" customFormat="false" ht="15" hidden="false" customHeight="false" outlineLevel="0" collapsed="false">
      <c r="A37" s="4" t="s">
        <v>24</v>
      </c>
      <c r="B37" s="4" t="s">
        <v>33</v>
      </c>
      <c r="C37" s="4" t="n">
        <v>0</v>
      </c>
      <c r="D37" s="4"/>
      <c r="E37" s="4" t="s">
        <v>75</v>
      </c>
      <c r="F37" s="4"/>
      <c r="G37" s="4" t="n">
        <v>9</v>
      </c>
      <c r="H37" s="4" t="n">
        <v>395</v>
      </c>
      <c r="I37" s="4" t="n">
        <v>2016</v>
      </c>
      <c r="J37" s="4" t="n">
        <v>0</v>
      </c>
      <c r="K37" s="4" t="n">
        <v>2025</v>
      </c>
      <c r="L37" s="4" t="n">
        <v>3</v>
      </c>
      <c r="M37" s="4" t="n">
        <v>0</v>
      </c>
      <c r="N37" s="4" t="n">
        <v>0</v>
      </c>
      <c r="O37" s="4" t="n">
        <v>0</v>
      </c>
    </row>
    <row r="38" customFormat="false" ht="15" hidden="false" customHeight="false" outlineLevel="0" collapsed="false">
      <c r="A38" s="4" t="s">
        <v>24</v>
      </c>
      <c r="B38" s="4" t="s">
        <v>33</v>
      </c>
      <c r="C38" s="4" t="n">
        <v>0</v>
      </c>
      <c r="D38" s="4"/>
      <c r="E38" s="4" t="s">
        <v>75</v>
      </c>
      <c r="F38" s="4"/>
      <c r="G38" s="4" t="n">
        <v>9</v>
      </c>
      <c r="H38" s="4" t="n">
        <v>395</v>
      </c>
      <c r="I38" s="4" t="n">
        <v>2016</v>
      </c>
      <c r="J38" s="4" t="n">
        <v>0</v>
      </c>
      <c r="K38" s="4" t="n">
        <v>2026</v>
      </c>
      <c r="L38" s="4" t="n">
        <v>4</v>
      </c>
      <c r="M38" s="4" t="n">
        <v>0</v>
      </c>
      <c r="N38" s="4" t="n">
        <v>0</v>
      </c>
      <c r="O38" s="4" t="n">
        <v>0</v>
      </c>
    </row>
    <row r="39" customFormat="false" ht="15" hidden="false" customHeight="false" outlineLevel="0" collapsed="false">
      <c r="A39" s="4" t="s">
        <v>24</v>
      </c>
      <c r="B39" s="4" t="s">
        <v>33</v>
      </c>
      <c r="C39" s="4" t="n">
        <v>0</v>
      </c>
      <c r="D39" s="4"/>
      <c r="E39" s="4" t="s">
        <v>75</v>
      </c>
      <c r="F39" s="4"/>
      <c r="G39" s="4" t="n">
        <v>9</v>
      </c>
      <c r="H39" s="4" t="n">
        <v>395</v>
      </c>
      <c r="I39" s="4" t="n">
        <v>2016</v>
      </c>
      <c r="J39" s="4" t="n">
        <v>0</v>
      </c>
      <c r="K39" s="4" t="n">
        <v>2027</v>
      </c>
      <c r="L39" s="4" t="n">
        <v>5</v>
      </c>
      <c r="M39" s="4" t="n">
        <v>0</v>
      </c>
      <c r="N39" s="4" t="n">
        <v>0</v>
      </c>
      <c r="O39" s="4" t="n">
        <v>0</v>
      </c>
    </row>
    <row r="40" customFormat="false" ht="15" hidden="false" customHeight="false" outlineLevel="0" collapsed="false">
      <c r="A40" s="4" t="s">
        <v>24</v>
      </c>
      <c r="B40" s="4" t="s">
        <v>33</v>
      </c>
      <c r="C40" s="4" t="n">
        <v>0</v>
      </c>
      <c r="D40" s="4"/>
      <c r="E40" s="4" t="s">
        <v>75</v>
      </c>
      <c r="F40" s="4"/>
      <c r="G40" s="4" t="n">
        <v>9</v>
      </c>
      <c r="H40" s="4" t="n">
        <v>395</v>
      </c>
      <c r="I40" s="4" t="n">
        <v>2016</v>
      </c>
      <c r="J40" s="4" t="n">
        <v>0</v>
      </c>
      <c r="K40" s="4" t="n">
        <v>2028</v>
      </c>
      <c r="L40" s="4" t="n">
        <v>6</v>
      </c>
      <c r="M40" s="4" t="n">
        <v>0</v>
      </c>
      <c r="N40" s="4" t="n">
        <v>0</v>
      </c>
      <c r="O40" s="4" t="n">
        <v>0</v>
      </c>
    </row>
    <row r="41" customFormat="false" ht="15" hidden="false" customHeight="false" outlineLevel="0" collapsed="false">
      <c r="A41" s="4" t="s">
        <v>24</v>
      </c>
      <c r="B41" s="4" t="s">
        <v>33</v>
      </c>
      <c r="C41" s="4" t="n">
        <v>0</v>
      </c>
      <c r="D41" s="4"/>
      <c r="E41" s="4" t="s">
        <v>75</v>
      </c>
      <c r="F41" s="4"/>
      <c r="G41" s="4" t="n">
        <v>9</v>
      </c>
      <c r="H41" s="4" t="n">
        <v>395</v>
      </c>
      <c r="I41" s="4" t="n">
        <v>2016</v>
      </c>
      <c r="J41" s="4" t="n">
        <v>0</v>
      </c>
      <c r="K41" s="4" t="n">
        <v>2029</v>
      </c>
      <c r="L41" s="4" t="n">
        <v>7</v>
      </c>
      <c r="M41" s="4" t="n">
        <v>0</v>
      </c>
      <c r="N41" s="4" t="n">
        <v>0</v>
      </c>
      <c r="O41" s="4" t="n">
        <v>0</v>
      </c>
    </row>
    <row r="42" customFormat="false" ht="15" hidden="false" customHeight="false" outlineLevel="0" collapsed="false">
      <c r="A42" s="4" t="s">
        <v>24</v>
      </c>
      <c r="B42" s="4" t="s">
        <v>33</v>
      </c>
      <c r="C42" s="4" t="n">
        <v>0</v>
      </c>
      <c r="D42" s="4"/>
      <c r="E42" s="4" t="s">
        <v>75</v>
      </c>
      <c r="F42" s="4"/>
      <c r="G42" s="4" t="n">
        <v>9</v>
      </c>
      <c r="H42" s="4" t="n">
        <v>395</v>
      </c>
      <c r="I42" s="4" t="n">
        <v>2016</v>
      </c>
      <c r="J42" s="4" t="n">
        <v>0</v>
      </c>
      <c r="K42" s="4" t="n">
        <v>2030</v>
      </c>
      <c r="L42" s="4" t="n">
        <v>8</v>
      </c>
      <c r="M42" s="4" t="n">
        <v>0</v>
      </c>
      <c r="N42" s="4" t="n">
        <v>0</v>
      </c>
      <c r="O42" s="4" t="n">
        <v>0</v>
      </c>
    </row>
    <row r="43" customFormat="false" ht="15" hidden="false" customHeight="false" outlineLevel="0" collapsed="false">
      <c r="A43" s="4" t="s">
        <v>24</v>
      </c>
      <c r="B43" s="4" t="s">
        <v>33</v>
      </c>
      <c r="C43" s="4" t="n">
        <v>0</v>
      </c>
      <c r="D43" s="4"/>
      <c r="E43" s="4" t="s">
        <v>75</v>
      </c>
      <c r="F43" s="4"/>
      <c r="G43" s="4" t="n">
        <v>9</v>
      </c>
      <c r="H43" s="4" t="n">
        <v>395</v>
      </c>
      <c r="I43" s="4" t="n">
        <v>2016</v>
      </c>
      <c r="J43" s="4" t="n">
        <v>0</v>
      </c>
      <c r="K43" s="4" t="n">
        <v>2031</v>
      </c>
      <c r="L43" s="4" t="n">
        <v>9</v>
      </c>
      <c r="M43" s="4" t="n">
        <v>0</v>
      </c>
      <c r="N43" s="4" t="n">
        <v>0</v>
      </c>
      <c r="O43" s="4" t="n">
        <v>0</v>
      </c>
    </row>
    <row r="44" customFormat="false" ht="15" hidden="false" customHeight="false" outlineLevel="0" collapsed="false">
      <c r="A44" s="4" t="s">
        <v>24</v>
      </c>
      <c r="B44" s="4" t="s">
        <v>34</v>
      </c>
      <c r="C44" s="4" t="n">
        <v>-1.63</v>
      </c>
      <c r="D44" s="4" t="n">
        <v>0.088</v>
      </c>
      <c r="E44" s="4" t="s">
        <v>75</v>
      </c>
      <c r="F44" s="4" t="n">
        <v>0.153</v>
      </c>
      <c r="G44" s="4" t="n">
        <v>20</v>
      </c>
      <c r="H44" s="4" t="n">
        <v>1348</v>
      </c>
      <c r="I44" s="4" t="n">
        <v>2019</v>
      </c>
      <c r="J44" s="4" t="n">
        <v>100</v>
      </c>
      <c r="K44" s="4" t="n">
        <v>2025</v>
      </c>
      <c r="L44" s="4" t="n">
        <v>3</v>
      </c>
      <c r="M44" s="4" t="n">
        <v>11.301</v>
      </c>
      <c r="N44" s="4" t="n">
        <v>0</v>
      </c>
      <c r="O44" s="4" t="n">
        <v>39.949</v>
      </c>
    </row>
    <row r="45" customFormat="false" ht="15" hidden="false" customHeight="false" outlineLevel="0" collapsed="false">
      <c r="A45" s="4" t="s">
        <v>24</v>
      </c>
      <c r="B45" s="4" t="s">
        <v>34</v>
      </c>
      <c r="C45" s="4" t="n">
        <v>-1.63</v>
      </c>
      <c r="D45" s="4" t="n">
        <v>0.088</v>
      </c>
      <c r="E45" s="4" t="s">
        <v>75</v>
      </c>
      <c r="F45" s="4" t="n">
        <v>0.153</v>
      </c>
      <c r="G45" s="4" t="n">
        <v>20</v>
      </c>
      <c r="H45" s="4" t="n">
        <v>1348</v>
      </c>
      <c r="I45" s="4" t="n">
        <v>2019</v>
      </c>
      <c r="J45" s="4" t="n">
        <v>100</v>
      </c>
      <c r="K45" s="4" t="n">
        <v>2026</v>
      </c>
      <c r="L45" s="4" t="n">
        <v>4</v>
      </c>
      <c r="M45" s="4" t="n">
        <v>9.671</v>
      </c>
      <c r="N45" s="4" t="n">
        <v>0</v>
      </c>
      <c r="O45" s="4" t="n">
        <v>40.132</v>
      </c>
    </row>
    <row r="46" customFormat="false" ht="15" hidden="false" customHeight="false" outlineLevel="0" collapsed="false">
      <c r="A46" s="4" t="s">
        <v>24</v>
      </c>
      <c r="B46" s="4" t="s">
        <v>34</v>
      </c>
      <c r="C46" s="4" t="n">
        <v>-1.63</v>
      </c>
      <c r="D46" s="4" t="n">
        <v>0.088</v>
      </c>
      <c r="E46" s="4" t="s">
        <v>75</v>
      </c>
      <c r="F46" s="4" t="n">
        <v>0.153</v>
      </c>
      <c r="G46" s="4" t="n">
        <v>20</v>
      </c>
      <c r="H46" s="4" t="n">
        <v>1348</v>
      </c>
      <c r="I46" s="4" t="n">
        <v>2019</v>
      </c>
      <c r="J46" s="4" t="n">
        <v>100</v>
      </c>
      <c r="K46" s="4" t="n">
        <v>2027</v>
      </c>
      <c r="L46" s="4" t="n">
        <v>5</v>
      </c>
      <c r="M46" s="4" t="n">
        <v>8.042</v>
      </c>
      <c r="N46" s="4" t="n">
        <v>0</v>
      </c>
      <c r="O46" s="4" t="n">
        <v>40.325</v>
      </c>
    </row>
    <row r="47" customFormat="false" ht="15" hidden="false" customHeight="false" outlineLevel="0" collapsed="false">
      <c r="A47" s="4" t="s">
        <v>24</v>
      </c>
      <c r="B47" s="4" t="s">
        <v>34</v>
      </c>
      <c r="C47" s="4" t="n">
        <v>-1.63</v>
      </c>
      <c r="D47" s="4" t="n">
        <v>0.088</v>
      </c>
      <c r="E47" s="4" t="s">
        <v>75</v>
      </c>
      <c r="F47" s="4" t="n">
        <v>0.153</v>
      </c>
      <c r="G47" s="4" t="n">
        <v>20</v>
      </c>
      <c r="H47" s="4" t="n">
        <v>1348</v>
      </c>
      <c r="I47" s="4" t="n">
        <v>2019</v>
      </c>
      <c r="J47" s="4" t="n">
        <v>100</v>
      </c>
      <c r="K47" s="4" t="n">
        <v>2028</v>
      </c>
      <c r="L47" s="4" t="n">
        <v>6</v>
      </c>
      <c r="M47" s="4" t="n">
        <v>6.412</v>
      </c>
      <c r="N47" s="4" t="n">
        <v>0</v>
      </c>
      <c r="O47" s="4" t="n">
        <v>40.526</v>
      </c>
    </row>
    <row r="48" customFormat="false" ht="15" hidden="false" customHeight="false" outlineLevel="0" collapsed="false">
      <c r="A48" s="4" t="s">
        <v>24</v>
      </c>
      <c r="B48" s="4" t="s">
        <v>34</v>
      </c>
      <c r="C48" s="4" t="n">
        <v>-1.63</v>
      </c>
      <c r="D48" s="4" t="n">
        <v>0.088</v>
      </c>
      <c r="E48" s="4" t="s">
        <v>75</v>
      </c>
      <c r="F48" s="4" t="n">
        <v>0.153</v>
      </c>
      <c r="G48" s="4" t="n">
        <v>20</v>
      </c>
      <c r="H48" s="4" t="n">
        <v>1348</v>
      </c>
      <c r="I48" s="4" t="n">
        <v>2019</v>
      </c>
      <c r="J48" s="4" t="n">
        <v>100</v>
      </c>
      <c r="K48" s="4" t="n">
        <v>2029</v>
      </c>
      <c r="L48" s="4" t="n">
        <v>7</v>
      </c>
      <c r="M48" s="4" t="n">
        <v>4.783</v>
      </c>
      <c r="N48" s="4" t="n">
        <v>0</v>
      </c>
      <c r="O48" s="4" t="n">
        <v>40.733</v>
      </c>
    </row>
    <row r="49" customFormat="false" ht="15" hidden="false" customHeight="false" outlineLevel="0" collapsed="false">
      <c r="A49" s="4" t="s">
        <v>24</v>
      </c>
      <c r="B49" s="4" t="s">
        <v>34</v>
      </c>
      <c r="C49" s="4" t="n">
        <v>-1.63</v>
      </c>
      <c r="D49" s="4" t="n">
        <v>0.088</v>
      </c>
      <c r="E49" s="4" t="s">
        <v>75</v>
      </c>
      <c r="F49" s="4" t="n">
        <v>0.153</v>
      </c>
      <c r="G49" s="4" t="n">
        <v>20</v>
      </c>
      <c r="H49" s="4" t="n">
        <v>1348</v>
      </c>
      <c r="I49" s="4" t="n">
        <v>2019</v>
      </c>
      <c r="J49" s="4" t="n">
        <v>100</v>
      </c>
      <c r="K49" s="4" t="n">
        <v>2030</v>
      </c>
      <c r="L49" s="4" t="n">
        <v>8</v>
      </c>
      <c r="M49" s="4" t="n">
        <v>3.153</v>
      </c>
      <c r="N49" s="4" t="n">
        <v>0</v>
      </c>
      <c r="O49" s="4" t="n">
        <v>40.946</v>
      </c>
    </row>
    <row r="50" customFormat="false" ht="15" hidden="false" customHeight="false" outlineLevel="0" collapsed="false">
      <c r="A50" s="4" t="s">
        <v>24</v>
      </c>
      <c r="B50" s="4" t="s">
        <v>34</v>
      </c>
      <c r="C50" s="4" t="n">
        <v>-1.63</v>
      </c>
      <c r="D50" s="4" t="n">
        <v>0.088</v>
      </c>
      <c r="E50" s="4" t="s">
        <v>75</v>
      </c>
      <c r="F50" s="4" t="n">
        <v>0.153</v>
      </c>
      <c r="G50" s="4" t="n">
        <v>20</v>
      </c>
      <c r="H50" s="4" t="n">
        <v>1348</v>
      </c>
      <c r="I50" s="4" t="n">
        <v>2019</v>
      </c>
      <c r="J50" s="4" t="n">
        <v>100</v>
      </c>
      <c r="K50" s="4" t="n">
        <v>2031</v>
      </c>
      <c r="L50" s="4" t="n">
        <v>9</v>
      </c>
      <c r="M50" s="4" t="n">
        <v>1.524</v>
      </c>
      <c r="N50" s="4" t="n">
        <v>0</v>
      </c>
      <c r="O50" s="4" t="n">
        <v>41.165</v>
      </c>
    </row>
    <row r="51" customFormat="false" ht="15" hidden="false" customHeight="false" outlineLevel="0" collapsed="false">
      <c r="A51" s="4" t="s">
        <v>24</v>
      </c>
      <c r="B51" s="4" t="s">
        <v>35</v>
      </c>
      <c r="C51" s="4" t="n">
        <v>-5.786</v>
      </c>
      <c r="D51" s="4" t="n">
        <v>0</v>
      </c>
      <c r="E51" s="4" t="s">
        <v>76</v>
      </c>
      <c r="F51" s="4" t="n">
        <v>0.737</v>
      </c>
      <c r="G51" s="4" t="n">
        <v>19</v>
      </c>
      <c r="H51" s="4" t="n">
        <v>1483</v>
      </c>
      <c r="I51" s="4" t="n">
        <v>2019</v>
      </c>
      <c r="J51" s="4" t="n">
        <v>100</v>
      </c>
      <c r="K51" s="4" t="n">
        <v>2025</v>
      </c>
      <c r="L51" s="4" t="n">
        <v>3</v>
      </c>
      <c r="M51" s="4" t="n">
        <v>0</v>
      </c>
      <c r="N51" s="4" t="n">
        <v>0</v>
      </c>
      <c r="O51" s="4" t="n">
        <v>0</v>
      </c>
    </row>
    <row r="52" customFormat="false" ht="15" hidden="false" customHeight="false" outlineLevel="0" collapsed="false">
      <c r="A52" s="4" t="s">
        <v>24</v>
      </c>
      <c r="B52" s="4" t="s">
        <v>35</v>
      </c>
      <c r="C52" s="4" t="n">
        <v>-5.786</v>
      </c>
      <c r="D52" s="4" t="n">
        <v>0</v>
      </c>
      <c r="E52" s="4" t="s">
        <v>76</v>
      </c>
      <c r="F52" s="4" t="n">
        <v>0.737</v>
      </c>
      <c r="G52" s="4" t="n">
        <v>19</v>
      </c>
      <c r="H52" s="4" t="n">
        <v>1483</v>
      </c>
      <c r="I52" s="4" t="n">
        <v>2019</v>
      </c>
      <c r="J52" s="4" t="n">
        <v>100</v>
      </c>
      <c r="K52" s="4" t="n">
        <v>2026</v>
      </c>
      <c r="L52" s="4" t="n">
        <v>4</v>
      </c>
      <c r="M52" s="4" t="n">
        <v>0</v>
      </c>
      <c r="N52" s="4" t="n">
        <v>0</v>
      </c>
      <c r="O52" s="4" t="n">
        <v>0</v>
      </c>
    </row>
    <row r="53" customFormat="false" ht="15" hidden="false" customHeight="false" outlineLevel="0" collapsed="false">
      <c r="A53" s="4" t="s">
        <v>24</v>
      </c>
      <c r="B53" s="4" t="s">
        <v>35</v>
      </c>
      <c r="C53" s="4" t="n">
        <v>-5.786</v>
      </c>
      <c r="D53" s="4" t="n">
        <v>0</v>
      </c>
      <c r="E53" s="4" t="s">
        <v>76</v>
      </c>
      <c r="F53" s="4" t="n">
        <v>0.737</v>
      </c>
      <c r="G53" s="4" t="n">
        <v>19</v>
      </c>
      <c r="H53" s="4" t="n">
        <v>1483</v>
      </c>
      <c r="I53" s="4" t="n">
        <v>2019</v>
      </c>
      <c r="J53" s="4" t="n">
        <v>100</v>
      </c>
      <c r="K53" s="4" t="n">
        <v>2027</v>
      </c>
      <c r="L53" s="4" t="n">
        <v>5</v>
      </c>
      <c r="M53" s="4" t="n">
        <v>0</v>
      </c>
      <c r="N53" s="4" t="n">
        <v>0</v>
      </c>
      <c r="O53" s="4" t="n">
        <v>0</v>
      </c>
    </row>
    <row r="54" customFormat="false" ht="15" hidden="false" customHeight="false" outlineLevel="0" collapsed="false">
      <c r="A54" s="4" t="s">
        <v>24</v>
      </c>
      <c r="B54" s="4" t="s">
        <v>35</v>
      </c>
      <c r="C54" s="4" t="n">
        <v>-5.786</v>
      </c>
      <c r="D54" s="4" t="n">
        <v>0</v>
      </c>
      <c r="E54" s="4" t="s">
        <v>76</v>
      </c>
      <c r="F54" s="4" t="n">
        <v>0.737</v>
      </c>
      <c r="G54" s="4" t="n">
        <v>19</v>
      </c>
      <c r="H54" s="4" t="n">
        <v>1483</v>
      </c>
      <c r="I54" s="4" t="n">
        <v>2019</v>
      </c>
      <c r="J54" s="4" t="n">
        <v>100</v>
      </c>
      <c r="K54" s="4" t="n">
        <v>2028</v>
      </c>
      <c r="L54" s="4" t="n">
        <v>6</v>
      </c>
      <c r="M54" s="4" t="n">
        <v>0</v>
      </c>
      <c r="N54" s="4" t="n">
        <v>0</v>
      </c>
      <c r="O54" s="4" t="n">
        <v>0</v>
      </c>
    </row>
    <row r="55" customFormat="false" ht="15" hidden="false" customHeight="false" outlineLevel="0" collapsed="false">
      <c r="A55" s="4" t="s">
        <v>24</v>
      </c>
      <c r="B55" s="4" t="s">
        <v>35</v>
      </c>
      <c r="C55" s="4" t="n">
        <v>-5.786</v>
      </c>
      <c r="D55" s="4" t="n">
        <v>0</v>
      </c>
      <c r="E55" s="4" t="s">
        <v>76</v>
      </c>
      <c r="F55" s="4" t="n">
        <v>0.737</v>
      </c>
      <c r="G55" s="4" t="n">
        <v>19</v>
      </c>
      <c r="H55" s="4" t="n">
        <v>1483</v>
      </c>
      <c r="I55" s="4" t="n">
        <v>2019</v>
      </c>
      <c r="J55" s="4" t="n">
        <v>100</v>
      </c>
      <c r="K55" s="4" t="n">
        <v>2029</v>
      </c>
      <c r="L55" s="4" t="n">
        <v>7</v>
      </c>
      <c r="M55" s="4" t="n">
        <v>0</v>
      </c>
      <c r="N55" s="4" t="n">
        <v>0</v>
      </c>
      <c r="O55" s="4" t="n">
        <v>0</v>
      </c>
    </row>
    <row r="56" customFormat="false" ht="15" hidden="false" customHeight="false" outlineLevel="0" collapsed="false">
      <c r="A56" s="4" t="s">
        <v>24</v>
      </c>
      <c r="B56" s="4" t="s">
        <v>35</v>
      </c>
      <c r="C56" s="4" t="n">
        <v>-5.786</v>
      </c>
      <c r="D56" s="4" t="n">
        <v>0</v>
      </c>
      <c r="E56" s="4" t="s">
        <v>76</v>
      </c>
      <c r="F56" s="4" t="n">
        <v>0.737</v>
      </c>
      <c r="G56" s="4" t="n">
        <v>19</v>
      </c>
      <c r="H56" s="4" t="n">
        <v>1483</v>
      </c>
      <c r="I56" s="4" t="n">
        <v>2019</v>
      </c>
      <c r="J56" s="4" t="n">
        <v>100</v>
      </c>
      <c r="K56" s="4" t="n">
        <v>2030</v>
      </c>
      <c r="L56" s="4" t="n">
        <v>8</v>
      </c>
      <c r="M56" s="4" t="n">
        <v>0</v>
      </c>
      <c r="N56" s="4" t="n">
        <v>0</v>
      </c>
      <c r="O56" s="4" t="n">
        <v>0</v>
      </c>
    </row>
    <row r="57" customFormat="false" ht="15" hidden="false" customHeight="false" outlineLevel="0" collapsed="false">
      <c r="A57" s="4" t="s">
        <v>24</v>
      </c>
      <c r="B57" s="4" t="s">
        <v>35</v>
      </c>
      <c r="C57" s="4" t="n">
        <v>-5.786</v>
      </c>
      <c r="D57" s="4" t="n">
        <v>0</v>
      </c>
      <c r="E57" s="4" t="s">
        <v>76</v>
      </c>
      <c r="F57" s="4" t="n">
        <v>0.737</v>
      </c>
      <c r="G57" s="4" t="n">
        <v>19</v>
      </c>
      <c r="H57" s="4" t="n">
        <v>1483</v>
      </c>
      <c r="I57" s="4" t="n">
        <v>2019</v>
      </c>
      <c r="J57" s="4" t="n">
        <v>100</v>
      </c>
      <c r="K57" s="4" t="n">
        <v>2031</v>
      </c>
      <c r="L57" s="4" t="n">
        <v>9</v>
      </c>
      <c r="M57" s="4" t="n">
        <v>0</v>
      </c>
      <c r="N57" s="4" t="n">
        <v>0</v>
      </c>
      <c r="O57" s="4" t="n">
        <v>0</v>
      </c>
    </row>
    <row r="58" customFormat="false" ht="15" hidden="false" customHeight="false" outlineLevel="0" collapsed="false">
      <c r="A58" s="4" t="s">
        <v>24</v>
      </c>
      <c r="B58" s="4" t="s">
        <v>36</v>
      </c>
      <c r="C58" s="4" t="n">
        <v>0</v>
      </c>
      <c r="D58" s="4"/>
      <c r="E58" s="4" t="s">
        <v>75</v>
      </c>
      <c r="F58" s="4"/>
      <c r="G58" s="4" t="n">
        <v>6</v>
      </c>
      <c r="H58" s="4" t="n">
        <v>60</v>
      </c>
      <c r="I58" s="4" t="n">
        <v>2015</v>
      </c>
      <c r="J58" s="4" t="n">
        <v>0</v>
      </c>
      <c r="K58" s="4" t="n">
        <v>2025</v>
      </c>
      <c r="L58" s="4" t="n">
        <v>3</v>
      </c>
      <c r="M58" s="4" t="n">
        <v>0</v>
      </c>
      <c r="N58" s="4" t="n">
        <v>0</v>
      </c>
      <c r="O58" s="4" t="n">
        <v>0</v>
      </c>
    </row>
    <row r="59" customFormat="false" ht="15" hidden="false" customHeight="false" outlineLevel="0" collapsed="false">
      <c r="A59" s="4" t="s">
        <v>24</v>
      </c>
      <c r="B59" s="4" t="s">
        <v>36</v>
      </c>
      <c r="C59" s="4" t="n">
        <v>0</v>
      </c>
      <c r="D59" s="4"/>
      <c r="E59" s="4" t="s">
        <v>75</v>
      </c>
      <c r="F59" s="4"/>
      <c r="G59" s="4" t="n">
        <v>6</v>
      </c>
      <c r="H59" s="4" t="n">
        <v>60</v>
      </c>
      <c r="I59" s="4" t="n">
        <v>2015</v>
      </c>
      <c r="J59" s="4" t="n">
        <v>0</v>
      </c>
      <c r="K59" s="4" t="n">
        <v>2026</v>
      </c>
      <c r="L59" s="4" t="n">
        <v>4</v>
      </c>
      <c r="M59" s="4" t="n">
        <v>0</v>
      </c>
      <c r="N59" s="4" t="n">
        <v>0</v>
      </c>
      <c r="O59" s="4" t="n">
        <v>0</v>
      </c>
    </row>
    <row r="60" customFormat="false" ht="15" hidden="false" customHeight="false" outlineLevel="0" collapsed="false">
      <c r="A60" s="4" t="s">
        <v>24</v>
      </c>
      <c r="B60" s="4" t="s">
        <v>36</v>
      </c>
      <c r="C60" s="4" t="n">
        <v>0</v>
      </c>
      <c r="D60" s="4"/>
      <c r="E60" s="4" t="s">
        <v>75</v>
      </c>
      <c r="F60" s="4"/>
      <c r="G60" s="4" t="n">
        <v>6</v>
      </c>
      <c r="H60" s="4" t="n">
        <v>60</v>
      </c>
      <c r="I60" s="4" t="n">
        <v>2015</v>
      </c>
      <c r="J60" s="4" t="n">
        <v>0</v>
      </c>
      <c r="K60" s="4" t="n">
        <v>2027</v>
      </c>
      <c r="L60" s="4" t="n">
        <v>5</v>
      </c>
      <c r="M60" s="4" t="n">
        <v>0</v>
      </c>
      <c r="N60" s="4" t="n">
        <v>0</v>
      </c>
      <c r="O60" s="4" t="n">
        <v>0</v>
      </c>
    </row>
    <row r="61" customFormat="false" ht="15" hidden="false" customHeight="false" outlineLevel="0" collapsed="false">
      <c r="A61" s="4" t="s">
        <v>24</v>
      </c>
      <c r="B61" s="4" t="s">
        <v>36</v>
      </c>
      <c r="C61" s="4" t="n">
        <v>0</v>
      </c>
      <c r="D61" s="4"/>
      <c r="E61" s="4" t="s">
        <v>75</v>
      </c>
      <c r="F61" s="4"/>
      <c r="G61" s="4" t="n">
        <v>6</v>
      </c>
      <c r="H61" s="4" t="n">
        <v>60</v>
      </c>
      <c r="I61" s="4" t="n">
        <v>2015</v>
      </c>
      <c r="J61" s="4" t="n">
        <v>0</v>
      </c>
      <c r="K61" s="4" t="n">
        <v>2028</v>
      </c>
      <c r="L61" s="4" t="n">
        <v>6</v>
      </c>
      <c r="M61" s="4" t="n">
        <v>0</v>
      </c>
      <c r="N61" s="4" t="n">
        <v>0</v>
      </c>
      <c r="O61" s="4" t="n">
        <v>0</v>
      </c>
    </row>
    <row r="62" customFormat="false" ht="15" hidden="false" customHeight="false" outlineLevel="0" collapsed="false">
      <c r="A62" s="4" t="s">
        <v>24</v>
      </c>
      <c r="B62" s="4" t="s">
        <v>36</v>
      </c>
      <c r="C62" s="4" t="n">
        <v>0</v>
      </c>
      <c r="D62" s="4"/>
      <c r="E62" s="4" t="s">
        <v>75</v>
      </c>
      <c r="F62" s="4"/>
      <c r="G62" s="4" t="n">
        <v>6</v>
      </c>
      <c r="H62" s="4" t="n">
        <v>60</v>
      </c>
      <c r="I62" s="4" t="n">
        <v>2015</v>
      </c>
      <c r="J62" s="4" t="n">
        <v>0</v>
      </c>
      <c r="K62" s="4" t="n">
        <v>2029</v>
      </c>
      <c r="L62" s="4" t="n">
        <v>7</v>
      </c>
      <c r="M62" s="4" t="n">
        <v>0</v>
      </c>
      <c r="N62" s="4" t="n">
        <v>0</v>
      </c>
      <c r="O62" s="4" t="n">
        <v>0</v>
      </c>
    </row>
    <row r="63" customFormat="false" ht="15" hidden="false" customHeight="false" outlineLevel="0" collapsed="false">
      <c r="A63" s="4" t="s">
        <v>24</v>
      </c>
      <c r="B63" s="4" t="s">
        <v>36</v>
      </c>
      <c r="C63" s="4" t="n">
        <v>0</v>
      </c>
      <c r="D63" s="4"/>
      <c r="E63" s="4" t="s">
        <v>75</v>
      </c>
      <c r="F63" s="4"/>
      <c r="G63" s="4" t="n">
        <v>6</v>
      </c>
      <c r="H63" s="4" t="n">
        <v>60</v>
      </c>
      <c r="I63" s="4" t="n">
        <v>2015</v>
      </c>
      <c r="J63" s="4" t="n">
        <v>0</v>
      </c>
      <c r="K63" s="4" t="n">
        <v>2030</v>
      </c>
      <c r="L63" s="4" t="n">
        <v>8</v>
      </c>
      <c r="M63" s="4" t="n">
        <v>0</v>
      </c>
      <c r="N63" s="4" t="n">
        <v>0</v>
      </c>
      <c r="O63" s="4" t="n">
        <v>0</v>
      </c>
    </row>
    <row r="64" customFormat="false" ht="15" hidden="false" customHeight="false" outlineLevel="0" collapsed="false">
      <c r="A64" s="4" t="s">
        <v>24</v>
      </c>
      <c r="B64" s="4" t="s">
        <v>36</v>
      </c>
      <c r="C64" s="4" t="n">
        <v>0</v>
      </c>
      <c r="D64" s="4"/>
      <c r="E64" s="4" t="s">
        <v>75</v>
      </c>
      <c r="F64" s="4"/>
      <c r="G64" s="4" t="n">
        <v>6</v>
      </c>
      <c r="H64" s="4" t="n">
        <v>60</v>
      </c>
      <c r="I64" s="4" t="n">
        <v>2015</v>
      </c>
      <c r="J64" s="4" t="n">
        <v>0</v>
      </c>
      <c r="K64" s="4" t="n">
        <v>2031</v>
      </c>
      <c r="L64" s="4" t="n">
        <v>9</v>
      </c>
      <c r="M64" s="4" t="n">
        <v>0</v>
      </c>
      <c r="N64" s="4" t="n">
        <v>0</v>
      </c>
      <c r="O64" s="4" t="n">
        <v>0</v>
      </c>
    </row>
    <row r="65" customFormat="false" ht="15" hidden="false" customHeight="false" outlineLevel="0" collapsed="false">
      <c r="A65" s="4" t="s">
        <v>24</v>
      </c>
      <c r="B65" s="4" t="s">
        <v>37</v>
      </c>
      <c r="C65" s="4" t="n">
        <v>0</v>
      </c>
      <c r="D65" s="4"/>
      <c r="E65" s="4" t="s">
        <v>75</v>
      </c>
      <c r="F65" s="4"/>
      <c r="G65" s="4" t="n">
        <v>10</v>
      </c>
      <c r="H65" s="4" t="n">
        <v>114</v>
      </c>
      <c r="I65" s="4" t="n">
        <v>2019</v>
      </c>
      <c r="J65" s="4" t="n">
        <v>0</v>
      </c>
      <c r="K65" s="4" t="n">
        <v>2025</v>
      </c>
      <c r="L65" s="4" t="n">
        <v>3</v>
      </c>
      <c r="M65" s="4" t="n">
        <v>0</v>
      </c>
      <c r="N65" s="4" t="n">
        <v>0</v>
      </c>
      <c r="O65" s="4" t="n">
        <v>0</v>
      </c>
    </row>
    <row r="66" customFormat="false" ht="15" hidden="false" customHeight="false" outlineLevel="0" collapsed="false">
      <c r="A66" s="4" t="s">
        <v>24</v>
      </c>
      <c r="B66" s="4" t="s">
        <v>37</v>
      </c>
      <c r="C66" s="4" t="n">
        <v>0</v>
      </c>
      <c r="D66" s="4"/>
      <c r="E66" s="4" t="s">
        <v>75</v>
      </c>
      <c r="F66" s="4"/>
      <c r="G66" s="4" t="n">
        <v>10</v>
      </c>
      <c r="H66" s="4" t="n">
        <v>114</v>
      </c>
      <c r="I66" s="4" t="n">
        <v>2019</v>
      </c>
      <c r="J66" s="4" t="n">
        <v>0</v>
      </c>
      <c r="K66" s="4" t="n">
        <v>2026</v>
      </c>
      <c r="L66" s="4" t="n">
        <v>4</v>
      </c>
      <c r="M66" s="4" t="n">
        <v>0</v>
      </c>
      <c r="N66" s="4" t="n">
        <v>0</v>
      </c>
      <c r="O66" s="4" t="n">
        <v>0</v>
      </c>
    </row>
    <row r="67" customFormat="false" ht="15" hidden="false" customHeight="false" outlineLevel="0" collapsed="false">
      <c r="A67" s="4" t="s">
        <v>24</v>
      </c>
      <c r="B67" s="4" t="s">
        <v>37</v>
      </c>
      <c r="C67" s="4" t="n">
        <v>0</v>
      </c>
      <c r="D67" s="4"/>
      <c r="E67" s="4" t="s">
        <v>75</v>
      </c>
      <c r="F67" s="4"/>
      <c r="G67" s="4" t="n">
        <v>10</v>
      </c>
      <c r="H67" s="4" t="n">
        <v>114</v>
      </c>
      <c r="I67" s="4" t="n">
        <v>2019</v>
      </c>
      <c r="J67" s="4" t="n">
        <v>0</v>
      </c>
      <c r="K67" s="4" t="n">
        <v>2027</v>
      </c>
      <c r="L67" s="4" t="n">
        <v>5</v>
      </c>
      <c r="M67" s="4" t="n">
        <v>0</v>
      </c>
      <c r="N67" s="4" t="n">
        <v>0</v>
      </c>
      <c r="O67" s="4" t="n">
        <v>0</v>
      </c>
    </row>
    <row r="68" customFormat="false" ht="15" hidden="false" customHeight="false" outlineLevel="0" collapsed="false">
      <c r="A68" s="4" t="s">
        <v>24</v>
      </c>
      <c r="B68" s="4" t="s">
        <v>37</v>
      </c>
      <c r="C68" s="4" t="n">
        <v>0</v>
      </c>
      <c r="D68" s="4"/>
      <c r="E68" s="4" t="s">
        <v>75</v>
      </c>
      <c r="F68" s="4"/>
      <c r="G68" s="4" t="n">
        <v>10</v>
      </c>
      <c r="H68" s="4" t="n">
        <v>114</v>
      </c>
      <c r="I68" s="4" t="n">
        <v>2019</v>
      </c>
      <c r="J68" s="4" t="n">
        <v>0</v>
      </c>
      <c r="K68" s="4" t="n">
        <v>2028</v>
      </c>
      <c r="L68" s="4" t="n">
        <v>6</v>
      </c>
      <c r="M68" s="4" t="n">
        <v>0</v>
      </c>
      <c r="N68" s="4" t="n">
        <v>0</v>
      </c>
      <c r="O68" s="4" t="n">
        <v>0</v>
      </c>
    </row>
    <row r="69" customFormat="false" ht="15" hidden="false" customHeight="false" outlineLevel="0" collapsed="false">
      <c r="A69" s="4" t="s">
        <v>24</v>
      </c>
      <c r="B69" s="4" t="s">
        <v>37</v>
      </c>
      <c r="C69" s="4" t="n">
        <v>0</v>
      </c>
      <c r="D69" s="4"/>
      <c r="E69" s="4" t="s">
        <v>75</v>
      </c>
      <c r="F69" s="4"/>
      <c r="G69" s="4" t="n">
        <v>10</v>
      </c>
      <c r="H69" s="4" t="n">
        <v>114</v>
      </c>
      <c r="I69" s="4" t="n">
        <v>2019</v>
      </c>
      <c r="J69" s="4" t="n">
        <v>0</v>
      </c>
      <c r="K69" s="4" t="n">
        <v>2029</v>
      </c>
      <c r="L69" s="4" t="n">
        <v>7</v>
      </c>
      <c r="M69" s="4" t="n">
        <v>0</v>
      </c>
      <c r="N69" s="4" t="n">
        <v>0</v>
      </c>
      <c r="O69" s="4" t="n">
        <v>0</v>
      </c>
    </row>
    <row r="70" customFormat="false" ht="15" hidden="false" customHeight="false" outlineLevel="0" collapsed="false">
      <c r="A70" s="4" t="s">
        <v>24</v>
      </c>
      <c r="B70" s="4" t="s">
        <v>37</v>
      </c>
      <c r="C70" s="4" t="n">
        <v>0</v>
      </c>
      <c r="D70" s="4"/>
      <c r="E70" s="4" t="s">
        <v>75</v>
      </c>
      <c r="F70" s="4"/>
      <c r="G70" s="4" t="n">
        <v>10</v>
      </c>
      <c r="H70" s="4" t="n">
        <v>114</v>
      </c>
      <c r="I70" s="4" t="n">
        <v>2019</v>
      </c>
      <c r="J70" s="4" t="n">
        <v>0</v>
      </c>
      <c r="K70" s="4" t="n">
        <v>2030</v>
      </c>
      <c r="L70" s="4" t="n">
        <v>8</v>
      </c>
      <c r="M70" s="4" t="n">
        <v>0</v>
      </c>
      <c r="N70" s="4" t="n">
        <v>0</v>
      </c>
      <c r="O70" s="4" t="n">
        <v>0</v>
      </c>
    </row>
    <row r="71" customFormat="false" ht="15" hidden="false" customHeight="false" outlineLevel="0" collapsed="false">
      <c r="A71" s="4" t="s">
        <v>24</v>
      </c>
      <c r="B71" s="4" t="s">
        <v>37</v>
      </c>
      <c r="C71" s="4" t="n">
        <v>0</v>
      </c>
      <c r="D71" s="4"/>
      <c r="E71" s="4" t="s">
        <v>75</v>
      </c>
      <c r="F71" s="4"/>
      <c r="G71" s="4" t="n">
        <v>10</v>
      </c>
      <c r="H71" s="4" t="n">
        <v>114</v>
      </c>
      <c r="I71" s="4" t="n">
        <v>2019</v>
      </c>
      <c r="J71" s="4" t="n">
        <v>0</v>
      </c>
      <c r="K71" s="4" t="n">
        <v>2031</v>
      </c>
      <c r="L71" s="4" t="n">
        <v>9</v>
      </c>
      <c r="M71" s="4" t="n">
        <v>0</v>
      </c>
      <c r="N71" s="4" t="n">
        <v>0</v>
      </c>
      <c r="O71" s="4" t="n">
        <v>0</v>
      </c>
    </row>
    <row r="72" customFormat="false" ht="15" hidden="false" customHeight="false" outlineLevel="0" collapsed="false">
      <c r="A72" s="4" t="s">
        <v>24</v>
      </c>
      <c r="B72" s="4" t="s">
        <v>39</v>
      </c>
      <c r="C72" s="4" t="n">
        <v>0</v>
      </c>
      <c r="D72" s="4"/>
      <c r="E72" s="4" t="s">
        <v>75</v>
      </c>
      <c r="F72" s="4"/>
      <c r="G72" s="4" t="n">
        <v>8</v>
      </c>
      <c r="H72" s="4" t="n">
        <v>96</v>
      </c>
      <c r="I72" s="4" t="n">
        <v>2019</v>
      </c>
      <c r="J72" s="4" t="n">
        <v>0</v>
      </c>
      <c r="K72" s="4" t="n">
        <v>2025</v>
      </c>
      <c r="L72" s="4" t="n">
        <v>3</v>
      </c>
      <c r="M72" s="4" t="n">
        <v>0</v>
      </c>
      <c r="N72" s="4" t="n">
        <v>0</v>
      </c>
      <c r="O72" s="4" t="n">
        <v>0</v>
      </c>
    </row>
    <row r="73" customFormat="false" ht="15" hidden="false" customHeight="false" outlineLevel="0" collapsed="false">
      <c r="A73" s="4" t="s">
        <v>24</v>
      </c>
      <c r="B73" s="4" t="s">
        <v>39</v>
      </c>
      <c r="C73" s="4" t="n">
        <v>0</v>
      </c>
      <c r="D73" s="4"/>
      <c r="E73" s="4" t="s">
        <v>75</v>
      </c>
      <c r="F73" s="4"/>
      <c r="G73" s="4" t="n">
        <v>8</v>
      </c>
      <c r="H73" s="4" t="n">
        <v>96</v>
      </c>
      <c r="I73" s="4" t="n">
        <v>2019</v>
      </c>
      <c r="J73" s="4" t="n">
        <v>0</v>
      </c>
      <c r="K73" s="4" t="n">
        <v>2026</v>
      </c>
      <c r="L73" s="4" t="n">
        <v>4</v>
      </c>
      <c r="M73" s="4" t="n">
        <v>0</v>
      </c>
      <c r="N73" s="4" t="n">
        <v>0</v>
      </c>
      <c r="O73" s="4" t="n">
        <v>0</v>
      </c>
    </row>
    <row r="74" customFormat="false" ht="15" hidden="false" customHeight="false" outlineLevel="0" collapsed="false">
      <c r="A74" s="4" t="s">
        <v>24</v>
      </c>
      <c r="B74" s="4" t="s">
        <v>39</v>
      </c>
      <c r="C74" s="4" t="n">
        <v>0</v>
      </c>
      <c r="D74" s="4"/>
      <c r="E74" s="4" t="s">
        <v>75</v>
      </c>
      <c r="F74" s="4"/>
      <c r="G74" s="4" t="n">
        <v>8</v>
      </c>
      <c r="H74" s="4" t="n">
        <v>96</v>
      </c>
      <c r="I74" s="4" t="n">
        <v>2019</v>
      </c>
      <c r="J74" s="4" t="n">
        <v>0</v>
      </c>
      <c r="K74" s="4" t="n">
        <v>2027</v>
      </c>
      <c r="L74" s="4" t="n">
        <v>5</v>
      </c>
      <c r="M74" s="4" t="n">
        <v>0</v>
      </c>
      <c r="N74" s="4" t="n">
        <v>0</v>
      </c>
      <c r="O74" s="4" t="n">
        <v>0</v>
      </c>
    </row>
    <row r="75" customFormat="false" ht="15" hidden="false" customHeight="false" outlineLevel="0" collapsed="false">
      <c r="A75" s="4" t="s">
        <v>24</v>
      </c>
      <c r="B75" s="4" t="s">
        <v>39</v>
      </c>
      <c r="C75" s="4" t="n">
        <v>0</v>
      </c>
      <c r="D75" s="4"/>
      <c r="E75" s="4" t="s">
        <v>75</v>
      </c>
      <c r="F75" s="4"/>
      <c r="G75" s="4" t="n">
        <v>8</v>
      </c>
      <c r="H75" s="4" t="n">
        <v>96</v>
      </c>
      <c r="I75" s="4" t="n">
        <v>2019</v>
      </c>
      <c r="J75" s="4" t="n">
        <v>0</v>
      </c>
      <c r="K75" s="4" t="n">
        <v>2028</v>
      </c>
      <c r="L75" s="4" t="n">
        <v>6</v>
      </c>
      <c r="M75" s="4" t="n">
        <v>0</v>
      </c>
      <c r="N75" s="4" t="n">
        <v>0</v>
      </c>
      <c r="O75" s="4" t="n">
        <v>0</v>
      </c>
    </row>
    <row r="76" customFormat="false" ht="15" hidden="false" customHeight="false" outlineLevel="0" collapsed="false">
      <c r="A76" s="4" t="s">
        <v>24</v>
      </c>
      <c r="B76" s="4" t="s">
        <v>39</v>
      </c>
      <c r="C76" s="4" t="n">
        <v>0</v>
      </c>
      <c r="D76" s="4"/>
      <c r="E76" s="4" t="s">
        <v>75</v>
      </c>
      <c r="F76" s="4"/>
      <c r="G76" s="4" t="n">
        <v>8</v>
      </c>
      <c r="H76" s="4" t="n">
        <v>96</v>
      </c>
      <c r="I76" s="4" t="n">
        <v>2019</v>
      </c>
      <c r="J76" s="4" t="n">
        <v>0</v>
      </c>
      <c r="K76" s="4" t="n">
        <v>2029</v>
      </c>
      <c r="L76" s="4" t="n">
        <v>7</v>
      </c>
      <c r="M76" s="4" t="n">
        <v>0</v>
      </c>
      <c r="N76" s="4" t="n">
        <v>0</v>
      </c>
      <c r="O76" s="4" t="n">
        <v>0</v>
      </c>
    </row>
    <row r="77" customFormat="false" ht="15" hidden="false" customHeight="false" outlineLevel="0" collapsed="false">
      <c r="A77" s="4" t="s">
        <v>24</v>
      </c>
      <c r="B77" s="4" t="s">
        <v>39</v>
      </c>
      <c r="C77" s="4" t="n">
        <v>0</v>
      </c>
      <c r="D77" s="4"/>
      <c r="E77" s="4" t="s">
        <v>75</v>
      </c>
      <c r="F77" s="4"/>
      <c r="G77" s="4" t="n">
        <v>8</v>
      </c>
      <c r="H77" s="4" t="n">
        <v>96</v>
      </c>
      <c r="I77" s="4" t="n">
        <v>2019</v>
      </c>
      <c r="J77" s="4" t="n">
        <v>0</v>
      </c>
      <c r="K77" s="4" t="n">
        <v>2030</v>
      </c>
      <c r="L77" s="4" t="n">
        <v>8</v>
      </c>
      <c r="M77" s="4" t="n">
        <v>0</v>
      </c>
      <c r="N77" s="4" t="n">
        <v>0</v>
      </c>
      <c r="O77" s="4" t="n">
        <v>0</v>
      </c>
    </row>
    <row r="78" customFormat="false" ht="15" hidden="false" customHeight="false" outlineLevel="0" collapsed="false">
      <c r="A78" s="4" t="s">
        <v>24</v>
      </c>
      <c r="B78" s="4" t="s">
        <v>39</v>
      </c>
      <c r="C78" s="4" t="n">
        <v>0</v>
      </c>
      <c r="D78" s="4"/>
      <c r="E78" s="4" t="s">
        <v>75</v>
      </c>
      <c r="F78" s="4"/>
      <c r="G78" s="4" t="n">
        <v>8</v>
      </c>
      <c r="H78" s="4" t="n">
        <v>96</v>
      </c>
      <c r="I78" s="4" t="n">
        <v>2019</v>
      </c>
      <c r="J78" s="4" t="n">
        <v>0</v>
      </c>
      <c r="K78" s="4" t="n">
        <v>2031</v>
      </c>
      <c r="L78" s="4" t="n">
        <v>9</v>
      </c>
      <c r="M78" s="4" t="n">
        <v>0</v>
      </c>
      <c r="N78" s="4" t="n">
        <v>0</v>
      </c>
      <c r="O78" s="4" t="n">
        <v>0</v>
      </c>
    </row>
    <row r="79" customFormat="false" ht="15" hidden="false" customHeight="false" outlineLevel="0" collapsed="false">
      <c r="A79" s="4" t="s">
        <v>24</v>
      </c>
      <c r="B79" s="4" t="s">
        <v>40</v>
      </c>
      <c r="C79" s="4" t="n">
        <v>-0.545</v>
      </c>
      <c r="D79" s="4" t="n">
        <v>0.516</v>
      </c>
      <c r="E79" s="4" t="s">
        <v>75</v>
      </c>
      <c r="F79" s="4" t="n">
        <v>0.055</v>
      </c>
      <c r="G79" s="4" t="n">
        <v>10</v>
      </c>
      <c r="H79" s="4" t="n">
        <v>704</v>
      </c>
      <c r="I79" s="4" t="n">
        <v>2016</v>
      </c>
      <c r="J79" s="4" t="n">
        <v>4.839</v>
      </c>
      <c r="K79" s="4" t="n">
        <v>2025</v>
      </c>
      <c r="L79" s="4" t="n">
        <v>3</v>
      </c>
      <c r="M79" s="4" t="n">
        <v>6.533</v>
      </c>
      <c r="N79" s="4" t="n">
        <v>0</v>
      </c>
      <c r="O79" s="4" t="n">
        <v>28.845</v>
      </c>
    </row>
    <row r="80" customFormat="false" ht="15" hidden="false" customHeight="false" outlineLevel="0" collapsed="false">
      <c r="A80" s="4" t="s">
        <v>24</v>
      </c>
      <c r="B80" s="4" t="s">
        <v>40</v>
      </c>
      <c r="C80" s="4" t="n">
        <v>-0.545</v>
      </c>
      <c r="D80" s="4" t="n">
        <v>0.516</v>
      </c>
      <c r="E80" s="4" t="s">
        <v>75</v>
      </c>
      <c r="F80" s="4" t="n">
        <v>0.055</v>
      </c>
      <c r="G80" s="4" t="n">
        <v>10</v>
      </c>
      <c r="H80" s="4" t="n">
        <v>704</v>
      </c>
      <c r="I80" s="4" t="n">
        <v>2016</v>
      </c>
      <c r="J80" s="4" t="n">
        <v>4.839</v>
      </c>
      <c r="K80" s="4" t="n">
        <v>2026</v>
      </c>
      <c r="L80" s="4" t="n">
        <v>4</v>
      </c>
      <c r="M80" s="4" t="n">
        <v>5.988</v>
      </c>
      <c r="N80" s="4" t="n">
        <v>0</v>
      </c>
      <c r="O80" s="4" t="n">
        <v>30.102</v>
      </c>
    </row>
    <row r="81" customFormat="false" ht="15" hidden="false" customHeight="false" outlineLevel="0" collapsed="false">
      <c r="A81" s="4" t="s">
        <v>24</v>
      </c>
      <c r="B81" s="4" t="s">
        <v>40</v>
      </c>
      <c r="C81" s="4" t="n">
        <v>-0.545</v>
      </c>
      <c r="D81" s="4" t="n">
        <v>0.516</v>
      </c>
      <c r="E81" s="4" t="s">
        <v>75</v>
      </c>
      <c r="F81" s="4" t="n">
        <v>0.055</v>
      </c>
      <c r="G81" s="4" t="n">
        <v>10</v>
      </c>
      <c r="H81" s="4" t="n">
        <v>704</v>
      </c>
      <c r="I81" s="4" t="n">
        <v>2016</v>
      </c>
      <c r="J81" s="4" t="n">
        <v>4.839</v>
      </c>
      <c r="K81" s="4" t="n">
        <v>2027</v>
      </c>
      <c r="L81" s="4" t="n">
        <v>5</v>
      </c>
      <c r="M81" s="4" t="n">
        <v>5.443</v>
      </c>
      <c r="N81" s="4" t="n">
        <v>0</v>
      </c>
      <c r="O81" s="4" t="n">
        <v>31.366</v>
      </c>
    </row>
    <row r="82" customFormat="false" ht="15" hidden="false" customHeight="false" outlineLevel="0" collapsed="false">
      <c r="A82" s="4" t="s">
        <v>24</v>
      </c>
      <c r="B82" s="4" t="s">
        <v>40</v>
      </c>
      <c r="C82" s="4" t="n">
        <v>-0.545</v>
      </c>
      <c r="D82" s="4" t="n">
        <v>0.516</v>
      </c>
      <c r="E82" s="4" t="s">
        <v>75</v>
      </c>
      <c r="F82" s="4" t="n">
        <v>0.055</v>
      </c>
      <c r="G82" s="4" t="n">
        <v>10</v>
      </c>
      <c r="H82" s="4" t="n">
        <v>704</v>
      </c>
      <c r="I82" s="4" t="n">
        <v>2016</v>
      </c>
      <c r="J82" s="4" t="n">
        <v>4.839</v>
      </c>
      <c r="K82" s="4" t="n">
        <v>2028</v>
      </c>
      <c r="L82" s="4" t="n">
        <v>6</v>
      </c>
      <c r="M82" s="4" t="n">
        <v>4.898</v>
      </c>
      <c r="N82" s="4" t="n">
        <v>0</v>
      </c>
      <c r="O82" s="4" t="n">
        <v>32.635</v>
      </c>
    </row>
    <row r="83" customFormat="false" ht="15" hidden="false" customHeight="false" outlineLevel="0" collapsed="false">
      <c r="A83" s="4" t="s">
        <v>24</v>
      </c>
      <c r="B83" s="4" t="s">
        <v>40</v>
      </c>
      <c r="C83" s="4" t="n">
        <v>-0.545</v>
      </c>
      <c r="D83" s="4" t="n">
        <v>0.516</v>
      </c>
      <c r="E83" s="4" t="s">
        <v>75</v>
      </c>
      <c r="F83" s="4" t="n">
        <v>0.055</v>
      </c>
      <c r="G83" s="4" t="n">
        <v>10</v>
      </c>
      <c r="H83" s="4" t="n">
        <v>704</v>
      </c>
      <c r="I83" s="4" t="n">
        <v>2016</v>
      </c>
      <c r="J83" s="4" t="n">
        <v>4.839</v>
      </c>
      <c r="K83" s="4" t="n">
        <v>2029</v>
      </c>
      <c r="L83" s="4" t="n">
        <v>7</v>
      </c>
      <c r="M83" s="4" t="n">
        <v>4.354</v>
      </c>
      <c r="N83" s="4" t="n">
        <v>0</v>
      </c>
      <c r="O83" s="4" t="n">
        <v>33.909</v>
      </c>
    </row>
    <row r="84" customFormat="false" ht="15" hidden="false" customHeight="false" outlineLevel="0" collapsed="false">
      <c r="A84" s="4" t="s">
        <v>24</v>
      </c>
      <c r="B84" s="4" t="s">
        <v>40</v>
      </c>
      <c r="C84" s="4" t="n">
        <v>-0.545</v>
      </c>
      <c r="D84" s="4" t="n">
        <v>0.516</v>
      </c>
      <c r="E84" s="4" t="s">
        <v>75</v>
      </c>
      <c r="F84" s="4" t="n">
        <v>0.055</v>
      </c>
      <c r="G84" s="4" t="n">
        <v>10</v>
      </c>
      <c r="H84" s="4" t="n">
        <v>704</v>
      </c>
      <c r="I84" s="4" t="n">
        <v>2016</v>
      </c>
      <c r="J84" s="4" t="n">
        <v>4.839</v>
      </c>
      <c r="K84" s="4" t="n">
        <v>2030</v>
      </c>
      <c r="L84" s="4" t="n">
        <v>8</v>
      </c>
      <c r="M84" s="4" t="n">
        <v>3.809</v>
      </c>
      <c r="N84" s="4" t="n">
        <v>0</v>
      </c>
      <c r="O84" s="4" t="n">
        <v>35.186</v>
      </c>
    </row>
    <row r="85" customFormat="false" ht="15" hidden="false" customHeight="false" outlineLevel="0" collapsed="false">
      <c r="A85" s="4" t="s">
        <v>24</v>
      </c>
      <c r="B85" s="4" t="s">
        <v>40</v>
      </c>
      <c r="C85" s="4" t="n">
        <v>-0.545</v>
      </c>
      <c r="D85" s="4" t="n">
        <v>0.516</v>
      </c>
      <c r="E85" s="4" t="s">
        <v>75</v>
      </c>
      <c r="F85" s="4" t="n">
        <v>0.055</v>
      </c>
      <c r="G85" s="4" t="n">
        <v>10</v>
      </c>
      <c r="H85" s="4" t="n">
        <v>704</v>
      </c>
      <c r="I85" s="4" t="n">
        <v>2016</v>
      </c>
      <c r="J85" s="4" t="n">
        <v>4.839</v>
      </c>
      <c r="K85" s="4" t="n">
        <v>2031</v>
      </c>
      <c r="L85" s="4" t="n">
        <v>9</v>
      </c>
      <c r="M85" s="4" t="n">
        <v>3.264</v>
      </c>
      <c r="N85" s="4" t="n">
        <v>0</v>
      </c>
      <c r="O85" s="4" t="n">
        <v>36.466</v>
      </c>
    </row>
    <row r="86" customFormat="false" ht="15" hidden="false" customHeight="false" outlineLevel="0" collapsed="false">
      <c r="A86" s="4" t="s">
        <v>24</v>
      </c>
      <c r="B86" s="4" t="s">
        <v>41</v>
      </c>
      <c r="C86" s="4" t="n">
        <v>1.735</v>
      </c>
      <c r="D86" s="4" t="n">
        <v>0.273</v>
      </c>
      <c r="E86" s="4" t="s">
        <v>75</v>
      </c>
      <c r="F86" s="4" t="n">
        <v>0.232</v>
      </c>
      <c r="G86" s="4" t="n">
        <v>7</v>
      </c>
      <c r="H86" s="4" t="n">
        <v>86</v>
      </c>
      <c r="I86" s="4" t="n">
        <v>2018</v>
      </c>
      <c r="J86" s="4" t="n">
        <v>100</v>
      </c>
      <c r="K86" s="4" t="n">
        <v>2025</v>
      </c>
      <c r="L86" s="4" t="n">
        <v>3</v>
      </c>
      <c r="M86" s="4" t="n">
        <v>100</v>
      </c>
      <c r="N86" s="4" t="n">
        <v>68.65</v>
      </c>
      <c r="O86" s="4" t="n">
        <v>100</v>
      </c>
    </row>
    <row r="87" customFormat="false" ht="15" hidden="false" customHeight="false" outlineLevel="0" collapsed="false">
      <c r="A87" s="4" t="s">
        <v>24</v>
      </c>
      <c r="B87" s="4" t="s">
        <v>41</v>
      </c>
      <c r="C87" s="4" t="n">
        <v>1.735</v>
      </c>
      <c r="D87" s="4" t="n">
        <v>0.273</v>
      </c>
      <c r="E87" s="4" t="s">
        <v>75</v>
      </c>
      <c r="F87" s="4" t="n">
        <v>0.232</v>
      </c>
      <c r="G87" s="4" t="n">
        <v>7</v>
      </c>
      <c r="H87" s="4" t="n">
        <v>86</v>
      </c>
      <c r="I87" s="4" t="n">
        <v>2018</v>
      </c>
      <c r="J87" s="4" t="n">
        <v>100</v>
      </c>
      <c r="K87" s="4" t="n">
        <v>2026</v>
      </c>
      <c r="L87" s="4" t="n">
        <v>4</v>
      </c>
      <c r="M87" s="4" t="n">
        <v>100</v>
      </c>
      <c r="N87" s="4" t="n">
        <v>66.806</v>
      </c>
      <c r="O87" s="4" t="n">
        <v>100</v>
      </c>
    </row>
    <row r="88" customFormat="false" ht="15" hidden="false" customHeight="false" outlineLevel="0" collapsed="false">
      <c r="A88" s="4" t="s">
        <v>24</v>
      </c>
      <c r="B88" s="4" t="s">
        <v>41</v>
      </c>
      <c r="C88" s="4" t="n">
        <v>1.735</v>
      </c>
      <c r="D88" s="4" t="n">
        <v>0.273</v>
      </c>
      <c r="E88" s="4" t="s">
        <v>75</v>
      </c>
      <c r="F88" s="4" t="n">
        <v>0.232</v>
      </c>
      <c r="G88" s="4" t="n">
        <v>7</v>
      </c>
      <c r="H88" s="4" t="n">
        <v>86</v>
      </c>
      <c r="I88" s="4" t="n">
        <v>2018</v>
      </c>
      <c r="J88" s="4" t="n">
        <v>100</v>
      </c>
      <c r="K88" s="4" t="n">
        <v>2027</v>
      </c>
      <c r="L88" s="4" t="n">
        <v>5</v>
      </c>
      <c r="M88" s="4" t="n">
        <v>100</v>
      </c>
      <c r="N88" s="4" t="n">
        <v>64.956</v>
      </c>
      <c r="O88" s="4" t="n">
        <v>100</v>
      </c>
    </row>
    <row r="89" customFormat="false" ht="15" hidden="false" customHeight="false" outlineLevel="0" collapsed="false">
      <c r="A89" s="4" t="s">
        <v>24</v>
      </c>
      <c r="B89" s="4" t="s">
        <v>41</v>
      </c>
      <c r="C89" s="4" t="n">
        <v>1.735</v>
      </c>
      <c r="D89" s="4" t="n">
        <v>0.273</v>
      </c>
      <c r="E89" s="4" t="s">
        <v>75</v>
      </c>
      <c r="F89" s="4" t="n">
        <v>0.232</v>
      </c>
      <c r="G89" s="4" t="n">
        <v>7</v>
      </c>
      <c r="H89" s="4" t="n">
        <v>86</v>
      </c>
      <c r="I89" s="4" t="n">
        <v>2018</v>
      </c>
      <c r="J89" s="4" t="n">
        <v>100</v>
      </c>
      <c r="K89" s="4" t="n">
        <v>2028</v>
      </c>
      <c r="L89" s="4" t="n">
        <v>6</v>
      </c>
      <c r="M89" s="4" t="n">
        <v>100</v>
      </c>
      <c r="N89" s="4" t="n">
        <v>63.1</v>
      </c>
      <c r="O89" s="4" t="n">
        <v>100</v>
      </c>
    </row>
    <row r="90" customFormat="false" ht="15" hidden="false" customHeight="false" outlineLevel="0" collapsed="false">
      <c r="A90" s="4" t="s">
        <v>24</v>
      </c>
      <c r="B90" s="4" t="s">
        <v>41</v>
      </c>
      <c r="C90" s="4" t="n">
        <v>1.735</v>
      </c>
      <c r="D90" s="4" t="n">
        <v>0.273</v>
      </c>
      <c r="E90" s="4" t="s">
        <v>75</v>
      </c>
      <c r="F90" s="4" t="n">
        <v>0.232</v>
      </c>
      <c r="G90" s="4" t="n">
        <v>7</v>
      </c>
      <c r="H90" s="4" t="n">
        <v>86</v>
      </c>
      <c r="I90" s="4" t="n">
        <v>2018</v>
      </c>
      <c r="J90" s="4" t="n">
        <v>100</v>
      </c>
      <c r="K90" s="4" t="n">
        <v>2029</v>
      </c>
      <c r="L90" s="4" t="n">
        <v>7</v>
      </c>
      <c r="M90" s="4" t="n">
        <v>100</v>
      </c>
      <c r="N90" s="4" t="n">
        <v>61.24</v>
      </c>
      <c r="O90" s="4" t="n">
        <v>100</v>
      </c>
    </row>
    <row r="91" customFormat="false" ht="15" hidden="false" customHeight="false" outlineLevel="0" collapsed="false">
      <c r="A91" s="4" t="s">
        <v>24</v>
      </c>
      <c r="B91" s="4" t="s">
        <v>41</v>
      </c>
      <c r="C91" s="4" t="n">
        <v>1.735</v>
      </c>
      <c r="D91" s="4" t="n">
        <v>0.273</v>
      </c>
      <c r="E91" s="4" t="s">
        <v>75</v>
      </c>
      <c r="F91" s="4" t="n">
        <v>0.232</v>
      </c>
      <c r="G91" s="4" t="n">
        <v>7</v>
      </c>
      <c r="H91" s="4" t="n">
        <v>86</v>
      </c>
      <c r="I91" s="4" t="n">
        <v>2018</v>
      </c>
      <c r="J91" s="4" t="n">
        <v>100</v>
      </c>
      <c r="K91" s="4" t="n">
        <v>2030</v>
      </c>
      <c r="L91" s="4" t="n">
        <v>8</v>
      </c>
      <c r="M91" s="4" t="n">
        <v>100</v>
      </c>
      <c r="N91" s="4" t="n">
        <v>59.377</v>
      </c>
      <c r="O91" s="4" t="n">
        <v>100</v>
      </c>
    </row>
    <row r="92" customFormat="false" ht="15" hidden="false" customHeight="false" outlineLevel="0" collapsed="false">
      <c r="A92" s="4" t="s">
        <v>24</v>
      </c>
      <c r="B92" s="4" t="s">
        <v>41</v>
      </c>
      <c r="C92" s="4" t="n">
        <v>1.735</v>
      </c>
      <c r="D92" s="4" t="n">
        <v>0.273</v>
      </c>
      <c r="E92" s="4" t="s">
        <v>75</v>
      </c>
      <c r="F92" s="4" t="n">
        <v>0.232</v>
      </c>
      <c r="G92" s="4" t="n">
        <v>7</v>
      </c>
      <c r="H92" s="4" t="n">
        <v>86</v>
      </c>
      <c r="I92" s="4" t="n">
        <v>2018</v>
      </c>
      <c r="J92" s="4" t="n">
        <v>100</v>
      </c>
      <c r="K92" s="4" t="n">
        <v>2031</v>
      </c>
      <c r="L92" s="4" t="n">
        <v>9</v>
      </c>
      <c r="M92" s="4" t="n">
        <v>100</v>
      </c>
      <c r="N92" s="4" t="n">
        <v>57.511</v>
      </c>
      <c r="O92" s="4" t="n">
        <v>100</v>
      </c>
    </row>
    <row r="93" customFormat="false" ht="15" hidden="false" customHeight="false" outlineLevel="0" collapsed="false">
      <c r="A93" s="4" t="s">
        <v>24</v>
      </c>
      <c r="B93" s="4" t="s">
        <v>45</v>
      </c>
      <c r="C93" s="4" t="n">
        <v>0.283</v>
      </c>
      <c r="D93" s="4" t="n">
        <v>0.854</v>
      </c>
      <c r="E93" s="4" t="s">
        <v>75</v>
      </c>
      <c r="F93" s="4" t="n">
        <v>0.004</v>
      </c>
      <c r="G93" s="4" t="n">
        <v>11</v>
      </c>
      <c r="H93" s="4" t="n">
        <v>344</v>
      </c>
      <c r="I93" s="4" t="n">
        <v>2019</v>
      </c>
      <c r="J93" s="4" t="n">
        <v>0</v>
      </c>
      <c r="K93" s="4" t="n">
        <v>2025</v>
      </c>
      <c r="L93" s="4" t="n">
        <v>3</v>
      </c>
      <c r="M93" s="4" t="n">
        <v>41.824</v>
      </c>
      <c r="N93" s="4" t="n">
        <v>2.749</v>
      </c>
      <c r="O93" s="4" t="n">
        <v>80.898</v>
      </c>
    </row>
    <row r="94" customFormat="false" ht="15" hidden="false" customHeight="false" outlineLevel="0" collapsed="false">
      <c r="A94" s="4" t="s">
        <v>24</v>
      </c>
      <c r="B94" s="4" t="s">
        <v>45</v>
      </c>
      <c r="C94" s="4" t="n">
        <v>0.283</v>
      </c>
      <c r="D94" s="4" t="n">
        <v>0.854</v>
      </c>
      <c r="E94" s="4" t="s">
        <v>75</v>
      </c>
      <c r="F94" s="4" t="n">
        <v>0.004</v>
      </c>
      <c r="G94" s="4" t="n">
        <v>11</v>
      </c>
      <c r="H94" s="4" t="n">
        <v>344</v>
      </c>
      <c r="I94" s="4" t="n">
        <v>2019</v>
      </c>
      <c r="J94" s="4" t="n">
        <v>0</v>
      </c>
      <c r="K94" s="4" t="n">
        <v>2026</v>
      </c>
      <c r="L94" s="4" t="n">
        <v>4</v>
      </c>
      <c r="M94" s="4" t="n">
        <v>42.107</v>
      </c>
      <c r="N94" s="4" t="n">
        <v>0</v>
      </c>
      <c r="O94" s="4" t="n">
        <v>84.45</v>
      </c>
    </row>
    <row r="95" customFormat="false" ht="15" hidden="false" customHeight="false" outlineLevel="0" collapsed="false">
      <c r="A95" s="4" t="s">
        <v>24</v>
      </c>
      <c r="B95" s="4" t="s">
        <v>45</v>
      </c>
      <c r="C95" s="4" t="n">
        <v>0.283</v>
      </c>
      <c r="D95" s="4" t="n">
        <v>0.854</v>
      </c>
      <c r="E95" s="4" t="s">
        <v>75</v>
      </c>
      <c r="F95" s="4" t="n">
        <v>0.004</v>
      </c>
      <c r="G95" s="4" t="n">
        <v>11</v>
      </c>
      <c r="H95" s="4" t="n">
        <v>344</v>
      </c>
      <c r="I95" s="4" t="n">
        <v>2019</v>
      </c>
      <c r="J95" s="4" t="n">
        <v>0</v>
      </c>
      <c r="K95" s="4" t="n">
        <v>2027</v>
      </c>
      <c r="L95" s="4" t="n">
        <v>5</v>
      </c>
      <c r="M95" s="4" t="n">
        <v>42.39</v>
      </c>
      <c r="N95" s="4" t="n">
        <v>0</v>
      </c>
      <c r="O95" s="4" t="n">
        <v>88.018</v>
      </c>
    </row>
    <row r="96" customFormat="false" ht="15" hidden="false" customHeight="false" outlineLevel="0" collapsed="false">
      <c r="A96" s="4" t="s">
        <v>24</v>
      </c>
      <c r="B96" s="4" t="s">
        <v>45</v>
      </c>
      <c r="C96" s="4" t="n">
        <v>0.283</v>
      </c>
      <c r="D96" s="4" t="n">
        <v>0.854</v>
      </c>
      <c r="E96" s="4" t="s">
        <v>75</v>
      </c>
      <c r="F96" s="4" t="n">
        <v>0.004</v>
      </c>
      <c r="G96" s="4" t="n">
        <v>11</v>
      </c>
      <c r="H96" s="4" t="n">
        <v>344</v>
      </c>
      <c r="I96" s="4" t="n">
        <v>2019</v>
      </c>
      <c r="J96" s="4" t="n">
        <v>0</v>
      </c>
      <c r="K96" s="4" t="n">
        <v>2028</v>
      </c>
      <c r="L96" s="4" t="n">
        <v>6</v>
      </c>
      <c r="M96" s="4" t="n">
        <v>42.674</v>
      </c>
      <c r="N96" s="4" t="n">
        <v>0</v>
      </c>
      <c r="O96" s="4" t="n">
        <v>91.599</v>
      </c>
    </row>
    <row r="97" customFormat="false" ht="15" hidden="false" customHeight="false" outlineLevel="0" collapsed="false">
      <c r="A97" s="4" t="s">
        <v>24</v>
      </c>
      <c r="B97" s="4" t="s">
        <v>45</v>
      </c>
      <c r="C97" s="4" t="n">
        <v>0.283</v>
      </c>
      <c r="D97" s="4" t="n">
        <v>0.854</v>
      </c>
      <c r="E97" s="4" t="s">
        <v>75</v>
      </c>
      <c r="F97" s="4" t="n">
        <v>0.004</v>
      </c>
      <c r="G97" s="4" t="n">
        <v>11</v>
      </c>
      <c r="H97" s="4" t="n">
        <v>344</v>
      </c>
      <c r="I97" s="4" t="n">
        <v>2019</v>
      </c>
      <c r="J97" s="4" t="n">
        <v>0</v>
      </c>
      <c r="K97" s="4" t="n">
        <v>2029</v>
      </c>
      <c r="L97" s="4" t="n">
        <v>7</v>
      </c>
      <c r="M97" s="4" t="n">
        <v>42.957</v>
      </c>
      <c r="N97" s="4" t="n">
        <v>0</v>
      </c>
      <c r="O97" s="4" t="n">
        <v>95.191</v>
      </c>
    </row>
    <row r="98" customFormat="false" ht="15" hidden="false" customHeight="false" outlineLevel="0" collapsed="false">
      <c r="A98" s="4" t="s">
        <v>24</v>
      </c>
      <c r="B98" s="4" t="s">
        <v>45</v>
      </c>
      <c r="C98" s="4" t="n">
        <v>0.283</v>
      </c>
      <c r="D98" s="4" t="n">
        <v>0.854</v>
      </c>
      <c r="E98" s="4" t="s">
        <v>75</v>
      </c>
      <c r="F98" s="4" t="n">
        <v>0.004</v>
      </c>
      <c r="G98" s="4" t="n">
        <v>11</v>
      </c>
      <c r="H98" s="4" t="n">
        <v>344</v>
      </c>
      <c r="I98" s="4" t="n">
        <v>2019</v>
      </c>
      <c r="J98" s="4" t="n">
        <v>0</v>
      </c>
      <c r="K98" s="4" t="n">
        <v>2030</v>
      </c>
      <c r="L98" s="4" t="n">
        <v>8</v>
      </c>
      <c r="M98" s="4" t="n">
        <v>43.241</v>
      </c>
      <c r="N98" s="4" t="n">
        <v>0</v>
      </c>
      <c r="O98" s="4" t="n">
        <v>98.791</v>
      </c>
    </row>
    <row r="99" customFormat="false" ht="15" hidden="false" customHeight="false" outlineLevel="0" collapsed="false">
      <c r="A99" s="4" t="s">
        <v>24</v>
      </c>
      <c r="B99" s="4" t="s">
        <v>45</v>
      </c>
      <c r="C99" s="4" t="n">
        <v>0.283</v>
      </c>
      <c r="D99" s="4" t="n">
        <v>0.854</v>
      </c>
      <c r="E99" s="4" t="s">
        <v>75</v>
      </c>
      <c r="F99" s="4" t="n">
        <v>0.004</v>
      </c>
      <c r="G99" s="4" t="n">
        <v>11</v>
      </c>
      <c r="H99" s="4" t="n">
        <v>344</v>
      </c>
      <c r="I99" s="4" t="n">
        <v>2019</v>
      </c>
      <c r="J99" s="4" t="n">
        <v>0</v>
      </c>
      <c r="K99" s="4" t="n">
        <v>2031</v>
      </c>
      <c r="L99" s="4" t="n">
        <v>9</v>
      </c>
      <c r="M99" s="4" t="n">
        <v>43.524</v>
      </c>
      <c r="N99" s="4" t="n">
        <v>0</v>
      </c>
      <c r="O99" s="4" t="n">
        <v>100</v>
      </c>
    </row>
    <row r="100" customFormat="false" ht="15" hidden="false" customHeight="false" outlineLevel="0" collapsed="false">
      <c r="A100" s="4" t="s">
        <v>24</v>
      </c>
      <c r="B100" s="4" t="s">
        <v>47</v>
      </c>
      <c r="C100" s="4" t="n">
        <v>-1.493</v>
      </c>
      <c r="D100" s="4" t="n">
        <v>0.123</v>
      </c>
      <c r="E100" s="4" t="s">
        <v>75</v>
      </c>
      <c r="F100" s="4" t="n">
        <v>0.134</v>
      </c>
      <c r="G100" s="4" t="n">
        <v>19</v>
      </c>
      <c r="H100" s="4" t="n">
        <v>1326</v>
      </c>
      <c r="I100" s="4" t="n">
        <v>2019</v>
      </c>
      <c r="J100" s="4" t="n">
        <v>100</v>
      </c>
      <c r="K100" s="4" t="n">
        <v>2025</v>
      </c>
      <c r="L100" s="4" t="n">
        <v>3</v>
      </c>
      <c r="M100" s="4" t="n">
        <v>13.703</v>
      </c>
      <c r="N100" s="4" t="n">
        <v>0</v>
      </c>
      <c r="O100" s="4" t="n">
        <v>42.764</v>
      </c>
    </row>
    <row r="101" customFormat="false" ht="15" hidden="false" customHeight="false" outlineLevel="0" collapsed="false">
      <c r="A101" s="4" t="s">
        <v>24</v>
      </c>
      <c r="B101" s="4" t="s">
        <v>47</v>
      </c>
      <c r="C101" s="4" t="n">
        <v>-1.493</v>
      </c>
      <c r="D101" s="4" t="n">
        <v>0.123</v>
      </c>
      <c r="E101" s="4" t="s">
        <v>75</v>
      </c>
      <c r="F101" s="4" t="n">
        <v>0.134</v>
      </c>
      <c r="G101" s="4" t="n">
        <v>19</v>
      </c>
      <c r="H101" s="4" t="n">
        <v>1326</v>
      </c>
      <c r="I101" s="4" t="n">
        <v>2019</v>
      </c>
      <c r="J101" s="4" t="n">
        <v>100</v>
      </c>
      <c r="K101" s="4" t="n">
        <v>2026</v>
      </c>
      <c r="L101" s="4" t="n">
        <v>4</v>
      </c>
      <c r="M101" s="4" t="n">
        <v>12.21</v>
      </c>
      <c r="N101" s="4" t="n">
        <v>0</v>
      </c>
      <c r="O101" s="4" t="n">
        <v>43.128</v>
      </c>
    </row>
    <row r="102" customFormat="false" ht="15" hidden="false" customHeight="false" outlineLevel="0" collapsed="false">
      <c r="A102" s="4" t="s">
        <v>24</v>
      </c>
      <c r="B102" s="4" t="s">
        <v>47</v>
      </c>
      <c r="C102" s="4" t="n">
        <v>-1.493</v>
      </c>
      <c r="D102" s="4" t="n">
        <v>0.123</v>
      </c>
      <c r="E102" s="4" t="s">
        <v>75</v>
      </c>
      <c r="F102" s="4" t="n">
        <v>0.134</v>
      </c>
      <c r="G102" s="4" t="n">
        <v>19</v>
      </c>
      <c r="H102" s="4" t="n">
        <v>1326</v>
      </c>
      <c r="I102" s="4" t="n">
        <v>2019</v>
      </c>
      <c r="J102" s="4" t="n">
        <v>100</v>
      </c>
      <c r="K102" s="4" t="n">
        <v>2027</v>
      </c>
      <c r="L102" s="4" t="n">
        <v>5</v>
      </c>
      <c r="M102" s="4" t="n">
        <v>10.717</v>
      </c>
      <c r="N102" s="4" t="n">
        <v>0</v>
      </c>
      <c r="O102" s="4" t="n">
        <v>43.501</v>
      </c>
    </row>
    <row r="103" customFormat="false" ht="15" hidden="false" customHeight="false" outlineLevel="0" collapsed="false">
      <c r="A103" s="4" t="s">
        <v>24</v>
      </c>
      <c r="B103" s="4" t="s">
        <v>47</v>
      </c>
      <c r="C103" s="4" t="n">
        <v>-1.493</v>
      </c>
      <c r="D103" s="4" t="n">
        <v>0.123</v>
      </c>
      <c r="E103" s="4" t="s">
        <v>75</v>
      </c>
      <c r="F103" s="4" t="n">
        <v>0.134</v>
      </c>
      <c r="G103" s="4" t="n">
        <v>19</v>
      </c>
      <c r="H103" s="4" t="n">
        <v>1326</v>
      </c>
      <c r="I103" s="4" t="n">
        <v>2019</v>
      </c>
      <c r="J103" s="4" t="n">
        <v>100</v>
      </c>
      <c r="K103" s="4" t="n">
        <v>2028</v>
      </c>
      <c r="L103" s="4" t="n">
        <v>6</v>
      </c>
      <c r="M103" s="4" t="n">
        <v>9.224</v>
      </c>
      <c r="N103" s="4" t="n">
        <v>0</v>
      </c>
      <c r="O103" s="4" t="n">
        <v>43.882</v>
      </c>
    </row>
    <row r="104" customFormat="false" ht="15" hidden="false" customHeight="false" outlineLevel="0" collapsed="false">
      <c r="A104" s="4" t="s">
        <v>24</v>
      </c>
      <c r="B104" s="4" t="s">
        <v>47</v>
      </c>
      <c r="C104" s="4" t="n">
        <v>-1.493</v>
      </c>
      <c r="D104" s="4" t="n">
        <v>0.123</v>
      </c>
      <c r="E104" s="4" t="s">
        <v>75</v>
      </c>
      <c r="F104" s="4" t="n">
        <v>0.134</v>
      </c>
      <c r="G104" s="4" t="n">
        <v>19</v>
      </c>
      <c r="H104" s="4" t="n">
        <v>1326</v>
      </c>
      <c r="I104" s="4" t="n">
        <v>2019</v>
      </c>
      <c r="J104" s="4" t="n">
        <v>100</v>
      </c>
      <c r="K104" s="4" t="n">
        <v>2029</v>
      </c>
      <c r="L104" s="4" t="n">
        <v>7</v>
      </c>
      <c r="M104" s="4" t="n">
        <v>7.73</v>
      </c>
      <c r="N104" s="4" t="n">
        <v>0</v>
      </c>
      <c r="O104" s="4" t="n">
        <v>44.27</v>
      </c>
    </row>
    <row r="105" customFormat="false" ht="15" hidden="false" customHeight="false" outlineLevel="0" collapsed="false">
      <c r="A105" s="4" t="s">
        <v>24</v>
      </c>
      <c r="B105" s="4" t="s">
        <v>47</v>
      </c>
      <c r="C105" s="4" t="n">
        <v>-1.493</v>
      </c>
      <c r="D105" s="4" t="n">
        <v>0.123</v>
      </c>
      <c r="E105" s="4" t="s">
        <v>75</v>
      </c>
      <c r="F105" s="4" t="n">
        <v>0.134</v>
      </c>
      <c r="G105" s="4" t="n">
        <v>19</v>
      </c>
      <c r="H105" s="4" t="n">
        <v>1326</v>
      </c>
      <c r="I105" s="4" t="n">
        <v>2019</v>
      </c>
      <c r="J105" s="4" t="n">
        <v>100</v>
      </c>
      <c r="K105" s="4" t="n">
        <v>2030</v>
      </c>
      <c r="L105" s="4" t="n">
        <v>8</v>
      </c>
      <c r="M105" s="4" t="n">
        <v>6.237</v>
      </c>
      <c r="N105" s="4" t="n">
        <v>0</v>
      </c>
      <c r="O105" s="4" t="n">
        <v>44.664</v>
      </c>
    </row>
    <row r="106" customFormat="false" ht="15" hidden="false" customHeight="false" outlineLevel="0" collapsed="false">
      <c r="A106" s="4" t="s">
        <v>24</v>
      </c>
      <c r="B106" s="4" t="s">
        <v>47</v>
      </c>
      <c r="C106" s="4" t="n">
        <v>-1.493</v>
      </c>
      <c r="D106" s="4" t="n">
        <v>0.123</v>
      </c>
      <c r="E106" s="4" t="s">
        <v>75</v>
      </c>
      <c r="F106" s="4" t="n">
        <v>0.134</v>
      </c>
      <c r="G106" s="4" t="n">
        <v>19</v>
      </c>
      <c r="H106" s="4" t="n">
        <v>1326</v>
      </c>
      <c r="I106" s="4" t="n">
        <v>2019</v>
      </c>
      <c r="J106" s="4" t="n">
        <v>100</v>
      </c>
      <c r="K106" s="4" t="n">
        <v>2031</v>
      </c>
      <c r="L106" s="4" t="n">
        <v>9</v>
      </c>
      <c r="M106" s="4" t="n">
        <v>4.744</v>
      </c>
      <c r="N106" s="4" t="n">
        <v>0</v>
      </c>
      <c r="O106" s="4" t="n">
        <v>45.063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9" min="3" style="0" width="10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customFormat="false" ht="15" hidden="false" customHeight="false" outlineLevel="0" collapsed="false">
      <c r="A2" s="4" t="s">
        <v>24</v>
      </c>
      <c r="B2" s="4" t="s">
        <v>26</v>
      </c>
      <c r="C2" s="4" t="n">
        <v>21.779</v>
      </c>
      <c r="D2" s="4" t="n">
        <v>20.686</v>
      </c>
      <c r="E2" s="4" t="n">
        <v>19.593</v>
      </c>
      <c r="F2" s="4" t="n">
        <v>18.5</v>
      </c>
      <c r="G2" s="4" t="n">
        <v>17.407</v>
      </c>
      <c r="H2" s="4" t="n">
        <v>16.314</v>
      </c>
      <c r="I2" s="4" t="n">
        <v>15.221</v>
      </c>
    </row>
    <row r="3" customFormat="false" ht="15" hidden="false" customHeight="false" outlineLevel="0" collapsed="false">
      <c r="A3" s="4" t="s">
        <v>24</v>
      </c>
      <c r="B3" s="4" t="s">
        <v>27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 customFormat="false" ht="15" hidden="false" customHeight="false" outlineLevel="0" collapsed="false">
      <c r="A4" s="4" t="s">
        <v>24</v>
      </c>
      <c r="B4" s="4" t="s">
        <v>28</v>
      </c>
      <c r="C4" s="4" t="n">
        <v>0.978</v>
      </c>
      <c r="D4" s="4" t="n">
        <v>0.824</v>
      </c>
      <c r="E4" s="4" t="n">
        <v>0.67</v>
      </c>
      <c r="F4" s="4" t="n">
        <v>0.517</v>
      </c>
      <c r="G4" s="4" t="n">
        <v>0.363</v>
      </c>
      <c r="H4" s="4" t="n">
        <v>0.209</v>
      </c>
      <c r="I4" s="4" t="n">
        <v>0.055</v>
      </c>
    </row>
    <row r="5" customFormat="false" ht="15" hidden="false" customHeight="false" outlineLevel="0" collapsed="false">
      <c r="A5" s="4" t="s">
        <v>24</v>
      </c>
      <c r="B5" s="4" t="s">
        <v>31</v>
      </c>
      <c r="C5" s="4" t="n">
        <v>4.813</v>
      </c>
      <c r="D5" s="4" t="n">
        <v>5.141</v>
      </c>
      <c r="E5" s="4" t="n">
        <v>5.47</v>
      </c>
      <c r="F5" s="4" t="n">
        <v>5.798</v>
      </c>
      <c r="G5" s="4" t="n">
        <v>6.127</v>
      </c>
      <c r="H5" s="4" t="n">
        <v>6.455</v>
      </c>
      <c r="I5" s="4" t="n">
        <v>6.784</v>
      </c>
    </row>
    <row r="6" customFormat="false" ht="15" hidden="false" customHeight="false" outlineLevel="0" collapsed="false">
      <c r="A6" s="4" t="s">
        <v>24</v>
      </c>
      <c r="B6" s="4" t="s">
        <v>32</v>
      </c>
      <c r="C6" s="4" t="n">
        <v>6.778</v>
      </c>
      <c r="D6" s="4" t="n">
        <v>7.131</v>
      </c>
      <c r="E6" s="4" t="n">
        <v>7.485</v>
      </c>
      <c r="F6" s="4" t="n">
        <v>7.838</v>
      </c>
      <c r="G6" s="4" t="n">
        <v>8.191</v>
      </c>
      <c r="H6" s="4" t="n">
        <v>8.545</v>
      </c>
      <c r="I6" s="4" t="n">
        <v>8.898</v>
      </c>
    </row>
    <row r="7" customFormat="false" ht="15" hidden="false" customHeight="false" outlineLevel="0" collapsed="false">
      <c r="A7" s="4" t="s">
        <v>24</v>
      </c>
      <c r="B7" s="4" t="s">
        <v>33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A8" s="4" t="s">
        <v>24</v>
      </c>
      <c r="B8" s="4" t="s">
        <v>34</v>
      </c>
      <c r="C8" s="4" t="n">
        <v>11.301</v>
      </c>
      <c r="D8" s="4" t="n">
        <v>9.671</v>
      </c>
      <c r="E8" s="4" t="n">
        <v>8.042</v>
      </c>
      <c r="F8" s="4" t="n">
        <v>6.412</v>
      </c>
      <c r="G8" s="4" t="n">
        <v>4.783</v>
      </c>
      <c r="H8" s="4" t="n">
        <v>3.153</v>
      </c>
      <c r="I8" s="4" t="n">
        <v>1.524</v>
      </c>
    </row>
    <row r="9" customFormat="false" ht="15" hidden="false" customHeight="false" outlineLevel="0" collapsed="false">
      <c r="A9" s="4" t="s">
        <v>24</v>
      </c>
      <c r="B9" s="4" t="s">
        <v>35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 customFormat="false" ht="15" hidden="false" customHeight="false" outlineLevel="0" collapsed="false">
      <c r="A10" s="4" t="s">
        <v>24</v>
      </c>
      <c r="B10" s="4" t="s">
        <v>36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  <row r="11" customFormat="false" ht="15" hidden="false" customHeight="false" outlineLevel="0" collapsed="false">
      <c r="A11" s="4" t="s">
        <v>24</v>
      </c>
      <c r="B11" s="4" t="s">
        <v>37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 customFormat="false" ht="15" hidden="false" customHeight="false" outlineLevel="0" collapsed="false">
      <c r="A12" s="4" t="s">
        <v>24</v>
      </c>
      <c r="B12" s="4" t="s">
        <v>39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 customFormat="false" ht="15" hidden="false" customHeight="false" outlineLevel="0" collapsed="false">
      <c r="A13" s="4" t="s">
        <v>24</v>
      </c>
      <c r="B13" s="4" t="s">
        <v>40</v>
      </c>
      <c r="C13" s="4" t="n">
        <v>6.533</v>
      </c>
      <c r="D13" s="4" t="n">
        <v>5.988</v>
      </c>
      <c r="E13" s="4" t="n">
        <v>5.443</v>
      </c>
      <c r="F13" s="4" t="n">
        <v>4.898</v>
      </c>
      <c r="G13" s="4" t="n">
        <v>4.354</v>
      </c>
      <c r="H13" s="4" t="n">
        <v>3.809</v>
      </c>
      <c r="I13" s="4" t="n">
        <v>3.264</v>
      </c>
    </row>
    <row r="14" customFormat="false" ht="15" hidden="false" customHeight="false" outlineLevel="0" collapsed="false">
      <c r="A14" s="4" t="s">
        <v>24</v>
      </c>
      <c r="B14" s="4" t="s">
        <v>41</v>
      </c>
      <c r="C14" s="4" t="n">
        <v>100</v>
      </c>
      <c r="D14" s="4" t="n">
        <v>100</v>
      </c>
      <c r="E14" s="4" t="n">
        <v>100</v>
      </c>
      <c r="F14" s="4" t="n">
        <v>100</v>
      </c>
      <c r="G14" s="4" t="n">
        <v>100</v>
      </c>
      <c r="H14" s="4" t="n">
        <v>100</v>
      </c>
      <c r="I14" s="4" t="n">
        <v>100</v>
      </c>
    </row>
    <row r="15" customFormat="false" ht="15" hidden="false" customHeight="false" outlineLevel="0" collapsed="false">
      <c r="A15" s="4" t="s">
        <v>24</v>
      </c>
      <c r="B15" s="4" t="s">
        <v>45</v>
      </c>
      <c r="C15" s="4" t="n">
        <v>41.824</v>
      </c>
      <c r="D15" s="4" t="n">
        <v>42.107</v>
      </c>
      <c r="E15" s="4" t="n">
        <v>42.39</v>
      </c>
      <c r="F15" s="4" t="n">
        <v>42.674</v>
      </c>
      <c r="G15" s="4" t="n">
        <v>42.957</v>
      </c>
      <c r="H15" s="4" t="n">
        <v>43.241</v>
      </c>
      <c r="I15" s="4" t="n">
        <v>43.524</v>
      </c>
    </row>
    <row r="16" customFormat="false" ht="15" hidden="false" customHeight="false" outlineLevel="0" collapsed="false">
      <c r="A16" s="4" t="s">
        <v>24</v>
      </c>
      <c r="B16" s="4" t="s">
        <v>47</v>
      </c>
      <c r="C16" s="4" t="n">
        <v>13.703</v>
      </c>
      <c r="D16" s="4" t="n">
        <v>12.21</v>
      </c>
      <c r="E16" s="4" t="n">
        <v>10.717</v>
      </c>
      <c r="F16" s="4" t="n">
        <v>9.224</v>
      </c>
      <c r="G16" s="4" t="n">
        <v>7.73</v>
      </c>
      <c r="H16" s="4" t="n">
        <v>6.237</v>
      </c>
      <c r="I16" s="4" t="n">
        <v>4.744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48</v>
      </c>
      <c r="B1" s="1" t="s">
        <v>49</v>
      </c>
    </row>
    <row r="2" customFormat="false" ht="15" hidden="false" customHeight="false" outlineLevel="0" collapsed="false">
      <c r="A2" s="1" t="s">
        <v>84</v>
      </c>
      <c r="B2" s="2" t="s">
        <v>85</v>
      </c>
    </row>
    <row r="3" customFormat="false" ht="39.55" hidden="false" customHeight="false" outlineLevel="0" collapsed="false">
      <c r="A3" s="1" t="s">
        <v>86</v>
      </c>
      <c r="B3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48</v>
      </c>
      <c r="B1" s="1" t="s">
        <v>49</v>
      </c>
    </row>
    <row r="2" customFormat="false" ht="26.85" hidden="false" customHeight="false" outlineLevel="0" collapsed="false">
      <c r="A2" s="1" t="s">
        <v>87</v>
      </c>
      <c r="B2" s="2" t="n">
        <v>0</v>
      </c>
    </row>
    <row r="3" customFormat="false" ht="15" hidden="false" customHeight="false" outlineLevel="0" collapsed="false">
      <c r="A3" s="1" t="s">
        <v>88</v>
      </c>
      <c r="B3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90</v>
      </c>
      <c r="B1" s="1" t="s">
        <v>91</v>
      </c>
    </row>
    <row r="2" customFormat="false" ht="15" hidden="false" customHeight="false" outlineLevel="0" collapsed="false">
      <c r="A2" s="1" t="s">
        <v>92</v>
      </c>
      <c r="B2" s="2" t="s">
        <v>3</v>
      </c>
    </row>
    <row r="3" customFormat="false" ht="15" hidden="false" customHeight="false" outlineLevel="0" collapsed="false">
      <c r="A3" s="1" t="s">
        <v>93</v>
      </c>
      <c r="B3" s="2" t="n">
        <f aca="false">COUNTA(Raw_Data!A:A)-1</f>
        <v>259</v>
      </c>
    </row>
    <row r="4" customFormat="false" ht="15" hidden="false" customHeight="false" outlineLevel="0" collapsed="false">
      <c r="A4" s="1" t="s">
        <v>94</v>
      </c>
      <c r="B4" s="2" t="n">
        <f aca="false">COUNTA(Forecast!A:A)-1</f>
        <v>105</v>
      </c>
    </row>
    <row r="5" customFormat="false" ht="15" hidden="false" customHeight="false" outlineLevel="0" collapsed="false">
      <c r="A5" s="1" t="s">
        <v>95</v>
      </c>
      <c r="B5" s="2" t="n">
        <f aca="false">COUNTA(Forecast_Wide!A:A)-1</f>
        <v>15</v>
      </c>
    </row>
    <row r="6" customFormat="false" ht="15" hidden="false" customHeight="false" outlineLevel="0" collapsed="false">
      <c r="A6" s="1" t="s">
        <v>96</v>
      </c>
      <c r="B6" s="2" t="n">
        <v>23</v>
      </c>
    </row>
    <row r="7" customFormat="false" ht="39.55" hidden="false" customHeight="false" outlineLevel="0" collapsed="false">
      <c r="A7" s="1" t="s">
        <v>97</v>
      </c>
      <c r="B7" s="2" t="s">
        <v>98</v>
      </c>
    </row>
    <row r="8" customFormat="false" ht="15" hidden="false" customHeight="false" outlineLevel="0" collapsed="false">
      <c r="A8" s="1" t="s">
        <v>99</v>
      </c>
      <c r="B8" s="2" t="n">
        <v>15</v>
      </c>
    </row>
    <row r="9" customFormat="false" ht="26.85" hidden="false" customHeight="false" outlineLevel="0" collapsed="false">
      <c r="A9" s="1" t="s">
        <v>100</v>
      </c>
      <c r="B9" s="2" t="s">
        <v>101</v>
      </c>
    </row>
    <row r="10" customFormat="false" ht="15" hidden="false" customHeight="false" outlineLevel="0" collapsed="false">
      <c r="A10" s="1" t="s">
        <v>102</v>
      </c>
      <c r="B10" s="2" t="s">
        <v>103</v>
      </c>
    </row>
    <row r="11" customFormat="false" ht="26.85" hidden="false" customHeight="false" outlineLevel="0" collapsed="false">
      <c r="A11" s="1" t="s">
        <v>104</v>
      </c>
      <c r="B11" s="2" t="n">
        <v>9364</v>
      </c>
    </row>
    <row r="12" customFormat="false" ht="26.85" hidden="false" customHeight="false" outlineLevel="0" collapsed="false">
      <c r="A12" s="1" t="s">
        <v>105</v>
      </c>
      <c r="B12" s="2" t="n">
        <v>1</v>
      </c>
    </row>
    <row r="13" customFormat="false" ht="15" hidden="false" customHeight="false" outlineLevel="0" collapsed="false">
      <c r="A13" s="1" t="s">
        <v>106</v>
      </c>
      <c r="B13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2026-10-07T18:49:01Z</dcterms:created>
  <dc:creator>openpyxl</dc:creator>
  <dc:description/>
  <dc:language>en-US</dc:language>
  <cp:lastModifiedBy/>
  <dcterms:modified xsi:type="dcterms:W3CDTF">2026-10-07T18:49:01Z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
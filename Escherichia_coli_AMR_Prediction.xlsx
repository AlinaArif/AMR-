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_Data" sheetId="2" state="visible" r:id="rId4"/>
    <sheet name="Preprocessing" sheetId="3" state="visible" r:id="rId5"/>
    <sheet name="Model_Performance" sheetId="4" state="visible" r:id="rId6"/>
    <sheet name="Forecast" sheetId="5" state="visible" r:id="rId7"/>
    <sheet name="Forecast_Wide" sheetId="6" state="visible" r:id="rId8"/>
    <sheet name="Unclassified_Review" sheetId="7" state="visible" r:id="rId9"/>
    <sheet name="Summa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<sst xmlns="http://schemas.openxmlformats.org/spreadsheetml/2006/main" count="278" uniqueCount="78">
  <si>
    <t xml:space="preserve">Item</t>
  </si>
  <si>
    <t xml:space="preserve">Detail</t>
  </si>
  <si>
    <t xml:space="preserve">Organism (label in source file)</t>
  </si>
  <si>
    <t xml:space="preserve">Escherichia coli</t>
  </si>
  <si>
    <t xml:space="preserve">Source file</t>
  </si>
  <si>
    <t xml:space="preserve">AMR_Forecast_Ecoli.xlsx (values copied unchanged)</t>
  </si>
  <si>
    <t xml:space="preserve">Sheets</t>
  </si>
  <si>
    <t xml:space="preserve">Raw_Data | Preprocessing | Model_Performance (per-antibiotic fit statistics) | Forecast (long) | Forecast_Wide | Unclassified_Review | Summary</t>
  </si>
  <si>
    <t xml:space="preserve">Data level</t>
  </si>
  <si>
    <t xml:space="preserve">ANNUAL AGGREGATES per antibiotic (n_isolates, n_resistant, rate). No isolate-level rows, MIC, geography, features or train/test records.</t>
  </si>
  <si>
    <t xml:space="preserve">Not created (not in source)</t>
  </si>
  <si>
    <t xml:space="preserve">Cleaned_Data, Features, Train_Data, Test_Data, Predictions (actual vs predicted), Trend_Backtest, Run_Info, accuracy/precision/recall/F1/ROC-AUC, confusion matrix, cross-validation, MIC, geography, Intermediate category.</t>
  </si>
  <si>
    <t xml:space="preserve">Missing-value rule</t>
  </si>
  <si>
    <t xml:space="preserve">Nothing imputed or recoded. Source has no blank cells in the sheets copied here.</t>
  </si>
  <si>
    <t xml:space="preserve">species</t>
  </si>
  <si>
    <t xml:space="preserve">antibiotic</t>
  </si>
  <si>
    <t xml:space="preserve">year</t>
  </si>
  <si>
    <t xml:space="preserve">n_isolates</t>
  </si>
  <si>
    <t xml:space="preserve">n_resistant</t>
  </si>
  <si>
    <t xml:space="preserve">resistance_rate_pct</t>
  </si>
  <si>
    <t xml:space="preserve">Amikacin</t>
  </si>
  <si>
    <t xml:space="preserve">Ampicillin</t>
  </si>
  <si>
    <t xml:space="preserve">Ceftriaxone</t>
  </si>
  <si>
    <t xml:space="preserve">Ciprofloxacin</t>
  </si>
  <si>
    <t xml:space="preserve">Meropenem</t>
  </si>
  <si>
    <t xml:space="preserve">item</t>
  </si>
  <si>
    <t xml:space="preserve">value</t>
  </si>
  <si>
    <t xml:space="preserve">Run settings (windows, weights, CI method, missing/intermediate handling)</t>
  </si>
  <si>
    <t xml:space="preserve">Not available in source file (this file has no Run_Info sheet)</t>
  </si>
  <si>
    <t xml:space="preserve">Data year range</t>
  </si>
  <si>
    <t xml:space="preserve">2008-2021</t>
  </si>
  <si>
    <t xml:space="preserve">Forecast years present</t>
  </si>
  <si>
    <t xml:space="preserve">2025-2031</t>
  </si>
  <si>
    <t xml:space="preserve">Method (inferred, not stated)</t>
  </si>
  <si>
    <t xml:space="preserve">Columns slope_pp_per_year, intercept, weighted R², df_resid and 95% CI are consistent with a weighted least-squares line of rate on year, as stated in the other source files. This file itself does not state the method.</t>
  </si>
  <si>
    <t xml:space="preserve">slope_pp_per_year</t>
  </si>
  <si>
    <t xml:space="preserve">slope_p_value</t>
  </si>
  <si>
    <t xml:space="preserve">trend_direction</t>
  </si>
  <si>
    <t xml:space="preserve">r2_weighted</t>
  </si>
  <si>
    <t xml:space="preserve">n_years_fit</t>
  </si>
  <si>
    <t xml:space="preserve">n_isolates_fit</t>
  </si>
  <si>
    <t xml:space="preserve">last_fit_year</t>
  </si>
  <si>
    <t xml:space="preserve">last_fit_rate_pct</t>
  </si>
  <si>
    <t xml:space="preserve">intercept</t>
  </si>
  <si>
    <t xml:space="preserve">slope_std_err</t>
  </si>
  <si>
    <t xml:space="preserve">residual_std_err</t>
  </si>
  <si>
    <t xml:space="preserve">df_resid</t>
  </si>
  <si>
    <t xml:space="preserve">stable</t>
  </si>
  <si>
    <t xml:space="preserve">decreasing</t>
  </si>
  <si>
    <t xml:space="preserve">Fit statistics only. No hold-out back-test, accuracy, precision, recall, F1, ROC-AUC, confusion matrix or CV: Not available in source file</t>
  </si>
  <si>
    <t xml:space="preserve">years_ahead</t>
  </si>
  <si>
    <t xml:space="preserve">forecast_resistance_pct</t>
  </si>
  <si>
    <t xml:space="preserve">ci95_lower_pct</t>
  </si>
  <si>
    <t xml:space="preserve">ci95_upper_pct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</si>
  <si>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</si>
  <si>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</si>
  <si>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</si>
  <si>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</si>
  <si>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</si>
  <si>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</si>
  <si>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</si>
  <si>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Rows not assignable to E. coli (whole source file)</t>
  </si>
  <si>
    <t xml:space="preserve">Note</t>
  </si>
  <si>
    <t xml:space="preserve">Zero ambiguous rows: every source row is labelled Escherichia coli.</t>
  </si>
  <si>
    <t xml:space="preserve">Metric</t>
  </si>
  <si>
    <t xml:space="preserve">Value</t>
  </si>
  <si>
    <t xml:space="preserve">Organism</t>
  </si>
  <si>
    <t xml:space="preserve">Raw_Data rows</t>
  </si>
  <si>
    <t xml:space="preserve">Forecast rows (long)</t>
  </si>
  <si>
    <t xml:space="preserve">Antibiotics forecast (Forecast_Wide rows)</t>
  </si>
  <si>
    <t xml:space="preserve">Antibiotics</t>
  </si>
  <si>
    <t xml:space="preserve">Amikacin, Ampicillin, Ceftriaxone, Ciprofloxacin, Meropenem</t>
  </si>
  <si>
    <t xml:space="preserve">Year range in Raw_Data</t>
  </si>
  <si>
    <t xml:space="preserve">Sum of annual n_isolates (one count per antibiotic tested)</t>
  </si>
  <si>
    <t xml:space="preserve">Significant trends</t>
  </si>
  <si>
    <t xml:space="preserve">Ampicillin: decreasing</t>
  </si>
  <si>
    <t xml:space="preserve">Back-test</t>
  </si>
  <si>
    <t xml:space="preserve">Not available in source file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</si>
</sst>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2" t="s">
        <v>3</v>
      </c>
    </row>
    <row r="3" customFormat="false" ht="15" hidden="false" customHeight="false" outlineLevel="0" collapsed="false">
      <c r="A3" s="1" t="s">
        <v>4</v>
      </c>
      <c r="B3" s="2" t="s">
        <v>5</v>
      </c>
    </row>
    <row r="4" customFormat="false" ht="26.85" hidden="false" customHeight="false" outlineLevel="0" collapsed="false">
      <c r="A4" s="1" t="s">
        <v>6</v>
      </c>
      <c r="B4" s="2" t="s">
        <v>7</v>
      </c>
    </row>
    <row r="5" customFormat="false" ht="26.85" hidden="false" customHeight="false" outlineLevel="0" collapsed="false">
      <c r="A5" s="1" t="s">
        <v>8</v>
      </c>
      <c r="B5" s="2" t="s">
        <v>9</v>
      </c>
    </row>
    <row r="6" customFormat="false" ht="26.85" hidden="false" customHeight="false" outlineLevel="0" collapsed="false">
      <c r="A6" s="1" t="s">
        <v>10</v>
      </c>
      <c r="B6" s="2" t="s">
        <v>11</v>
      </c>
    </row>
    <row r="7" customFormat="false" ht="15" hidden="false" customHeight="false" outlineLevel="0" collapsed="false">
      <c r="A7" s="1" t="s">
        <v>12</v>
      </c>
      <c r="B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21"/>
  </cols>
  <sheetData>
    <row r="1" customFormat="false" ht="15" hidden="false" customHeight="false" outlineLevel="0" collapsed="false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</row>
    <row r="2" customFormat="false" ht="15" hidden="false" customHeight="false" outlineLevel="0" collapsed="false">
      <c r="A2" s="4" t="s">
        <v>3</v>
      </c>
      <c r="B2" s="4" t="s">
        <v>20</v>
      </c>
      <c r="C2" s="4" t="n">
        <v>2013</v>
      </c>
      <c r="D2" s="4" t="n">
        <v>24</v>
      </c>
      <c r="E2" s="4" t="n">
        <v>0</v>
      </c>
      <c r="F2" s="4" t="n">
        <v>0</v>
      </c>
    </row>
    <row r="3" customFormat="false" ht="15" hidden="false" customHeight="false" outlineLevel="0" collapsed="false">
      <c r="A3" s="4" t="s">
        <v>3</v>
      </c>
      <c r="B3" s="4" t="s">
        <v>20</v>
      </c>
      <c r="C3" s="4" t="n">
        <v>2015</v>
      </c>
      <c r="D3" s="4" t="n">
        <v>123</v>
      </c>
      <c r="E3" s="4" t="n">
        <v>3</v>
      </c>
      <c r="F3" s="4" t="n">
        <v>2.4390243902439</v>
      </c>
    </row>
    <row r="4" customFormat="false" ht="15" hidden="false" customHeight="false" outlineLevel="0" collapsed="false">
      <c r="A4" s="4" t="s">
        <v>3</v>
      </c>
      <c r="B4" s="4" t="s">
        <v>20</v>
      </c>
      <c r="C4" s="4" t="n">
        <v>2016</v>
      </c>
      <c r="D4" s="4" t="n">
        <v>131</v>
      </c>
      <c r="E4" s="4" t="n">
        <v>4</v>
      </c>
      <c r="F4" s="4" t="n">
        <v>3.05343511450382</v>
      </c>
    </row>
    <row r="5" customFormat="false" ht="15" hidden="false" customHeight="false" outlineLevel="0" collapsed="false">
      <c r="A5" s="4" t="s">
        <v>3</v>
      </c>
      <c r="B5" s="4" t="s">
        <v>20</v>
      </c>
      <c r="C5" s="4" t="n">
        <v>2018</v>
      </c>
      <c r="D5" s="4" t="n">
        <v>104</v>
      </c>
      <c r="E5" s="4" t="n">
        <v>0</v>
      </c>
      <c r="F5" s="4" t="n">
        <v>0</v>
      </c>
    </row>
    <row r="6" customFormat="false" ht="15" hidden="false" customHeight="false" outlineLevel="0" collapsed="false">
      <c r="A6" s="4" t="s">
        <v>3</v>
      </c>
      <c r="B6" s="4" t="s">
        <v>21</v>
      </c>
      <c r="C6" s="4" t="n">
        <v>2013</v>
      </c>
      <c r="D6" s="4" t="n">
        <v>45</v>
      </c>
      <c r="E6" s="4" t="n">
        <v>33</v>
      </c>
      <c r="F6" s="4" t="n">
        <v>73.3333333333333</v>
      </c>
    </row>
    <row r="7" customFormat="false" ht="15" hidden="false" customHeight="false" outlineLevel="0" collapsed="false">
      <c r="A7" s="4" t="s">
        <v>3</v>
      </c>
      <c r="B7" s="4" t="s">
        <v>21</v>
      </c>
      <c r="C7" s="4" t="n">
        <v>2015</v>
      </c>
      <c r="D7" s="4" t="n">
        <v>258</v>
      </c>
      <c r="E7" s="4" t="n">
        <v>229</v>
      </c>
      <c r="F7" s="4" t="n">
        <v>88.7596899224806</v>
      </c>
    </row>
    <row r="8" customFormat="false" ht="15" hidden="false" customHeight="false" outlineLevel="0" collapsed="false">
      <c r="A8" s="4" t="s">
        <v>3</v>
      </c>
      <c r="B8" s="4" t="s">
        <v>21</v>
      </c>
      <c r="C8" s="4" t="n">
        <v>2016</v>
      </c>
      <c r="D8" s="4" t="n">
        <v>214</v>
      </c>
      <c r="E8" s="4" t="n">
        <v>213</v>
      </c>
      <c r="F8" s="4" t="n">
        <v>99.5327102803738</v>
      </c>
    </row>
    <row r="9" customFormat="false" ht="15" hidden="false" customHeight="false" outlineLevel="0" collapsed="false">
      <c r="A9" s="4" t="s">
        <v>3</v>
      </c>
      <c r="B9" s="4" t="s">
        <v>21</v>
      </c>
      <c r="C9" s="4" t="n">
        <v>2017</v>
      </c>
      <c r="D9" s="4" t="n">
        <v>254</v>
      </c>
      <c r="E9" s="4" t="n">
        <v>209</v>
      </c>
      <c r="F9" s="4" t="n">
        <v>82.2834645669291</v>
      </c>
    </row>
    <row r="10" customFormat="false" ht="15" hidden="false" customHeight="false" outlineLevel="0" collapsed="false">
      <c r="A10" s="4" t="s">
        <v>3</v>
      </c>
      <c r="B10" s="4" t="s">
        <v>21</v>
      </c>
      <c r="C10" s="4" t="n">
        <v>2018</v>
      </c>
      <c r="D10" s="4" t="n">
        <v>102</v>
      </c>
      <c r="E10" s="4" t="n">
        <v>85</v>
      </c>
      <c r="F10" s="4" t="n">
        <v>83.3333333333333</v>
      </c>
    </row>
    <row r="11" customFormat="false" ht="15" hidden="false" customHeight="false" outlineLevel="0" collapsed="false">
      <c r="A11" s="4" t="s">
        <v>3</v>
      </c>
      <c r="B11" s="4" t="s">
        <v>21</v>
      </c>
      <c r="C11" s="4" t="n">
        <v>2019</v>
      </c>
      <c r="D11" s="4" t="n">
        <v>970</v>
      </c>
      <c r="E11" s="4" t="n">
        <v>536</v>
      </c>
      <c r="F11" s="4" t="n">
        <v>55.2577319587629</v>
      </c>
    </row>
    <row r="12" customFormat="false" ht="15" hidden="false" customHeight="false" outlineLevel="0" collapsed="false">
      <c r="A12" s="4" t="s">
        <v>3</v>
      </c>
      <c r="B12" s="4" t="s">
        <v>21</v>
      </c>
      <c r="C12" s="4" t="n">
        <v>2021</v>
      </c>
      <c r="D12" s="4" t="n">
        <v>173</v>
      </c>
      <c r="E12" s="4" t="n">
        <v>42</v>
      </c>
      <c r="F12" s="4" t="n">
        <v>24.2774566473988</v>
      </c>
    </row>
    <row r="13" customFormat="false" ht="15" hidden="false" customHeight="false" outlineLevel="0" collapsed="false">
      <c r="A13" s="4" t="s">
        <v>3</v>
      </c>
      <c r="B13" s="4" t="s">
        <v>22</v>
      </c>
      <c r="C13" s="4" t="n">
        <v>2013</v>
      </c>
      <c r="D13" s="4" t="n">
        <v>50</v>
      </c>
      <c r="E13" s="4" t="n">
        <v>17</v>
      </c>
      <c r="F13" s="4" t="n">
        <v>34</v>
      </c>
    </row>
    <row r="14" customFormat="false" ht="15" hidden="false" customHeight="false" outlineLevel="0" collapsed="false">
      <c r="A14" s="4" t="s">
        <v>3</v>
      </c>
      <c r="B14" s="4" t="s">
        <v>22</v>
      </c>
      <c r="C14" s="4" t="n">
        <v>2015</v>
      </c>
      <c r="D14" s="4" t="n">
        <v>220</v>
      </c>
      <c r="E14" s="4" t="n">
        <v>146</v>
      </c>
      <c r="F14" s="4" t="n">
        <v>66.3636363636364</v>
      </c>
    </row>
    <row r="15" customFormat="false" ht="15" hidden="false" customHeight="false" outlineLevel="0" collapsed="false">
      <c r="A15" s="4" t="s">
        <v>3</v>
      </c>
      <c r="B15" s="4" t="s">
        <v>22</v>
      </c>
      <c r="C15" s="4" t="n">
        <v>2018</v>
      </c>
      <c r="D15" s="4" t="n">
        <v>92</v>
      </c>
      <c r="E15" s="4" t="n">
        <v>13</v>
      </c>
      <c r="F15" s="4" t="n">
        <v>14.1304347826087</v>
      </c>
    </row>
    <row r="16" customFormat="false" ht="15" hidden="false" customHeight="false" outlineLevel="0" collapsed="false">
      <c r="A16" s="4" t="s">
        <v>3</v>
      </c>
      <c r="B16" s="4" t="s">
        <v>22</v>
      </c>
      <c r="C16" s="4" t="n">
        <v>2021</v>
      </c>
      <c r="D16" s="4" t="n">
        <v>138</v>
      </c>
      <c r="E16" s="4" t="n">
        <v>0</v>
      </c>
      <c r="F16" s="4" t="n">
        <v>0</v>
      </c>
    </row>
    <row r="17" customFormat="false" ht="15" hidden="false" customHeight="false" outlineLevel="0" collapsed="false">
      <c r="A17" s="4" t="s">
        <v>3</v>
      </c>
      <c r="B17" s="4" t="s">
        <v>23</v>
      </c>
      <c r="C17" s="4" t="n">
        <v>2008</v>
      </c>
      <c r="D17" s="4" t="n">
        <v>13</v>
      </c>
      <c r="E17" s="4" t="n">
        <v>11</v>
      </c>
      <c r="F17" s="4" t="n">
        <v>84.6153846153846</v>
      </c>
    </row>
    <row r="18" customFormat="false" ht="15" hidden="false" customHeight="false" outlineLevel="0" collapsed="false">
      <c r="A18" s="4" t="s">
        <v>3</v>
      </c>
      <c r="B18" s="4" t="s">
        <v>23</v>
      </c>
      <c r="C18" s="4" t="n">
        <v>2013</v>
      </c>
      <c r="D18" s="4" t="n">
        <v>49</v>
      </c>
      <c r="E18" s="4" t="n">
        <v>16</v>
      </c>
      <c r="F18" s="4" t="n">
        <v>32.6530612244898</v>
      </c>
    </row>
    <row r="19" customFormat="false" ht="15" hidden="false" customHeight="false" outlineLevel="0" collapsed="false">
      <c r="A19" s="4" t="s">
        <v>3</v>
      </c>
      <c r="B19" s="4" t="s">
        <v>23</v>
      </c>
      <c r="C19" s="4" t="n">
        <v>2015</v>
      </c>
      <c r="D19" s="4" t="n">
        <v>221</v>
      </c>
      <c r="E19" s="4" t="n">
        <v>116</v>
      </c>
      <c r="F19" s="4" t="n">
        <v>52.4886877828054</v>
      </c>
    </row>
    <row r="20" customFormat="false" ht="15" hidden="false" customHeight="false" outlineLevel="0" collapsed="false">
      <c r="A20" s="4" t="s">
        <v>3</v>
      </c>
      <c r="B20" s="4" t="s">
        <v>23</v>
      </c>
      <c r="C20" s="4" t="n">
        <v>2016</v>
      </c>
      <c r="D20" s="4" t="n">
        <v>28</v>
      </c>
      <c r="E20" s="4" t="n">
        <v>7</v>
      </c>
      <c r="F20" s="4" t="n">
        <v>25</v>
      </c>
    </row>
    <row r="21" customFormat="false" ht="15" hidden="false" customHeight="false" outlineLevel="0" collapsed="false">
      <c r="A21" s="4" t="s">
        <v>3</v>
      </c>
      <c r="B21" s="4" t="s">
        <v>23</v>
      </c>
      <c r="C21" s="4" t="n">
        <v>2017</v>
      </c>
      <c r="D21" s="4" t="n">
        <v>254</v>
      </c>
      <c r="E21" s="4" t="n">
        <v>62</v>
      </c>
      <c r="F21" s="4" t="n">
        <v>24.4094488188976</v>
      </c>
    </row>
    <row r="22" customFormat="false" ht="15" hidden="false" customHeight="false" outlineLevel="0" collapsed="false">
      <c r="A22" s="4" t="s">
        <v>3</v>
      </c>
      <c r="B22" s="4" t="s">
        <v>23</v>
      </c>
      <c r="C22" s="4" t="n">
        <v>2018</v>
      </c>
      <c r="D22" s="4" t="n">
        <v>109</v>
      </c>
      <c r="E22" s="4" t="n">
        <v>91</v>
      </c>
      <c r="F22" s="4" t="n">
        <v>83.4862385321101</v>
      </c>
    </row>
    <row r="23" customFormat="false" ht="15" hidden="false" customHeight="false" outlineLevel="0" collapsed="false">
      <c r="A23" s="4" t="s">
        <v>3</v>
      </c>
      <c r="B23" s="4" t="s">
        <v>23</v>
      </c>
      <c r="C23" s="4" t="n">
        <v>2019</v>
      </c>
      <c r="D23" s="4" t="n">
        <v>39</v>
      </c>
      <c r="E23" s="4" t="n">
        <v>30</v>
      </c>
      <c r="F23" s="4" t="n">
        <v>76.9230769230769</v>
      </c>
    </row>
    <row r="24" customFormat="false" ht="15" hidden="false" customHeight="false" outlineLevel="0" collapsed="false">
      <c r="A24" s="4" t="s">
        <v>3</v>
      </c>
      <c r="B24" s="4" t="s">
        <v>23</v>
      </c>
      <c r="C24" s="4" t="n">
        <v>2021</v>
      </c>
      <c r="D24" s="4" t="n">
        <v>173</v>
      </c>
      <c r="E24" s="4" t="n">
        <v>38</v>
      </c>
      <c r="F24" s="4" t="n">
        <v>21.9653179190751</v>
      </c>
    </row>
    <row r="25" customFormat="false" ht="15" hidden="false" customHeight="false" outlineLevel="0" collapsed="false">
      <c r="A25" s="4" t="s">
        <v>3</v>
      </c>
      <c r="B25" s="4" t="s">
        <v>24</v>
      </c>
      <c r="C25" s="4" t="n">
        <v>2013</v>
      </c>
      <c r="D25" s="4" t="n">
        <v>24</v>
      </c>
      <c r="E25" s="4" t="n">
        <v>0</v>
      </c>
      <c r="F25" s="4" t="n">
        <v>0</v>
      </c>
    </row>
    <row r="26" customFormat="false" ht="15" hidden="false" customHeight="false" outlineLevel="0" collapsed="false">
      <c r="A26" s="4" t="s">
        <v>3</v>
      </c>
      <c r="B26" s="4" t="s">
        <v>24</v>
      </c>
      <c r="C26" s="4" t="n">
        <v>2015</v>
      </c>
      <c r="D26" s="4" t="n">
        <v>152</v>
      </c>
      <c r="E26" s="4" t="n">
        <v>1</v>
      </c>
      <c r="F26" s="4" t="n">
        <v>0.657894736842105</v>
      </c>
    </row>
    <row r="27" customFormat="false" ht="15" hidden="false" customHeight="false" outlineLevel="0" collapsed="false">
      <c r="A27" s="4" t="s">
        <v>3</v>
      </c>
      <c r="B27" s="4" t="s">
        <v>24</v>
      </c>
      <c r="C27" s="4" t="n">
        <v>2016</v>
      </c>
      <c r="D27" s="4" t="n">
        <v>159</v>
      </c>
      <c r="E27" s="4" t="n">
        <v>22</v>
      </c>
      <c r="F27" s="4" t="n">
        <v>13.8364779874214</v>
      </c>
    </row>
    <row r="28" customFormat="false" ht="15" hidden="false" customHeight="false" outlineLevel="0" collapsed="false">
      <c r="A28" s="4" t="s">
        <v>3</v>
      </c>
      <c r="B28" s="4" t="s">
        <v>24</v>
      </c>
      <c r="C28" s="4" t="n">
        <v>2018</v>
      </c>
      <c r="D28" s="4" t="n">
        <v>104</v>
      </c>
      <c r="E28" s="4" t="n">
        <v>0</v>
      </c>
      <c r="F28" s="4" t="n">
        <v>0</v>
      </c>
    </row>
    <row r="29" customFormat="false" ht="15" hidden="false" customHeight="false" outlineLevel="0" collapsed="false">
      <c r="A29" s="4" t="s">
        <v>3</v>
      </c>
      <c r="B29" s="4" t="s">
        <v>24</v>
      </c>
      <c r="C29" s="4" t="n">
        <v>2019</v>
      </c>
      <c r="D29" s="4" t="n">
        <v>43</v>
      </c>
      <c r="E29" s="4" t="n">
        <v>0</v>
      </c>
      <c r="F29" s="4" t="n">
        <v>0</v>
      </c>
    </row>
    <row r="30" customFormat="false" ht="15" hidden="false" customHeight="false" outlineLevel="0" collapsed="false">
      <c r="A30" s="4" t="s">
        <v>3</v>
      </c>
      <c r="B30" s="4" t="s">
        <v>24</v>
      </c>
      <c r="C30" s="4" t="n">
        <v>2021</v>
      </c>
      <c r="D30" s="4" t="n">
        <v>138</v>
      </c>
      <c r="E30" s="4" t="n">
        <v>0</v>
      </c>
      <c r="F30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25</v>
      </c>
      <c r="B1" s="1" t="s">
        <v>26</v>
      </c>
    </row>
    <row r="2" customFormat="false" ht="26.85" hidden="false" customHeight="false" outlineLevel="0" collapsed="false">
      <c r="A2" s="1" t="s">
        <v>27</v>
      </c>
      <c r="B2" s="2" t="s">
        <v>28</v>
      </c>
    </row>
    <row r="3" customFormat="false" ht="15" hidden="false" customHeight="false" outlineLevel="0" collapsed="false">
      <c r="A3" s="1" t="s">
        <v>29</v>
      </c>
      <c r="B3" s="2" t="s">
        <v>30</v>
      </c>
    </row>
    <row r="4" customFormat="false" ht="15" hidden="false" customHeight="false" outlineLevel="0" collapsed="false">
      <c r="A4" s="1" t="s">
        <v>31</v>
      </c>
      <c r="B4" s="2" t="s">
        <v>32</v>
      </c>
    </row>
    <row r="5" customFormat="false" ht="26.85" hidden="false" customHeight="false" outlineLevel="0" collapsed="false">
      <c r="A5" s="1" t="s">
        <v>33</v>
      </c>
      <c r="B5" s="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4" min="3" style="0" width="21"/>
    <col collapsed="false" customWidth="true" hidden="false" outlineLevel="0" max="5" min="5" style="0" width="17"/>
    <col collapsed="false" customWidth="true" hidden="false" outlineLevel="0" max="6" min="6" style="0" width="21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1" min="10" style="0" width="19"/>
    <col collapsed="false" customWidth="true" hidden="false" outlineLevel="0" max="12" min="12" style="0" width="20"/>
    <col collapsed="false" customWidth="true" hidden="false" outlineLevel="0" max="13" min="13" style="0" width="19"/>
    <col collapsed="false" customWidth="true" hidden="false" outlineLevel="0" max="14" min="14" style="0" width="10"/>
  </cols>
  <sheetData>
    <row r="1" customFormat="false" ht="15" hidden="false" customHeight="false" outlineLevel="0" collapsed="false">
      <c r="A1" s="3" t="s">
        <v>14</v>
      </c>
      <c r="B1" s="3" t="s">
        <v>15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  <c r="J1" s="3" t="s">
        <v>42</v>
      </c>
      <c r="K1" s="3" t="s">
        <v>43</v>
      </c>
      <c r="L1" s="3" t="s">
        <v>44</v>
      </c>
      <c r="M1" s="3" t="s">
        <v>45</v>
      </c>
      <c r="N1" s="3" t="s">
        <v>46</v>
      </c>
    </row>
    <row r="2" customFormat="false" ht="15" hidden="false" customHeight="false" outlineLevel="0" collapsed="false">
      <c r="A2" s="4" t="s">
        <v>3</v>
      </c>
      <c r="B2" s="4" t="s">
        <v>20</v>
      </c>
      <c r="C2" s="4" t="n">
        <v>-0.429154769793482</v>
      </c>
      <c r="D2" s="4" t="n">
        <v>0.544690757090492</v>
      </c>
      <c r="E2" s="4" t="s">
        <v>47</v>
      </c>
      <c r="F2" s="4" t="n">
        <v>0.207306506678776</v>
      </c>
      <c r="G2" s="4" t="n">
        <v>4</v>
      </c>
      <c r="H2" s="4" t="n">
        <v>382</v>
      </c>
      <c r="I2" s="4" t="n">
        <v>2018</v>
      </c>
      <c r="J2" s="4" t="n">
        <v>0</v>
      </c>
      <c r="K2" s="4" t="n">
        <v>867.023081380118</v>
      </c>
      <c r="L2" s="4" t="n">
        <v>0.593396698874095</v>
      </c>
      <c r="M2" s="4" t="n">
        <v>16.3001395456514</v>
      </c>
      <c r="N2" s="4" t="n">
        <v>2</v>
      </c>
    </row>
    <row r="3" customFormat="false" ht="15" hidden="false" customHeight="false" outlineLevel="0" collapsed="false">
      <c r="A3" s="4" t="s">
        <v>3</v>
      </c>
      <c r="B3" s="4" t="s">
        <v>21</v>
      </c>
      <c r="C3" s="4" t="n">
        <v>-9.86049332794275</v>
      </c>
      <c r="D3" s="4" t="n">
        <v>0.00890962346559921</v>
      </c>
      <c r="E3" s="4" t="s">
        <v>48</v>
      </c>
      <c r="F3" s="4" t="n">
        <v>0.7750072033679</v>
      </c>
      <c r="G3" s="4" t="n">
        <v>7</v>
      </c>
      <c r="H3" s="4" t="n">
        <v>2016</v>
      </c>
      <c r="I3" s="4" t="n">
        <v>2021</v>
      </c>
      <c r="J3" s="4" t="n">
        <v>24.2774566473988</v>
      </c>
      <c r="K3" s="4" t="n">
        <v>19964.3519173763</v>
      </c>
      <c r="L3" s="4" t="n">
        <v>2.37599257329589</v>
      </c>
      <c r="M3" s="4" t="n">
        <v>199.720716228334</v>
      </c>
      <c r="N3" s="4" t="n">
        <v>5</v>
      </c>
    </row>
    <row r="4" customFormat="false" ht="15" hidden="false" customHeight="false" outlineLevel="0" collapsed="false">
      <c r="A4" s="4" t="s">
        <v>3</v>
      </c>
      <c r="B4" s="4" t="s">
        <v>22</v>
      </c>
      <c r="C4" s="4" t="n">
        <v>-8.754040233488</v>
      </c>
      <c r="D4" s="4" t="n">
        <v>0.153418811393205</v>
      </c>
      <c r="E4" s="4" t="s">
        <v>47</v>
      </c>
      <c r="F4" s="4" t="n">
        <v>0.716699708902918</v>
      </c>
      <c r="G4" s="4" t="n">
        <v>4</v>
      </c>
      <c r="H4" s="4" t="n">
        <v>500</v>
      </c>
      <c r="I4" s="4" t="n">
        <v>2021</v>
      </c>
      <c r="J4" s="4" t="n">
        <v>0</v>
      </c>
      <c r="K4" s="4" t="n">
        <v>17692.1691832672</v>
      </c>
      <c r="L4" s="4" t="n">
        <v>3.89178138832432</v>
      </c>
      <c r="M4" s="4" t="n">
        <v>245.520764050126</v>
      </c>
      <c r="N4" s="4" t="n">
        <v>2</v>
      </c>
    </row>
    <row r="5" customFormat="false" ht="15" hidden="false" customHeight="false" outlineLevel="0" collapsed="false">
      <c r="A5" s="4" t="s">
        <v>3</v>
      </c>
      <c r="B5" s="4" t="s">
        <v>23</v>
      </c>
      <c r="C5" s="4" t="n">
        <v>-2.4117868381717</v>
      </c>
      <c r="D5" s="4" t="n">
        <v>0.509561484183264</v>
      </c>
      <c r="E5" s="4" t="s">
        <v>47</v>
      </c>
      <c r="F5" s="4" t="n">
        <v>0.075700488768719</v>
      </c>
      <c r="G5" s="4" t="n">
        <v>8</v>
      </c>
      <c r="H5" s="4" t="n">
        <v>886</v>
      </c>
      <c r="I5" s="4" t="n">
        <v>2021</v>
      </c>
      <c r="J5" s="4" t="n">
        <v>21.9653179190751</v>
      </c>
      <c r="K5" s="4" t="n">
        <v>4906.70896403303</v>
      </c>
      <c r="L5" s="4" t="n">
        <v>3.44049012348087</v>
      </c>
      <c r="M5" s="4" t="n">
        <v>261.377596384261</v>
      </c>
      <c r="N5" s="4" t="n">
        <v>6</v>
      </c>
    </row>
    <row r="6" customFormat="false" ht="15" hidden="false" customHeight="false" outlineLevel="0" collapsed="false">
      <c r="A6" s="4" t="s">
        <v>3</v>
      </c>
      <c r="B6" s="4" t="s">
        <v>24</v>
      </c>
      <c r="C6" s="4" t="n">
        <v>-0.859783146736925</v>
      </c>
      <c r="D6" s="4" t="n">
        <v>0.500276763955656</v>
      </c>
      <c r="E6" s="4" t="s">
        <v>47</v>
      </c>
      <c r="F6" s="4" t="n">
        <v>0.120469077685491</v>
      </c>
      <c r="G6" s="4" t="n">
        <v>6</v>
      </c>
      <c r="H6" s="4" t="n">
        <v>620</v>
      </c>
      <c r="I6" s="4" t="n">
        <v>2021</v>
      </c>
      <c r="J6" s="4" t="n">
        <v>0</v>
      </c>
      <c r="K6" s="4" t="n">
        <v>1738.14605909072</v>
      </c>
      <c r="L6" s="4" t="n">
        <v>1.16157350128835</v>
      </c>
      <c r="M6" s="4" t="n">
        <v>69.5101100784146</v>
      </c>
      <c r="N6" s="4" t="n">
        <v>4</v>
      </c>
    </row>
    <row r="8" customFormat="false" ht="15" hidden="false" customHeight="false" outlineLevel="0" collapsed="false">
      <c r="A8" s="5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4" min="3" style="0" width="21"/>
    <col collapsed="false" customWidth="true" hidden="false" outlineLevel="0" max="5" min="5" style="0" width="17"/>
    <col collapsed="false" customWidth="true" hidden="false" outlineLevel="0" max="6" min="6" style="0" width="21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9"/>
    <col collapsed="false" customWidth="true" hidden="false" outlineLevel="0" max="11" min="11" style="0" width="6"/>
    <col collapsed="false" customWidth="true" hidden="false" outlineLevel="0" max="12" min="12" style="0" width="13"/>
    <col collapsed="false" customWidth="true" hidden="false" outlineLevel="0" max="13" min="13" style="0" width="25"/>
    <col collapsed="false" customWidth="true" hidden="false" outlineLevel="0" max="14" min="14" style="0" width="16"/>
    <col collapsed="false" customWidth="true" hidden="false" outlineLevel="0" max="15" min="15" style="0" width="19"/>
  </cols>
  <sheetData>
    <row r="1" customFormat="false" ht="15" hidden="false" customHeight="false" outlineLevel="0" collapsed="false">
      <c r="A1" s="3" t="s">
        <v>14</v>
      </c>
      <c r="B1" s="3" t="s">
        <v>15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  <c r="J1" s="3" t="s">
        <v>42</v>
      </c>
      <c r="K1" s="3" t="s">
        <v>16</v>
      </c>
      <c r="L1" s="3" t="s">
        <v>50</v>
      </c>
      <c r="M1" s="3" t="s">
        <v>51</v>
      </c>
      <c r="N1" s="3" t="s">
        <v>52</v>
      </c>
      <c r="O1" s="3" t="s">
        <v>53</v>
      </c>
    </row>
    <row r="2" customFormat="false" ht="15" hidden="false" customHeight="false" outlineLevel="0" collapsed="false">
      <c r="A2" s="4" t="s">
        <v>3</v>
      </c>
      <c r="B2" s="4" t="s">
        <v>20</v>
      </c>
      <c r="C2" s="4" t="n">
        <v>-0.429154769793482</v>
      </c>
      <c r="D2" s="4" t="n">
        <v>0.544690757090492</v>
      </c>
      <c r="E2" s="4" t="s">
        <v>47</v>
      </c>
      <c r="F2" s="4" t="n">
        <v>0.207306506678776</v>
      </c>
      <c r="G2" s="4" t="n">
        <v>4</v>
      </c>
      <c r="H2" s="4" t="n">
        <v>382</v>
      </c>
      <c r="I2" s="4" t="n">
        <v>2018</v>
      </c>
      <c r="J2" s="4" t="n">
        <v>0</v>
      </c>
      <c r="K2" s="4" t="n">
        <v>2025</v>
      </c>
      <c r="L2" s="4" t="n">
        <v>7</v>
      </c>
      <c r="M2" s="4" t="n">
        <v>0</v>
      </c>
      <c r="N2" s="4" t="n">
        <v>0</v>
      </c>
      <c r="O2" s="4" t="n">
        <v>21.1559407941066</v>
      </c>
    </row>
    <row r="3" customFormat="false" ht="15" hidden="false" customHeight="false" outlineLevel="0" collapsed="false">
      <c r="A3" s="4" t="s">
        <v>3</v>
      </c>
      <c r="B3" s="4" t="s">
        <v>20</v>
      </c>
      <c r="C3" s="4" t="n">
        <v>-0.429154769793482</v>
      </c>
      <c r="D3" s="4" t="n">
        <v>0.544690757090492</v>
      </c>
      <c r="E3" s="4" t="s">
        <v>47</v>
      </c>
      <c r="F3" s="4" t="n">
        <v>0.207306506678776</v>
      </c>
      <c r="G3" s="4" t="n">
        <v>4</v>
      </c>
      <c r="H3" s="4" t="n">
        <v>382</v>
      </c>
      <c r="I3" s="4" t="n">
        <v>2018</v>
      </c>
      <c r="J3" s="4" t="n">
        <v>0</v>
      </c>
      <c r="K3" s="4" t="n">
        <v>2026</v>
      </c>
      <c r="L3" s="4" t="n">
        <v>8</v>
      </c>
      <c r="M3" s="4" t="n">
        <v>0</v>
      </c>
      <c r="N3" s="4" t="n">
        <v>0</v>
      </c>
      <c r="O3" s="4" t="n">
        <v>23.2522065935751</v>
      </c>
    </row>
    <row r="4" customFormat="false" ht="15" hidden="false" customHeight="false" outlineLevel="0" collapsed="false">
      <c r="A4" s="4" t="s">
        <v>3</v>
      </c>
      <c r="B4" s="4" t="s">
        <v>20</v>
      </c>
      <c r="C4" s="4" t="n">
        <v>-0.429154769793482</v>
      </c>
      <c r="D4" s="4" t="n">
        <v>0.544690757090492</v>
      </c>
      <c r="E4" s="4" t="s">
        <v>47</v>
      </c>
      <c r="F4" s="4" t="n">
        <v>0.207306506678776</v>
      </c>
      <c r="G4" s="4" t="n">
        <v>4</v>
      </c>
      <c r="H4" s="4" t="n">
        <v>382</v>
      </c>
      <c r="I4" s="4" t="n">
        <v>2018</v>
      </c>
      <c r="J4" s="4" t="n">
        <v>0</v>
      </c>
      <c r="K4" s="4" t="n">
        <v>2027</v>
      </c>
      <c r="L4" s="4" t="n">
        <v>9</v>
      </c>
      <c r="M4" s="4" t="n">
        <v>0</v>
      </c>
      <c r="N4" s="4" t="n">
        <v>0</v>
      </c>
      <c r="O4" s="4" t="n">
        <v>25.3534672787097</v>
      </c>
    </row>
    <row r="5" customFormat="false" ht="15" hidden="false" customHeight="false" outlineLevel="0" collapsed="false">
      <c r="A5" s="4" t="s">
        <v>3</v>
      </c>
      <c r="B5" s="4" t="s">
        <v>20</v>
      </c>
      <c r="C5" s="4" t="n">
        <v>-0.429154769793482</v>
      </c>
      <c r="D5" s="4" t="n">
        <v>0.544690757090492</v>
      </c>
      <c r="E5" s="4" t="s">
        <v>47</v>
      </c>
      <c r="F5" s="4" t="n">
        <v>0.207306506678776</v>
      </c>
      <c r="G5" s="4" t="n">
        <v>4</v>
      </c>
      <c r="H5" s="4" t="n">
        <v>382</v>
      </c>
      <c r="I5" s="4" t="n">
        <v>2018</v>
      </c>
      <c r="J5" s="4" t="n">
        <v>0</v>
      </c>
      <c r="K5" s="4" t="n">
        <v>2028</v>
      </c>
      <c r="L5" s="4" t="n">
        <v>10</v>
      </c>
      <c r="M5" s="4" t="n">
        <v>0</v>
      </c>
      <c r="N5" s="4" t="n">
        <v>0</v>
      </c>
      <c r="O5" s="4" t="n">
        <v>27.4584902400249</v>
      </c>
    </row>
    <row r="6" customFormat="false" ht="15" hidden="false" customHeight="false" outlineLevel="0" collapsed="false">
      <c r="A6" s="4" t="s">
        <v>3</v>
      </c>
      <c r="B6" s="4" t="s">
        <v>20</v>
      </c>
      <c r="C6" s="4" t="n">
        <v>-0.429154769793482</v>
      </c>
      <c r="D6" s="4" t="n">
        <v>0.544690757090492</v>
      </c>
      <c r="E6" s="4" t="s">
        <v>47</v>
      </c>
      <c r="F6" s="4" t="n">
        <v>0.207306506678776</v>
      </c>
      <c r="G6" s="4" t="n">
        <v>4</v>
      </c>
      <c r="H6" s="4" t="n">
        <v>382</v>
      </c>
      <c r="I6" s="4" t="n">
        <v>2018</v>
      </c>
      <c r="J6" s="4" t="n">
        <v>0</v>
      </c>
      <c r="K6" s="4" t="n">
        <v>2029</v>
      </c>
      <c r="L6" s="4" t="n">
        <v>11</v>
      </c>
      <c r="M6" s="4" t="n">
        <v>0</v>
      </c>
      <c r="N6" s="4" t="n">
        <v>0</v>
      </c>
      <c r="O6" s="4" t="n">
        <v>29.5664165025428</v>
      </c>
    </row>
    <row r="7" customFormat="false" ht="15" hidden="false" customHeight="false" outlineLevel="0" collapsed="false">
      <c r="A7" s="4" t="s">
        <v>3</v>
      </c>
      <c r="B7" s="4" t="s">
        <v>20</v>
      </c>
      <c r="C7" s="4" t="n">
        <v>-0.429154769793482</v>
      </c>
      <c r="D7" s="4" t="n">
        <v>0.544690757090492</v>
      </c>
      <c r="E7" s="4" t="s">
        <v>47</v>
      </c>
      <c r="F7" s="4" t="n">
        <v>0.207306506678776</v>
      </c>
      <c r="G7" s="4" t="n">
        <v>4</v>
      </c>
      <c r="H7" s="4" t="n">
        <v>382</v>
      </c>
      <c r="I7" s="4" t="n">
        <v>2018</v>
      </c>
      <c r="J7" s="4" t="n">
        <v>0</v>
      </c>
      <c r="K7" s="4" t="n">
        <v>2030</v>
      </c>
      <c r="L7" s="4" t="n">
        <v>12</v>
      </c>
      <c r="M7" s="4" t="n">
        <v>0</v>
      </c>
      <c r="N7" s="4" t="n">
        <v>0</v>
      </c>
      <c r="O7" s="4" t="n">
        <v>31.6766294663661</v>
      </c>
    </row>
    <row r="8" customFormat="false" ht="15" hidden="false" customHeight="false" outlineLevel="0" collapsed="false">
      <c r="A8" s="4" t="s">
        <v>3</v>
      </c>
      <c r="B8" s="4" t="s">
        <v>20</v>
      </c>
      <c r="C8" s="4" t="n">
        <v>-0.429154769793482</v>
      </c>
      <c r="D8" s="4" t="n">
        <v>0.544690757090492</v>
      </c>
      <c r="E8" s="4" t="s">
        <v>47</v>
      </c>
      <c r="F8" s="4" t="n">
        <v>0.207306506678776</v>
      </c>
      <c r="G8" s="4" t="n">
        <v>4</v>
      </c>
      <c r="H8" s="4" t="n">
        <v>382</v>
      </c>
      <c r="I8" s="4" t="n">
        <v>2018</v>
      </c>
      <c r="J8" s="4" t="n">
        <v>0</v>
      </c>
      <c r="K8" s="4" t="n">
        <v>2031</v>
      </c>
      <c r="L8" s="4" t="n">
        <v>13</v>
      </c>
      <c r="M8" s="4" t="n">
        <v>0</v>
      </c>
      <c r="N8" s="4" t="n">
        <v>0</v>
      </c>
      <c r="O8" s="4" t="n">
        <v>33.7886752308016</v>
      </c>
    </row>
    <row r="9" customFormat="false" ht="15" hidden="false" customHeight="false" outlineLevel="0" collapsed="false">
      <c r="A9" s="4" t="s">
        <v>3</v>
      </c>
      <c r="B9" s="4" t="s">
        <v>21</v>
      </c>
      <c r="C9" s="4" t="n">
        <v>-9.86049332794275</v>
      </c>
      <c r="D9" s="4" t="n">
        <v>0.00890962346559921</v>
      </c>
      <c r="E9" s="4" t="s">
        <v>48</v>
      </c>
      <c r="F9" s="4" t="n">
        <v>0.7750072033679</v>
      </c>
      <c r="G9" s="4" t="n">
        <v>7</v>
      </c>
      <c r="H9" s="4" t="n">
        <v>2016</v>
      </c>
      <c r="I9" s="4" t="n">
        <v>2021</v>
      </c>
      <c r="J9" s="4" t="n">
        <v>24.2774566473988</v>
      </c>
      <c r="K9" s="4" t="n">
        <v>2025</v>
      </c>
      <c r="L9" s="4" t="n">
        <v>4</v>
      </c>
      <c r="M9" s="4" t="n">
        <v>0</v>
      </c>
      <c r="N9" s="4" t="n">
        <v>0</v>
      </c>
      <c r="O9" s="4" t="n">
        <v>41.6715158209408</v>
      </c>
    </row>
    <row r="10" customFormat="false" ht="15" hidden="false" customHeight="false" outlineLevel="0" collapsed="false">
      <c r="A10" s="4" t="s">
        <v>3</v>
      </c>
      <c r="B10" s="4" t="s">
        <v>21</v>
      </c>
      <c r="C10" s="4" t="n">
        <v>-9.86049332794275</v>
      </c>
      <c r="D10" s="4" t="n">
        <v>0.00890962346559921</v>
      </c>
      <c r="E10" s="4" t="s">
        <v>48</v>
      </c>
      <c r="F10" s="4" t="n">
        <v>0.7750072033679</v>
      </c>
      <c r="G10" s="4" t="n">
        <v>7</v>
      </c>
      <c r="H10" s="4" t="n">
        <v>2016</v>
      </c>
      <c r="I10" s="4" t="n">
        <v>2021</v>
      </c>
      <c r="J10" s="4" t="n">
        <v>24.2774566473988</v>
      </c>
      <c r="K10" s="4" t="n">
        <v>2026</v>
      </c>
      <c r="L10" s="4" t="n">
        <v>5</v>
      </c>
      <c r="M10" s="4" t="n">
        <v>0</v>
      </c>
      <c r="N10" s="4" t="n">
        <v>0</v>
      </c>
      <c r="O10" s="4" t="n">
        <v>37.7405207573229</v>
      </c>
    </row>
    <row r="11" customFormat="false" ht="15" hidden="false" customHeight="false" outlineLevel="0" collapsed="false">
      <c r="A11" s="4" t="s">
        <v>3</v>
      </c>
      <c r="B11" s="4" t="s">
        <v>21</v>
      </c>
      <c r="C11" s="4" t="n">
        <v>-9.86049332794275</v>
      </c>
      <c r="D11" s="4" t="n">
        <v>0.00890962346559921</v>
      </c>
      <c r="E11" s="4" t="s">
        <v>48</v>
      </c>
      <c r="F11" s="4" t="n">
        <v>0.7750072033679</v>
      </c>
      <c r="G11" s="4" t="n">
        <v>7</v>
      </c>
      <c r="H11" s="4" t="n">
        <v>2016</v>
      </c>
      <c r="I11" s="4" t="n">
        <v>2021</v>
      </c>
      <c r="J11" s="4" t="n">
        <v>24.2774566473988</v>
      </c>
      <c r="K11" s="4" t="n">
        <v>2027</v>
      </c>
      <c r="L11" s="4" t="n">
        <v>6</v>
      </c>
      <c r="M11" s="4" t="n">
        <v>0</v>
      </c>
      <c r="N11" s="4" t="n">
        <v>0</v>
      </c>
      <c r="O11" s="4" t="n">
        <v>33.8473560055125</v>
      </c>
    </row>
    <row r="12" customFormat="false" ht="15" hidden="false" customHeight="false" outlineLevel="0" collapsed="false">
      <c r="A12" s="4" t="s">
        <v>3</v>
      </c>
      <c r="B12" s="4" t="s">
        <v>21</v>
      </c>
      <c r="C12" s="4" t="n">
        <v>-9.86049332794275</v>
      </c>
      <c r="D12" s="4" t="n">
        <v>0.00890962346559921</v>
      </c>
      <c r="E12" s="4" t="s">
        <v>48</v>
      </c>
      <c r="F12" s="4" t="n">
        <v>0.7750072033679</v>
      </c>
      <c r="G12" s="4" t="n">
        <v>7</v>
      </c>
      <c r="H12" s="4" t="n">
        <v>2016</v>
      </c>
      <c r="I12" s="4" t="n">
        <v>2021</v>
      </c>
      <c r="J12" s="4" t="n">
        <v>24.2774566473988</v>
      </c>
      <c r="K12" s="4" t="n">
        <v>2028</v>
      </c>
      <c r="L12" s="4" t="n">
        <v>7</v>
      </c>
      <c r="M12" s="4" t="n">
        <v>0</v>
      </c>
      <c r="N12" s="4" t="n">
        <v>0</v>
      </c>
      <c r="O12" s="4" t="n">
        <v>29.9812229396018</v>
      </c>
    </row>
    <row r="13" customFormat="false" ht="15" hidden="false" customHeight="false" outlineLevel="0" collapsed="false">
      <c r="A13" s="4" t="s">
        <v>3</v>
      </c>
      <c r="B13" s="4" t="s">
        <v>21</v>
      </c>
      <c r="C13" s="4" t="n">
        <v>-9.86049332794275</v>
      </c>
      <c r="D13" s="4" t="n">
        <v>0.00890962346559921</v>
      </c>
      <c r="E13" s="4" t="s">
        <v>48</v>
      </c>
      <c r="F13" s="4" t="n">
        <v>0.7750072033679</v>
      </c>
      <c r="G13" s="4" t="n">
        <v>7</v>
      </c>
      <c r="H13" s="4" t="n">
        <v>2016</v>
      </c>
      <c r="I13" s="4" t="n">
        <v>2021</v>
      </c>
      <c r="J13" s="4" t="n">
        <v>24.2774566473988</v>
      </c>
      <c r="K13" s="4" t="n">
        <v>2029</v>
      </c>
      <c r="L13" s="4" t="n">
        <v>8</v>
      </c>
      <c r="M13" s="4" t="n">
        <v>0</v>
      </c>
      <c r="N13" s="4" t="n">
        <v>0</v>
      </c>
      <c r="O13" s="4" t="n">
        <v>26.1350485237382</v>
      </c>
    </row>
    <row r="14" customFormat="false" ht="15" hidden="false" customHeight="false" outlineLevel="0" collapsed="false">
      <c r="A14" s="4" t="s">
        <v>3</v>
      </c>
      <c r="B14" s="4" t="s">
        <v>21</v>
      </c>
      <c r="C14" s="4" t="n">
        <v>-9.86049332794275</v>
      </c>
      <c r="D14" s="4" t="n">
        <v>0.00890962346559921</v>
      </c>
      <c r="E14" s="4" t="s">
        <v>48</v>
      </c>
      <c r="F14" s="4" t="n">
        <v>0.7750072033679</v>
      </c>
      <c r="G14" s="4" t="n">
        <v>7</v>
      </c>
      <c r="H14" s="4" t="n">
        <v>2016</v>
      </c>
      <c r="I14" s="4" t="n">
        <v>2021</v>
      </c>
      <c r="J14" s="4" t="n">
        <v>24.2774566473988</v>
      </c>
      <c r="K14" s="4" t="n">
        <v>2030</v>
      </c>
      <c r="L14" s="4" t="n">
        <v>9</v>
      </c>
      <c r="M14" s="4" t="n">
        <v>0</v>
      </c>
      <c r="N14" s="4" t="n">
        <v>0</v>
      </c>
      <c r="O14" s="4" t="n">
        <v>22.3040155761658</v>
      </c>
    </row>
    <row r="15" customFormat="false" ht="15" hidden="false" customHeight="false" outlineLevel="0" collapsed="false">
      <c r="A15" s="4" t="s">
        <v>3</v>
      </c>
      <c r="B15" s="4" t="s">
        <v>21</v>
      </c>
      <c r="C15" s="4" t="n">
        <v>-9.86049332794275</v>
      </c>
      <c r="D15" s="4" t="n">
        <v>0.00890962346559921</v>
      </c>
      <c r="E15" s="4" t="s">
        <v>48</v>
      </c>
      <c r="F15" s="4" t="n">
        <v>0.7750072033679</v>
      </c>
      <c r="G15" s="4" t="n">
        <v>7</v>
      </c>
      <c r="H15" s="4" t="n">
        <v>2016</v>
      </c>
      <c r="I15" s="4" t="n">
        <v>2021</v>
      </c>
      <c r="J15" s="4" t="n">
        <v>24.2774566473988</v>
      </c>
      <c r="K15" s="4" t="n">
        <v>2031</v>
      </c>
      <c r="L15" s="4" t="n">
        <v>10</v>
      </c>
      <c r="M15" s="4" t="n">
        <v>0</v>
      </c>
      <c r="N15" s="4" t="n">
        <v>0</v>
      </c>
      <c r="O15" s="4" t="n">
        <v>18.4847342868986</v>
      </c>
    </row>
    <row r="16" customFormat="false" ht="15" hidden="false" customHeight="false" outlineLevel="0" collapsed="false">
      <c r="A16" s="4" t="s">
        <v>3</v>
      </c>
      <c r="B16" s="4" t="s">
        <v>22</v>
      </c>
      <c r="C16" s="4" t="n">
        <v>-8.754040233488</v>
      </c>
      <c r="D16" s="4" t="n">
        <v>0.153418811393205</v>
      </c>
      <c r="E16" s="4" t="s">
        <v>47</v>
      </c>
      <c r="F16" s="4" t="n">
        <v>0.716699708902918</v>
      </c>
      <c r="G16" s="4" t="n">
        <v>4</v>
      </c>
      <c r="H16" s="4" t="n">
        <v>500</v>
      </c>
      <c r="I16" s="4" t="n">
        <v>2021</v>
      </c>
      <c r="J16" s="4" t="n">
        <v>0</v>
      </c>
      <c r="K16" s="4" t="n">
        <v>2025</v>
      </c>
      <c r="L16" s="4" t="n">
        <v>4</v>
      </c>
      <c r="M16" s="4" t="n">
        <v>0</v>
      </c>
      <c r="N16" s="4" t="n">
        <v>0</v>
      </c>
      <c r="O16" s="4" t="n">
        <v>100</v>
      </c>
    </row>
    <row r="17" customFormat="false" ht="15" hidden="false" customHeight="false" outlineLevel="0" collapsed="false">
      <c r="A17" s="4" t="s">
        <v>3</v>
      </c>
      <c r="B17" s="4" t="s">
        <v>22</v>
      </c>
      <c r="C17" s="4" t="n">
        <v>-8.754040233488</v>
      </c>
      <c r="D17" s="4" t="n">
        <v>0.153418811393205</v>
      </c>
      <c r="E17" s="4" t="s">
        <v>47</v>
      </c>
      <c r="F17" s="4" t="n">
        <v>0.716699708902918</v>
      </c>
      <c r="G17" s="4" t="n">
        <v>4</v>
      </c>
      <c r="H17" s="4" t="n">
        <v>500</v>
      </c>
      <c r="I17" s="4" t="n">
        <v>2021</v>
      </c>
      <c r="J17" s="4" t="n">
        <v>0</v>
      </c>
      <c r="K17" s="4" t="n">
        <v>2026</v>
      </c>
      <c r="L17" s="4" t="n">
        <v>5</v>
      </c>
      <c r="M17" s="4" t="n">
        <v>0</v>
      </c>
      <c r="N17" s="4" t="n">
        <v>0</v>
      </c>
      <c r="O17" s="4" t="n">
        <v>100</v>
      </c>
    </row>
    <row r="18" customFormat="false" ht="15" hidden="false" customHeight="false" outlineLevel="0" collapsed="false">
      <c r="A18" s="4" t="s">
        <v>3</v>
      </c>
      <c r="B18" s="4" t="s">
        <v>22</v>
      </c>
      <c r="C18" s="4" t="n">
        <v>-8.754040233488</v>
      </c>
      <c r="D18" s="4" t="n">
        <v>0.153418811393205</v>
      </c>
      <c r="E18" s="4" t="s">
        <v>47</v>
      </c>
      <c r="F18" s="4" t="n">
        <v>0.716699708902918</v>
      </c>
      <c r="G18" s="4" t="n">
        <v>4</v>
      </c>
      <c r="H18" s="4" t="n">
        <v>500</v>
      </c>
      <c r="I18" s="4" t="n">
        <v>2021</v>
      </c>
      <c r="J18" s="4" t="n">
        <v>0</v>
      </c>
      <c r="K18" s="4" t="n">
        <v>2027</v>
      </c>
      <c r="L18" s="4" t="n">
        <v>6</v>
      </c>
      <c r="M18" s="4" t="n">
        <v>0</v>
      </c>
      <c r="N18" s="4" t="n">
        <v>0</v>
      </c>
      <c r="O18" s="4" t="n">
        <v>100</v>
      </c>
    </row>
    <row r="19" customFormat="false" ht="15" hidden="false" customHeight="false" outlineLevel="0" collapsed="false">
      <c r="A19" s="4" t="s">
        <v>3</v>
      </c>
      <c r="B19" s="4" t="s">
        <v>22</v>
      </c>
      <c r="C19" s="4" t="n">
        <v>-8.754040233488</v>
      </c>
      <c r="D19" s="4" t="n">
        <v>0.153418811393205</v>
      </c>
      <c r="E19" s="4" t="s">
        <v>47</v>
      </c>
      <c r="F19" s="4" t="n">
        <v>0.716699708902918</v>
      </c>
      <c r="G19" s="4" t="n">
        <v>4</v>
      </c>
      <c r="H19" s="4" t="n">
        <v>500</v>
      </c>
      <c r="I19" s="4" t="n">
        <v>2021</v>
      </c>
      <c r="J19" s="4" t="n">
        <v>0</v>
      </c>
      <c r="K19" s="4" t="n">
        <v>2028</v>
      </c>
      <c r="L19" s="4" t="n">
        <v>7</v>
      </c>
      <c r="M19" s="4" t="n">
        <v>0</v>
      </c>
      <c r="N19" s="4" t="n">
        <v>0</v>
      </c>
      <c r="O19" s="4" t="n">
        <v>100</v>
      </c>
    </row>
    <row r="20" customFormat="false" ht="15" hidden="false" customHeight="false" outlineLevel="0" collapsed="false">
      <c r="A20" s="4" t="s">
        <v>3</v>
      </c>
      <c r="B20" s="4" t="s">
        <v>22</v>
      </c>
      <c r="C20" s="4" t="n">
        <v>-8.754040233488</v>
      </c>
      <c r="D20" s="4" t="n">
        <v>0.153418811393205</v>
      </c>
      <c r="E20" s="4" t="s">
        <v>47</v>
      </c>
      <c r="F20" s="4" t="n">
        <v>0.716699708902918</v>
      </c>
      <c r="G20" s="4" t="n">
        <v>4</v>
      </c>
      <c r="H20" s="4" t="n">
        <v>500</v>
      </c>
      <c r="I20" s="4" t="n">
        <v>2021</v>
      </c>
      <c r="J20" s="4" t="n">
        <v>0</v>
      </c>
      <c r="K20" s="4" t="n">
        <v>2029</v>
      </c>
      <c r="L20" s="4" t="n">
        <v>8</v>
      </c>
      <c r="M20" s="4" t="n">
        <v>0</v>
      </c>
      <c r="N20" s="4" t="n">
        <v>0</v>
      </c>
      <c r="O20" s="4" t="n">
        <v>100</v>
      </c>
    </row>
    <row r="21" customFormat="false" ht="15" hidden="false" customHeight="false" outlineLevel="0" collapsed="false">
      <c r="A21" s="4" t="s">
        <v>3</v>
      </c>
      <c r="B21" s="4" t="s">
        <v>22</v>
      </c>
      <c r="C21" s="4" t="n">
        <v>-8.754040233488</v>
      </c>
      <c r="D21" s="4" t="n">
        <v>0.153418811393205</v>
      </c>
      <c r="E21" s="4" t="s">
        <v>47</v>
      </c>
      <c r="F21" s="4" t="n">
        <v>0.716699708902918</v>
      </c>
      <c r="G21" s="4" t="n">
        <v>4</v>
      </c>
      <c r="H21" s="4" t="n">
        <v>500</v>
      </c>
      <c r="I21" s="4" t="n">
        <v>2021</v>
      </c>
      <c r="J21" s="4" t="n">
        <v>0</v>
      </c>
      <c r="K21" s="4" t="n">
        <v>2030</v>
      </c>
      <c r="L21" s="4" t="n">
        <v>9</v>
      </c>
      <c r="M21" s="4" t="n">
        <v>0</v>
      </c>
      <c r="N21" s="4" t="n">
        <v>0</v>
      </c>
      <c r="O21" s="4" t="n">
        <v>100</v>
      </c>
    </row>
    <row r="22" customFormat="false" ht="15" hidden="false" customHeight="false" outlineLevel="0" collapsed="false">
      <c r="A22" s="4" t="s">
        <v>3</v>
      </c>
      <c r="B22" s="4" t="s">
        <v>22</v>
      </c>
      <c r="C22" s="4" t="n">
        <v>-8.754040233488</v>
      </c>
      <c r="D22" s="4" t="n">
        <v>0.153418811393205</v>
      </c>
      <c r="E22" s="4" t="s">
        <v>47</v>
      </c>
      <c r="F22" s="4" t="n">
        <v>0.716699708902918</v>
      </c>
      <c r="G22" s="4" t="n">
        <v>4</v>
      </c>
      <c r="H22" s="4" t="n">
        <v>500</v>
      </c>
      <c r="I22" s="4" t="n">
        <v>2021</v>
      </c>
      <c r="J22" s="4" t="n">
        <v>0</v>
      </c>
      <c r="K22" s="4" t="n">
        <v>2031</v>
      </c>
      <c r="L22" s="4" t="n">
        <v>10</v>
      </c>
      <c r="M22" s="4" t="n">
        <v>0</v>
      </c>
      <c r="N22" s="4" t="n">
        <v>0</v>
      </c>
      <c r="O22" s="4" t="n">
        <v>100</v>
      </c>
    </row>
    <row r="23" customFormat="false" ht="15" hidden="false" customHeight="false" outlineLevel="0" collapsed="false">
      <c r="A23" s="4" t="s">
        <v>3</v>
      </c>
      <c r="B23" s="4" t="s">
        <v>23</v>
      </c>
      <c r="C23" s="4" t="n">
        <v>-2.4117868381717</v>
      </c>
      <c r="D23" s="4" t="n">
        <v>0.509561484183264</v>
      </c>
      <c r="E23" s="4" t="s">
        <v>47</v>
      </c>
      <c r="F23" s="4" t="n">
        <v>0.075700488768719</v>
      </c>
      <c r="G23" s="4" t="n">
        <v>8</v>
      </c>
      <c r="H23" s="4" t="n">
        <v>886</v>
      </c>
      <c r="I23" s="4" t="n">
        <v>2021</v>
      </c>
      <c r="J23" s="4" t="n">
        <v>21.9653179190751</v>
      </c>
      <c r="K23" s="4" t="n">
        <v>2025</v>
      </c>
      <c r="L23" s="4" t="n">
        <v>4</v>
      </c>
      <c r="M23" s="4" t="n">
        <v>22.8406167353323</v>
      </c>
      <c r="N23" s="4" t="n">
        <v>0</v>
      </c>
      <c r="O23" s="4" t="n">
        <v>92.6652452598694</v>
      </c>
    </row>
    <row r="24" customFormat="false" ht="15" hidden="false" customHeight="false" outlineLevel="0" collapsed="false">
      <c r="A24" s="4" t="s">
        <v>3</v>
      </c>
      <c r="B24" s="4" t="s">
        <v>23</v>
      </c>
      <c r="C24" s="4" t="n">
        <v>-2.4117868381717</v>
      </c>
      <c r="D24" s="4" t="n">
        <v>0.509561484183264</v>
      </c>
      <c r="E24" s="4" t="s">
        <v>47</v>
      </c>
      <c r="F24" s="4" t="n">
        <v>0.075700488768719</v>
      </c>
      <c r="G24" s="4" t="n">
        <v>8</v>
      </c>
      <c r="H24" s="4" t="n">
        <v>886</v>
      </c>
      <c r="I24" s="4" t="n">
        <v>2021</v>
      </c>
      <c r="J24" s="4" t="n">
        <v>21.9653179190751</v>
      </c>
      <c r="K24" s="4" t="n">
        <v>2026</v>
      </c>
      <c r="L24" s="4" t="n">
        <v>5</v>
      </c>
      <c r="M24" s="4" t="n">
        <v>20.4288298971605</v>
      </c>
      <c r="N24" s="4" t="n">
        <v>0</v>
      </c>
      <c r="O24" s="4" t="n">
        <v>98.3066289070985</v>
      </c>
    </row>
    <row r="25" customFormat="false" ht="15" hidden="false" customHeight="false" outlineLevel="0" collapsed="false">
      <c r="A25" s="4" t="s">
        <v>3</v>
      </c>
      <c r="B25" s="4" t="s">
        <v>23</v>
      </c>
      <c r="C25" s="4" t="n">
        <v>-2.4117868381717</v>
      </c>
      <c r="D25" s="4" t="n">
        <v>0.509561484183264</v>
      </c>
      <c r="E25" s="4" t="s">
        <v>47</v>
      </c>
      <c r="F25" s="4" t="n">
        <v>0.075700488768719</v>
      </c>
      <c r="G25" s="4" t="n">
        <v>8</v>
      </c>
      <c r="H25" s="4" t="n">
        <v>886</v>
      </c>
      <c r="I25" s="4" t="n">
        <v>2021</v>
      </c>
      <c r="J25" s="4" t="n">
        <v>21.9653179190751</v>
      </c>
      <c r="K25" s="4" t="n">
        <v>2027</v>
      </c>
      <c r="L25" s="4" t="n">
        <v>6</v>
      </c>
      <c r="M25" s="4" t="n">
        <v>18.0170430589888</v>
      </c>
      <c r="N25" s="4" t="n">
        <v>0</v>
      </c>
      <c r="O25" s="4" t="n">
        <v>100</v>
      </c>
    </row>
    <row r="26" customFormat="false" ht="15" hidden="false" customHeight="false" outlineLevel="0" collapsed="false">
      <c r="A26" s="4" t="s">
        <v>3</v>
      </c>
      <c r="B26" s="4" t="s">
        <v>23</v>
      </c>
      <c r="C26" s="4" t="n">
        <v>-2.4117868381717</v>
      </c>
      <c r="D26" s="4" t="n">
        <v>0.509561484183264</v>
      </c>
      <c r="E26" s="4" t="s">
        <v>47</v>
      </c>
      <c r="F26" s="4" t="n">
        <v>0.075700488768719</v>
      </c>
      <c r="G26" s="4" t="n">
        <v>8</v>
      </c>
      <c r="H26" s="4" t="n">
        <v>886</v>
      </c>
      <c r="I26" s="4" t="n">
        <v>2021</v>
      </c>
      <c r="J26" s="4" t="n">
        <v>21.9653179190751</v>
      </c>
      <c r="K26" s="4" t="n">
        <v>2028</v>
      </c>
      <c r="L26" s="4" t="n">
        <v>7</v>
      </c>
      <c r="M26" s="4" t="n">
        <v>15.605256220817</v>
      </c>
      <c r="N26" s="4" t="n">
        <v>0</v>
      </c>
      <c r="O26" s="4" t="n">
        <v>100</v>
      </c>
    </row>
    <row r="27" customFormat="false" ht="15" hidden="false" customHeight="false" outlineLevel="0" collapsed="false">
      <c r="A27" s="4" t="s">
        <v>3</v>
      </c>
      <c r="B27" s="4" t="s">
        <v>23</v>
      </c>
      <c r="C27" s="4" t="n">
        <v>-2.4117868381717</v>
      </c>
      <c r="D27" s="4" t="n">
        <v>0.509561484183264</v>
      </c>
      <c r="E27" s="4" t="s">
        <v>47</v>
      </c>
      <c r="F27" s="4" t="n">
        <v>0.075700488768719</v>
      </c>
      <c r="G27" s="4" t="n">
        <v>8</v>
      </c>
      <c r="H27" s="4" t="n">
        <v>886</v>
      </c>
      <c r="I27" s="4" t="n">
        <v>2021</v>
      </c>
      <c r="J27" s="4" t="n">
        <v>21.9653179190751</v>
      </c>
      <c r="K27" s="4" t="n">
        <v>2029</v>
      </c>
      <c r="L27" s="4" t="n">
        <v>8</v>
      </c>
      <c r="M27" s="4" t="n">
        <v>13.1934693826452</v>
      </c>
      <c r="N27" s="4" t="n">
        <v>0</v>
      </c>
      <c r="O27" s="4" t="n">
        <v>100</v>
      </c>
    </row>
    <row r="28" customFormat="false" ht="15" hidden="false" customHeight="false" outlineLevel="0" collapsed="false">
      <c r="A28" s="4" t="s">
        <v>3</v>
      </c>
      <c r="B28" s="4" t="s">
        <v>23</v>
      </c>
      <c r="C28" s="4" t="n">
        <v>-2.4117868381717</v>
      </c>
      <c r="D28" s="4" t="n">
        <v>0.509561484183264</v>
      </c>
      <c r="E28" s="4" t="s">
        <v>47</v>
      </c>
      <c r="F28" s="4" t="n">
        <v>0.075700488768719</v>
      </c>
      <c r="G28" s="4" t="n">
        <v>8</v>
      </c>
      <c r="H28" s="4" t="n">
        <v>886</v>
      </c>
      <c r="I28" s="4" t="n">
        <v>2021</v>
      </c>
      <c r="J28" s="4" t="n">
        <v>21.9653179190751</v>
      </c>
      <c r="K28" s="4" t="n">
        <v>2030</v>
      </c>
      <c r="L28" s="4" t="n">
        <v>9</v>
      </c>
      <c r="M28" s="4" t="n">
        <v>10.7816825444734</v>
      </c>
      <c r="N28" s="4" t="n">
        <v>0</v>
      </c>
      <c r="O28" s="4" t="n">
        <v>100</v>
      </c>
    </row>
    <row r="29" customFormat="false" ht="15" hidden="false" customHeight="false" outlineLevel="0" collapsed="false">
      <c r="A29" s="4" t="s">
        <v>3</v>
      </c>
      <c r="B29" s="4" t="s">
        <v>23</v>
      </c>
      <c r="C29" s="4" t="n">
        <v>-2.4117868381717</v>
      </c>
      <c r="D29" s="4" t="n">
        <v>0.509561484183264</v>
      </c>
      <c r="E29" s="4" t="s">
        <v>47</v>
      </c>
      <c r="F29" s="4" t="n">
        <v>0.075700488768719</v>
      </c>
      <c r="G29" s="4" t="n">
        <v>8</v>
      </c>
      <c r="H29" s="4" t="n">
        <v>886</v>
      </c>
      <c r="I29" s="4" t="n">
        <v>2021</v>
      </c>
      <c r="J29" s="4" t="n">
        <v>21.9653179190751</v>
      </c>
      <c r="K29" s="4" t="n">
        <v>2031</v>
      </c>
      <c r="L29" s="4" t="n">
        <v>10</v>
      </c>
      <c r="M29" s="4" t="n">
        <v>8.36989570630158</v>
      </c>
      <c r="N29" s="4" t="n">
        <v>0</v>
      </c>
      <c r="O29" s="4" t="n">
        <v>100</v>
      </c>
    </row>
    <row r="30" customFormat="false" ht="15" hidden="false" customHeight="false" outlineLevel="0" collapsed="false">
      <c r="A30" s="4" t="s">
        <v>3</v>
      </c>
      <c r="B30" s="4" t="s">
        <v>24</v>
      </c>
      <c r="C30" s="4" t="n">
        <v>-0.859783146736925</v>
      </c>
      <c r="D30" s="4" t="n">
        <v>0.500276763955656</v>
      </c>
      <c r="E30" s="4" t="s">
        <v>47</v>
      </c>
      <c r="F30" s="4" t="n">
        <v>0.120469077685491</v>
      </c>
      <c r="G30" s="4" t="n">
        <v>6</v>
      </c>
      <c r="H30" s="4" t="n">
        <v>620</v>
      </c>
      <c r="I30" s="4" t="n">
        <v>2021</v>
      </c>
      <c r="J30" s="4" t="n">
        <v>0</v>
      </c>
      <c r="K30" s="4" t="n">
        <v>2025</v>
      </c>
      <c r="L30" s="4" t="n">
        <v>4</v>
      </c>
      <c r="M30" s="4" t="n">
        <v>0</v>
      </c>
      <c r="N30" s="4" t="n">
        <v>0</v>
      </c>
      <c r="O30" s="4" t="n">
        <v>23.1143821087643</v>
      </c>
    </row>
    <row r="31" customFormat="false" ht="15" hidden="false" customHeight="false" outlineLevel="0" collapsed="false">
      <c r="A31" s="4" t="s">
        <v>3</v>
      </c>
      <c r="B31" s="4" t="s">
        <v>24</v>
      </c>
      <c r="C31" s="4" t="n">
        <v>-0.859783146736925</v>
      </c>
      <c r="D31" s="4" t="n">
        <v>0.500276763955656</v>
      </c>
      <c r="E31" s="4" t="s">
        <v>47</v>
      </c>
      <c r="F31" s="4" t="n">
        <v>0.120469077685491</v>
      </c>
      <c r="G31" s="4" t="n">
        <v>6</v>
      </c>
      <c r="H31" s="4" t="n">
        <v>620</v>
      </c>
      <c r="I31" s="4" t="n">
        <v>2021</v>
      </c>
      <c r="J31" s="4" t="n">
        <v>0</v>
      </c>
      <c r="K31" s="4" t="n">
        <v>2026</v>
      </c>
      <c r="L31" s="4" t="n">
        <v>5</v>
      </c>
      <c r="M31" s="4" t="n">
        <v>0</v>
      </c>
      <c r="N31" s="4" t="n">
        <v>0</v>
      </c>
      <c r="O31" s="4" t="n">
        <v>25.3491856887833</v>
      </c>
    </row>
    <row r="32" customFormat="false" ht="15" hidden="false" customHeight="false" outlineLevel="0" collapsed="false">
      <c r="A32" s="4" t="s">
        <v>3</v>
      </c>
      <c r="B32" s="4" t="s">
        <v>24</v>
      </c>
      <c r="C32" s="4" t="n">
        <v>-0.859783146736925</v>
      </c>
      <c r="D32" s="4" t="n">
        <v>0.500276763955656</v>
      </c>
      <c r="E32" s="4" t="s">
        <v>47</v>
      </c>
      <c r="F32" s="4" t="n">
        <v>0.120469077685491</v>
      </c>
      <c r="G32" s="4" t="n">
        <v>6</v>
      </c>
      <c r="H32" s="4" t="n">
        <v>620</v>
      </c>
      <c r="I32" s="4" t="n">
        <v>2021</v>
      </c>
      <c r="J32" s="4" t="n">
        <v>0</v>
      </c>
      <c r="K32" s="4" t="n">
        <v>2027</v>
      </c>
      <c r="L32" s="4" t="n">
        <v>6</v>
      </c>
      <c r="M32" s="4" t="n">
        <v>0</v>
      </c>
      <c r="N32" s="4" t="n">
        <v>0</v>
      </c>
      <c r="O32" s="4" t="n">
        <v>27.6095685122272</v>
      </c>
    </row>
    <row r="33" customFormat="false" ht="15" hidden="false" customHeight="false" outlineLevel="0" collapsed="false">
      <c r="A33" s="4" t="s">
        <v>3</v>
      </c>
      <c r="B33" s="4" t="s">
        <v>24</v>
      </c>
      <c r="C33" s="4" t="n">
        <v>-0.859783146736925</v>
      </c>
      <c r="D33" s="4" t="n">
        <v>0.500276763955656</v>
      </c>
      <c r="E33" s="4" t="s">
        <v>47</v>
      </c>
      <c r="F33" s="4" t="n">
        <v>0.120469077685491</v>
      </c>
      <c r="G33" s="4" t="n">
        <v>6</v>
      </c>
      <c r="H33" s="4" t="n">
        <v>620</v>
      </c>
      <c r="I33" s="4" t="n">
        <v>2021</v>
      </c>
      <c r="J33" s="4" t="n">
        <v>0</v>
      </c>
      <c r="K33" s="4" t="n">
        <v>2028</v>
      </c>
      <c r="L33" s="4" t="n">
        <v>7</v>
      </c>
      <c r="M33" s="4" t="n">
        <v>0</v>
      </c>
      <c r="N33" s="4" t="n">
        <v>0</v>
      </c>
      <c r="O33" s="4" t="n">
        <v>29.8887642772373</v>
      </c>
    </row>
    <row r="34" customFormat="false" ht="15" hidden="false" customHeight="false" outlineLevel="0" collapsed="false">
      <c r="A34" s="4" t="s">
        <v>3</v>
      </c>
      <c r="B34" s="4" t="s">
        <v>24</v>
      </c>
      <c r="C34" s="4" t="n">
        <v>-0.859783146736925</v>
      </c>
      <c r="D34" s="4" t="n">
        <v>0.500276763955656</v>
      </c>
      <c r="E34" s="4" t="s">
        <v>47</v>
      </c>
      <c r="F34" s="4" t="n">
        <v>0.120469077685491</v>
      </c>
      <c r="G34" s="4" t="n">
        <v>6</v>
      </c>
      <c r="H34" s="4" t="n">
        <v>620</v>
      </c>
      <c r="I34" s="4" t="n">
        <v>2021</v>
      </c>
      <c r="J34" s="4" t="n">
        <v>0</v>
      </c>
      <c r="K34" s="4" t="n">
        <v>2029</v>
      </c>
      <c r="L34" s="4" t="n">
        <v>8</v>
      </c>
      <c r="M34" s="4" t="n">
        <v>0</v>
      </c>
      <c r="N34" s="4" t="n">
        <v>0</v>
      </c>
      <c r="O34" s="4" t="n">
        <v>32.1821760055261</v>
      </c>
    </row>
    <row r="35" customFormat="false" ht="15" hidden="false" customHeight="false" outlineLevel="0" collapsed="false">
      <c r="A35" s="4" t="s">
        <v>3</v>
      </c>
      <c r="B35" s="4" t="s">
        <v>24</v>
      </c>
      <c r="C35" s="4" t="n">
        <v>-0.859783146736925</v>
      </c>
      <c r="D35" s="4" t="n">
        <v>0.500276763955656</v>
      </c>
      <c r="E35" s="4" t="s">
        <v>47</v>
      </c>
      <c r="F35" s="4" t="n">
        <v>0.120469077685491</v>
      </c>
      <c r="G35" s="4" t="n">
        <v>6</v>
      </c>
      <c r="H35" s="4" t="n">
        <v>620</v>
      </c>
      <c r="I35" s="4" t="n">
        <v>2021</v>
      </c>
      <c r="J35" s="4" t="n">
        <v>0</v>
      </c>
      <c r="K35" s="4" t="n">
        <v>2030</v>
      </c>
      <c r="L35" s="4" t="n">
        <v>9</v>
      </c>
      <c r="M35" s="4" t="n">
        <v>0</v>
      </c>
      <c r="N35" s="4" t="n">
        <v>0</v>
      </c>
      <c r="O35" s="4" t="n">
        <v>34.4865789748921</v>
      </c>
    </row>
    <row r="36" customFormat="false" ht="15" hidden="false" customHeight="false" outlineLevel="0" collapsed="false">
      <c r="A36" s="4" t="s">
        <v>3</v>
      </c>
      <c r="B36" s="4" t="s">
        <v>24</v>
      </c>
      <c r="C36" s="4" t="n">
        <v>-0.859783146736925</v>
      </c>
      <c r="D36" s="4" t="n">
        <v>0.500276763955656</v>
      </c>
      <c r="E36" s="4" t="s">
        <v>47</v>
      </c>
      <c r="F36" s="4" t="n">
        <v>0.120469077685491</v>
      </c>
      <c r="G36" s="4" t="n">
        <v>6</v>
      </c>
      <c r="H36" s="4" t="n">
        <v>620</v>
      </c>
      <c r="I36" s="4" t="n">
        <v>2021</v>
      </c>
      <c r="J36" s="4" t="n">
        <v>0</v>
      </c>
      <c r="K36" s="4" t="n">
        <v>2031</v>
      </c>
      <c r="L36" s="4" t="n">
        <v>10</v>
      </c>
      <c r="M36" s="4" t="n">
        <v>0</v>
      </c>
      <c r="N36" s="4" t="n">
        <v>0</v>
      </c>
      <c r="O36" s="4" t="n">
        <v>36.7996481363718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9" min="3" style="0" width="19"/>
  </cols>
  <sheetData>
    <row r="1" customFormat="false" ht="15" hidden="false" customHeight="false" outlineLevel="0" collapsed="false">
      <c r="A1" s="3" t="s">
        <v>14</v>
      </c>
      <c r="B1" s="3" t="s">
        <v>15</v>
      </c>
      <c r="C1" s="3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customFormat="false" ht="15" hidden="false" customHeight="false" outlineLevel="0" collapsed="false">
      <c r="A2" s="4" t="s">
        <v>3</v>
      </c>
      <c r="B2" s="4" t="s">
        <v>20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</row>
    <row r="3" customFormat="false" ht="15" hidden="false" customHeight="false" outlineLevel="0" collapsed="false">
      <c r="A3" s="4" t="s">
        <v>3</v>
      </c>
      <c r="B3" s="4" t="s">
        <v>21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</row>
    <row r="4" customFormat="false" ht="15" hidden="false" customHeight="false" outlineLevel="0" collapsed="false">
      <c r="A4" s="4" t="s">
        <v>3</v>
      </c>
      <c r="B4" s="4" t="s">
        <v>22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</row>
    <row r="5" customFormat="false" ht="15" hidden="false" customHeight="false" outlineLevel="0" collapsed="false">
      <c r="A5" s="4" t="s">
        <v>3</v>
      </c>
      <c r="B5" s="4" t="s">
        <v>23</v>
      </c>
      <c r="C5" s="4" t="n">
        <v>22.8406167353323</v>
      </c>
      <c r="D5" s="4" t="n">
        <v>20.4288298971605</v>
      </c>
      <c r="E5" s="4" t="n">
        <v>18.0170430589888</v>
      </c>
      <c r="F5" s="4" t="n">
        <v>15.605256220817</v>
      </c>
      <c r="G5" s="4" t="n">
        <v>13.1934693826452</v>
      </c>
      <c r="H5" s="4" t="n">
        <v>10.7816825444734</v>
      </c>
      <c r="I5" s="4" t="n">
        <v>8.36989570630158</v>
      </c>
    </row>
    <row r="6" customFormat="false" ht="15" hidden="false" customHeight="false" outlineLevel="0" collapsed="false">
      <c r="A6" s="4" t="s">
        <v>3</v>
      </c>
      <c r="B6" s="4" t="s">
        <v>24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25</v>
      </c>
      <c r="B1" s="1" t="s">
        <v>26</v>
      </c>
    </row>
    <row r="2" customFormat="false" ht="26.85" hidden="false" customHeight="false" outlineLevel="0" collapsed="false">
      <c r="A2" s="1" t="s">
        <v>61</v>
      </c>
      <c r="B2" s="2" t="n">
        <v>0</v>
      </c>
    </row>
    <row r="3" customFormat="false" ht="15" hidden="false" customHeight="false" outlineLevel="0" collapsed="false">
      <c r="A3" s="1" t="s">
        <v>62</v>
      </c>
      <c r="B3" s="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64</v>
      </c>
      <c r="B1" s="1" t="s">
        <v>65</v>
      </c>
    </row>
    <row r="2" customFormat="false" ht="15" hidden="false" customHeight="false" outlineLevel="0" collapsed="false">
      <c r="A2" s="1" t="s">
        <v>66</v>
      </c>
      <c r="B2" s="2" t="s">
        <v>3</v>
      </c>
    </row>
    <row r="3" customFormat="false" ht="15" hidden="false" customHeight="false" outlineLevel="0" collapsed="false">
      <c r="A3" s="1" t="s">
        <v>67</v>
      </c>
      <c r="B3" s="2" t="n">
        <f aca="false">COUNTA(Raw_Data!A:A)-1</f>
        <v>29</v>
      </c>
    </row>
    <row r="4" customFormat="false" ht="15" hidden="false" customHeight="false" outlineLevel="0" collapsed="false">
      <c r="A4" s="1" t="s">
        <v>68</v>
      </c>
      <c r="B4" s="2" t="n">
        <f aca="false">COUNTA(Forecast!A:A)-1</f>
        <v>35</v>
      </c>
    </row>
    <row r="5" customFormat="false" ht="15" hidden="false" customHeight="false" outlineLevel="0" collapsed="false">
      <c r="A5" s="1" t="s">
        <v>69</v>
      </c>
      <c r="B5" s="2" t="n">
        <f aca="false">COUNTA(Forecast_Wide!A:A)-1</f>
        <v>5</v>
      </c>
    </row>
    <row r="6" customFormat="false" ht="15" hidden="false" customHeight="false" outlineLevel="0" collapsed="false">
      <c r="A6" s="1" t="s">
        <v>70</v>
      </c>
      <c r="B6" s="2" t="s">
        <v>71</v>
      </c>
    </row>
    <row r="7" customFormat="false" ht="15" hidden="false" customHeight="false" outlineLevel="0" collapsed="false">
      <c r="A7" s="1" t="s">
        <v>72</v>
      </c>
      <c r="B7" s="2" t="s">
        <v>30</v>
      </c>
    </row>
    <row r="8" customFormat="false" ht="15" hidden="false" customHeight="false" outlineLevel="0" collapsed="false">
      <c r="A8" s="1" t="s">
        <v>73</v>
      </c>
      <c r="B8" s="2" t="n">
        <v>4404</v>
      </c>
    </row>
    <row r="9" customFormat="false" ht="15" hidden="false" customHeight="false" outlineLevel="0" collapsed="false">
      <c r="A9" s="1" t="s">
        <v>74</v>
      </c>
      <c r="B9" s="2" t="s">
        <v>75</v>
      </c>
    </row>
    <row r="10" customFormat="false" ht="15" hidden="false" customHeight="false" outlineLevel="0" collapsed="false">
      <c r="A10" s="1" t="s">
        <v>76</v>
      </c>
      <c r="B10" s="2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2026-10-07T19:51:38Z</dcterms:created>
  <dc:creator>openpyxl</dc:creator>
  <dc:description/>
  <dc:language>en-US</dc:language>
  <cp:lastModifiedBy/>
  <dcterms:modified xsi:type="dcterms:W3CDTF">2026-10-07T19:51:38Z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